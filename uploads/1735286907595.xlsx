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F38C3E35-C795-4B95-8B25-72532697CDA2}" xr6:coauthVersionLast="47" xr6:coauthVersionMax="47" xr10:uidLastSave="{00000000-0000-0000-0000-000000000000}"/>
  <bookViews>
    <workbookView xWindow="-108" yWindow="-108" windowWidth="23256" windowHeight="12456" tabRatio="773" xr2:uid="{00000000-000D-0000-FFFF-FFFF00000000}"/>
  </bookViews>
  <sheets>
    <sheet name="Rates from Ireland Fedex Priort" sheetId="1" r:id="rId1"/>
    <sheet name="Result" sheetId="5" r:id="rId2"/>
    <sheet name="Variables" sheetId="4" r:id="rId3"/>
    <sheet name="MAx dimension by weight" sheetId="2" r:id="rId4"/>
    <sheet name="Instructions" sheetId="3" state="hidden" r:id="rId5"/>
  </sheets>
  <calcPr calcId="191029"/>
  <extLst>
    <ext uri="GoogleSheetsCustomDataVersion2">
      <go:sheetsCustomData xmlns:go="http://customooxmlschemas.google.com/" r:id="rId6" roundtripDataChecksum="C1hj6O4O1+Mn5ep2DgTFsZBYjzgh2B9fUVLgrPQsq/8="/>
    </ext>
  </extLst>
</workbook>
</file>

<file path=xl/calcChain.xml><?xml version="1.0" encoding="utf-8"?>
<calcChain xmlns="http://schemas.openxmlformats.org/spreadsheetml/2006/main">
  <c r="A6" i="5" l="1"/>
  <c r="A4" i="5"/>
  <c r="D4" i="5" s="1"/>
  <c r="B4" i="5"/>
  <c r="C4" i="5"/>
  <c r="A5" i="5"/>
  <c r="D5" i="5" s="1"/>
  <c r="B5" i="5"/>
  <c r="C5" i="5"/>
  <c r="B6" i="5"/>
  <c r="C6" i="5"/>
  <c r="A7" i="5"/>
  <c r="B7" i="5"/>
  <c r="C7" i="5"/>
  <c r="A8" i="5"/>
  <c r="B8" i="5"/>
  <c r="C8" i="5"/>
  <c r="A9" i="5"/>
  <c r="G9" i="5" s="1"/>
  <c r="B9" i="5"/>
  <c r="C9" i="5"/>
  <c r="A10" i="5"/>
  <c r="B10" i="5"/>
  <c r="C10" i="5"/>
  <c r="A11" i="5"/>
  <c r="B11" i="5"/>
  <c r="C11" i="5"/>
  <c r="A12" i="5"/>
  <c r="B12" i="5"/>
  <c r="C12" i="5"/>
  <c r="A13" i="5"/>
  <c r="G13" i="5" s="1"/>
  <c r="B13" i="5"/>
  <c r="C13" i="5"/>
  <c r="A14" i="5"/>
  <c r="B14" i="5"/>
  <c r="C14" i="5"/>
  <c r="A15" i="5"/>
  <c r="B15" i="5"/>
  <c r="C15" i="5"/>
  <c r="A16" i="5"/>
  <c r="B16" i="5"/>
  <c r="C16" i="5"/>
  <c r="A17" i="5"/>
  <c r="G17" i="5" s="1"/>
  <c r="B17" i="5"/>
  <c r="C17" i="5"/>
  <c r="A18" i="5"/>
  <c r="B18" i="5"/>
  <c r="C18" i="5"/>
  <c r="A19" i="5"/>
  <c r="B19" i="5"/>
  <c r="C19" i="5"/>
  <c r="A20" i="5"/>
  <c r="B20" i="5"/>
  <c r="C20" i="5"/>
  <c r="A21" i="5"/>
  <c r="B21" i="5"/>
  <c r="C21" i="5"/>
  <c r="A22" i="5"/>
  <c r="B22" i="5"/>
  <c r="C22" i="5"/>
  <c r="A23" i="5"/>
  <c r="B23" i="5"/>
  <c r="C23" i="5"/>
  <c r="A24" i="5"/>
  <c r="B24" i="5"/>
  <c r="C24" i="5"/>
  <c r="A25" i="5"/>
  <c r="G25" i="5" s="1"/>
  <c r="B25" i="5"/>
  <c r="C25" i="5"/>
  <c r="A26" i="5"/>
  <c r="B26" i="5"/>
  <c r="C26" i="5"/>
  <c r="A27" i="5"/>
  <c r="B27" i="5"/>
  <c r="C27" i="5"/>
  <c r="A28" i="5"/>
  <c r="B28" i="5"/>
  <c r="C28" i="5"/>
  <c r="A29" i="5"/>
  <c r="G29" i="5" s="1"/>
  <c r="B29" i="5"/>
  <c r="C29" i="5"/>
  <c r="A30" i="5"/>
  <c r="B30" i="5"/>
  <c r="C30" i="5"/>
  <c r="A31" i="5"/>
  <c r="B31" i="5"/>
  <c r="C31" i="5"/>
  <c r="A32" i="5"/>
  <c r="B32" i="5"/>
  <c r="C32" i="5"/>
  <c r="A33" i="5"/>
  <c r="H33" i="5" s="1"/>
  <c r="B33" i="5"/>
  <c r="C33" i="5"/>
  <c r="A34" i="5"/>
  <c r="B34" i="5"/>
  <c r="C34" i="5"/>
  <c r="A35" i="5"/>
  <c r="B35" i="5"/>
  <c r="C35" i="5"/>
  <c r="A36" i="5"/>
  <c r="B36" i="5"/>
  <c r="C36" i="5"/>
  <c r="A37" i="5"/>
  <c r="I37" i="5" s="1"/>
  <c r="B37" i="5"/>
  <c r="C37" i="5"/>
  <c r="A38" i="5"/>
  <c r="B38" i="5"/>
  <c r="C38" i="5"/>
  <c r="A39" i="5"/>
  <c r="B39" i="5"/>
  <c r="C39" i="5"/>
  <c r="A40" i="5"/>
  <c r="G40" i="5" s="1"/>
  <c r="B40" i="5"/>
  <c r="C40" i="5"/>
  <c r="A41" i="5"/>
  <c r="G41" i="5" s="1"/>
  <c r="B41" i="5"/>
  <c r="C41" i="5"/>
  <c r="A42" i="5"/>
  <c r="B42" i="5"/>
  <c r="C42" i="5"/>
  <c r="A43" i="5"/>
  <c r="B43" i="5"/>
  <c r="C43" i="5"/>
  <c r="A44" i="5"/>
  <c r="B44" i="5"/>
  <c r="C44" i="5"/>
  <c r="A45" i="5"/>
  <c r="B45" i="5"/>
  <c r="C45" i="5"/>
  <c r="A46" i="5"/>
  <c r="B46" i="5"/>
  <c r="C46" i="5"/>
  <c r="A47" i="5"/>
  <c r="B47" i="5"/>
  <c r="C47" i="5"/>
  <c r="A48" i="5"/>
  <c r="G48" i="5" s="1"/>
  <c r="B48" i="5"/>
  <c r="C48" i="5"/>
  <c r="A49" i="5"/>
  <c r="B49" i="5"/>
  <c r="C49" i="5"/>
  <c r="A50" i="5"/>
  <c r="B50" i="5"/>
  <c r="C50" i="5"/>
  <c r="A51" i="5"/>
  <c r="B51" i="5"/>
  <c r="C51" i="5"/>
  <c r="A52" i="5"/>
  <c r="B52" i="5"/>
  <c r="C52" i="5"/>
  <c r="A53" i="5"/>
  <c r="G53" i="5" s="1"/>
  <c r="B53" i="5"/>
  <c r="C53" i="5"/>
  <c r="A54" i="5"/>
  <c r="B54" i="5"/>
  <c r="C54" i="5"/>
  <c r="A55" i="5"/>
  <c r="I55" i="5" s="1"/>
  <c r="B55" i="5"/>
  <c r="C55" i="5"/>
  <c r="A56" i="5"/>
  <c r="E56" i="5" s="1"/>
  <c r="B56" i="5"/>
  <c r="C56" i="5"/>
  <c r="A57" i="5"/>
  <c r="L57" i="5" s="1"/>
  <c r="B57" i="5"/>
  <c r="C57" i="5"/>
  <c r="A58" i="5"/>
  <c r="B58" i="5"/>
  <c r="C58" i="5"/>
  <c r="A59" i="5"/>
  <c r="B59" i="5"/>
  <c r="C59" i="5"/>
  <c r="A60" i="5"/>
  <c r="B60" i="5"/>
  <c r="C60" i="5"/>
  <c r="A61" i="5"/>
  <c r="B61" i="5"/>
  <c r="C61" i="5"/>
  <c r="A62" i="5"/>
  <c r="B62" i="5"/>
  <c r="C62" i="5"/>
  <c r="A63" i="5"/>
  <c r="B63" i="5"/>
  <c r="C63" i="5"/>
  <c r="A64" i="5"/>
  <c r="B64" i="5"/>
  <c r="C64" i="5"/>
  <c r="A65" i="5"/>
  <c r="I65" i="5" s="1"/>
  <c r="B65" i="5"/>
  <c r="C65" i="5"/>
  <c r="A66" i="5"/>
  <c r="B66" i="5"/>
  <c r="C66" i="5"/>
  <c r="A67" i="5"/>
  <c r="B67" i="5"/>
  <c r="C67" i="5"/>
  <c r="A68" i="5"/>
  <c r="B68" i="5"/>
  <c r="C68" i="5"/>
  <c r="A69" i="5"/>
  <c r="B69" i="5"/>
  <c r="C69" i="5"/>
  <c r="A70" i="5"/>
  <c r="B70" i="5"/>
  <c r="C70" i="5"/>
  <c r="A71" i="5"/>
  <c r="B71" i="5"/>
  <c r="C71" i="5"/>
  <c r="A72" i="5"/>
  <c r="B72" i="5"/>
  <c r="C72" i="5"/>
  <c r="A73" i="5"/>
  <c r="N73" i="5" s="1"/>
  <c r="B73" i="5"/>
  <c r="C73" i="5"/>
  <c r="A74" i="5"/>
  <c r="B74" i="5"/>
  <c r="C74" i="5"/>
  <c r="A75" i="5"/>
  <c r="B75" i="5"/>
  <c r="C75" i="5"/>
  <c r="A76" i="5"/>
  <c r="B76" i="5"/>
  <c r="C76" i="5"/>
  <c r="A77" i="5"/>
  <c r="B77" i="5"/>
  <c r="C77" i="5"/>
  <c r="A78" i="5"/>
  <c r="B78" i="5"/>
  <c r="C78" i="5"/>
  <c r="A79" i="5"/>
  <c r="B79" i="5"/>
  <c r="C79" i="5"/>
  <c r="A80" i="5"/>
  <c r="B80" i="5"/>
  <c r="C80" i="5"/>
  <c r="A81" i="5"/>
  <c r="I81" i="5" s="1"/>
  <c r="B81" i="5"/>
  <c r="C81" i="5"/>
  <c r="A82" i="5"/>
  <c r="G82" i="5" s="1"/>
  <c r="B82" i="5"/>
  <c r="C82" i="5"/>
  <c r="A83" i="5"/>
  <c r="B83" i="5"/>
  <c r="C83" i="5"/>
  <c r="A84" i="5"/>
  <c r="B84" i="5"/>
  <c r="C84" i="5"/>
  <c r="A85" i="5"/>
  <c r="B85" i="5"/>
  <c r="C85" i="5"/>
  <c r="A86" i="5"/>
  <c r="B86" i="5"/>
  <c r="C86" i="5"/>
  <c r="A87" i="5"/>
  <c r="B87" i="5"/>
  <c r="C87" i="5"/>
  <c r="A88" i="5"/>
  <c r="B88" i="5"/>
  <c r="C88" i="5"/>
  <c r="A89" i="5"/>
  <c r="F89" i="5" s="1"/>
  <c r="B89" i="5"/>
  <c r="C89" i="5"/>
  <c r="A90" i="5"/>
  <c r="B90" i="5"/>
  <c r="C90" i="5"/>
  <c r="A91" i="5"/>
  <c r="B91" i="5"/>
  <c r="C91" i="5"/>
  <c r="A92" i="5"/>
  <c r="B92" i="5"/>
  <c r="C92" i="5"/>
  <c r="A93" i="5"/>
  <c r="F93" i="5" s="1"/>
  <c r="B93" i="5"/>
  <c r="C93" i="5"/>
  <c r="A94" i="5"/>
  <c r="B94" i="5"/>
  <c r="C94" i="5"/>
  <c r="A95" i="5"/>
  <c r="B95" i="5"/>
  <c r="C95" i="5"/>
  <c r="A96" i="5"/>
  <c r="F96" i="5" s="1"/>
  <c r="B96" i="5"/>
  <c r="C96" i="5"/>
  <c r="A97" i="5"/>
  <c r="H97" i="5" s="1"/>
  <c r="B97" i="5"/>
  <c r="C97" i="5"/>
  <c r="A98" i="5"/>
  <c r="B98" i="5"/>
  <c r="C98" i="5"/>
  <c r="A99" i="5"/>
  <c r="B99" i="5"/>
  <c r="C99" i="5"/>
  <c r="A100" i="5"/>
  <c r="B100" i="5"/>
  <c r="C100" i="5"/>
  <c r="A101" i="5"/>
  <c r="B101" i="5"/>
  <c r="C101" i="5"/>
  <c r="A102" i="5"/>
  <c r="B102" i="5"/>
  <c r="C102" i="5"/>
  <c r="A103" i="5"/>
  <c r="B103" i="5"/>
  <c r="C103" i="5"/>
  <c r="A104" i="5"/>
  <c r="F104" i="5" s="1"/>
  <c r="B104" i="5"/>
  <c r="C104" i="5"/>
  <c r="A105" i="5"/>
  <c r="H105" i="5" s="1"/>
  <c r="B105" i="5"/>
  <c r="C105" i="5"/>
  <c r="A106" i="5"/>
  <c r="B106" i="5"/>
  <c r="C106" i="5"/>
  <c r="A107" i="5"/>
  <c r="B107" i="5"/>
  <c r="C107" i="5"/>
  <c r="A108" i="5"/>
  <c r="B108" i="5"/>
  <c r="C108" i="5"/>
  <c r="A109" i="5"/>
  <c r="B109" i="5"/>
  <c r="C109" i="5"/>
  <c r="A110" i="5"/>
  <c r="B110" i="5"/>
  <c r="C110" i="5"/>
  <c r="A111" i="5"/>
  <c r="B111" i="5"/>
  <c r="C111" i="5"/>
  <c r="A112" i="5"/>
  <c r="B112" i="5"/>
  <c r="C112" i="5"/>
  <c r="A113" i="5"/>
  <c r="H113" i="5" s="1"/>
  <c r="B113" i="5"/>
  <c r="C113" i="5"/>
  <c r="A114" i="5"/>
  <c r="B114" i="5"/>
  <c r="C114" i="5"/>
  <c r="A115" i="5"/>
  <c r="B115" i="5"/>
  <c r="C115" i="5"/>
  <c r="A116" i="5"/>
  <c r="B116" i="5"/>
  <c r="C116" i="5"/>
  <c r="A117" i="5"/>
  <c r="B117" i="5"/>
  <c r="C117" i="5"/>
  <c r="A118" i="5"/>
  <c r="B118" i="5"/>
  <c r="C118" i="5"/>
  <c r="A119" i="5"/>
  <c r="B119" i="5"/>
  <c r="C119" i="5"/>
  <c r="A120" i="5"/>
  <c r="I120" i="5" s="1"/>
  <c r="B120" i="5"/>
  <c r="C120" i="5"/>
  <c r="A121" i="5"/>
  <c r="B121" i="5"/>
  <c r="C121" i="5"/>
  <c r="A122" i="5"/>
  <c r="B122" i="5"/>
  <c r="C122" i="5"/>
  <c r="A123" i="5"/>
  <c r="B123" i="5"/>
  <c r="C123" i="5"/>
  <c r="A124" i="5"/>
  <c r="B124" i="5"/>
  <c r="C124" i="5"/>
  <c r="A125" i="5"/>
  <c r="B125" i="5"/>
  <c r="C125" i="5"/>
  <c r="A126" i="5"/>
  <c r="B126" i="5"/>
  <c r="C126" i="5"/>
  <c r="A127" i="5"/>
  <c r="B127" i="5"/>
  <c r="C127" i="5"/>
  <c r="A128" i="5"/>
  <c r="B128" i="5"/>
  <c r="C128" i="5"/>
  <c r="A129" i="5"/>
  <c r="E129" i="5" s="1"/>
  <c r="B129" i="5"/>
  <c r="C129" i="5"/>
  <c r="A130" i="5"/>
  <c r="B130" i="5"/>
  <c r="C130" i="5"/>
  <c r="A131" i="5"/>
  <c r="B131" i="5"/>
  <c r="C131" i="5"/>
  <c r="A132" i="5"/>
  <c r="B132" i="5"/>
  <c r="C132" i="5"/>
  <c r="A133" i="5"/>
  <c r="B133" i="5"/>
  <c r="C133" i="5"/>
  <c r="A134" i="5"/>
  <c r="B134" i="5"/>
  <c r="C134" i="5"/>
  <c r="A135" i="5"/>
  <c r="B135" i="5"/>
  <c r="C135" i="5"/>
  <c r="A136" i="5"/>
  <c r="B136" i="5"/>
  <c r="C136" i="5"/>
  <c r="A137" i="5"/>
  <c r="D137" i="5" s="1"/>
  <c r="B137" i="5"/>
  <c r="C137" i="5"/>
  <c r="A138" i="5"/>
  <c r="B138" i="5"/>
  <c r="C138" i="5"/>
  <c r="A139" i="5"/>
  <c r="B139" i="5"/>
  <c r="C139" i="5"/>
  <c r="A140" i="5"/>
  <c r="B140" i="5"/>
  <c r="C140" i="5"/>
  <c r="A141" i="5"/>
  <c r="B141" i="5"/>
  <c r="C141" i="5"/>
  <c r="A142" i="5"/>
  <c r="B142" i="5"/>
  <c r="C142" i="5"/>
  <c r="A143" i="5"/>
  <c r="B143" i="5"/>
  <c r="C143" i="5"/>
  <c r="A144" i="5"/>
  <c r="B144" i="5"/>
  <c r="C144" i="5"/>
  <c r="A145" i="5"/>
  <c r="N145" i="5" s="1"/>
  <c r="B145" i="5"/>
  <c r="C145" i="5"/>
  <c r="A146" i="5"/>
  <c r="B146" i="5"/>
  <c r="C146" i="5"/>
  <c r="A147" i="5"/>
  <c r="B147" i="5"/>
  <c r="C147" i="5"/>
  <c r="A148" i="5"/>
  <c r="B148" i="5"/>
  <c r="C148" i="5"/>
  <c r="A149" i="5"/>
  <c r="B149" i="5"/>
  <c r="C149" i="5"/>
  <c r="A150" i="5"/>
  <c r="B150" i="5"/>
  <c r="C150" i="5"/>
  <c r="A151" i="5"/>
  <c r="B151" i="5"/>
  <c r="C151" i="5"/>
  <c r="A152" i="5"/>
  <c r="B152" i="5"/>
  <c r="C152" i="5"/>
  <c r="A153" i="5"/>
  <c r="B153" i="5"/>
  <c r="C153" i="5"/>
  <c r="A154" i="5"/>
  <c r="B154" i="5"/>
  <c r="C154" i="5"/>
  <c r="A155" i="5"/>
  <c r="B155" i="5"/>
  <c r="C155" i="5"/>
  <c r="A156" i="5"/>
  <c r="B156" i="5"/>
  <c r="C156" i="5"/>
  <c r="A157" i="5"/>
  <c r="B157" i="5"/>
  <c r="C157" i="5"/>
  <c r="A158" i="5"/>
  <c r="B158" i="5"/>
  <c r="C158" i="5"/>
  <c r="A159" i="5"/>
  <c r="B159" i="5"/>
  <c r="C159" i="5"/>
  <c r="A160" i="5"/>
  <c r="B160" i="5"/>
  <c r="C160" i="5"/>
  <c r="A161" i="5"/>
  <c r="B161" i="5"/>
  <c r="C161" i="5"/>
  <c r="A162" i="5"/>
  <c r="B162" i="5"/>
  <c r="C162" i="5"/>
  <c r="A163" i="5"/>
  <c r="B163" i="5"/>
  <c r="C163" i="5"/>
  <c r="A164" i="5"/>
  <c r="B164" i="5"/>
  <c r="C164" i="5"/>
  <c r="A165" i="5"/>
  <c r="B165" i="5"/>
  <c r="C165" i="5"/>
  <c r="A166" i="5"/>
  <c r="B166" i="5"/>
  <c r="C166" i="5"/>
  <c r="A167" i="5"/>
  <c r="B167" i="5"/>
  <c r="C167" i="5"/>
  <c r="A168" i="5"/>
  <c r="B168" i="5"/>
  <c r="C168" i="5"/>
  <c r="A169" i="5"/>
  <c r="H169" i="5" s="1"/>
  <c r="B169" i="5"/>
  <c r="C169" i="5"/>
  <c r="A170" i="5"/>
  <c r="B170" i="5"/>
  <c r="C170" i="5"/>
  <c r="A171" i="5"/>
  <c r="B171" i="5"/>
  <c r="C171" i="5"/>
  <c r="A172" i="5"/>
  <c r="B172" i="5"/>
  <c r="C172" i="5"/>
  <c r="A173" i="5"/>
  <c r="B173" i="5"/>
  <c r="C173" i="5"/>
  <c r="A174" i="5"/>
  <c r="B174" i="5"/>
  <c r="C174" i="5"/>
  <c r="A175" i="5"/>
  <c r="E175" i="5" s="1"/>
  <c r="B175" i="5"/>
  <c r="C175" i="5"/>
  <c r="A176" i="5"/>
  <c r="B176" i="5"/>
  <c r="C176" i="5"/>
  <c r="A177" i="5"/>
  <c r="B177" i="5"/>
  <c r="C177" i="5"/>
  <c r="A178" i="5"/>
  <c r="B178" i="5"/>
  <c r="C178" i="5"/>
  <c r="A179" i="5"/>
  <c r="B179" i="5"/>
  <c r="C179" i="5"/>
  <c r="A180" i="5"/>
  <c r="B180" i="5"/>
  <c r="C180" i="5"/>
  <c r="A181" i="5"/>
  <c r="B181" i="5"/>
  <c r="C181" i="5"/>
  <c r="A182" i="5"/>
  <c r="B182" i="5"/>
  <c r="C182" i="5"/>
  <c r="A183" i="5"/>
  <c r="B183" i="5"/>
  <c r="C183" i="5"/>
  <c r="A184" i="5"/>
  <c r="B184" i="5"/>
  <c r="C184" i="5"/>
  <c r="A185" i="5"/>
  <c r="G185" i="5" s="1"/>
  <c r="B185" i="5"/>
  <c r="C185" i="5"/>
  <c r="A186" i="5"/>
  <c r="B186" i="5"/>
  <c r="C186" i="5"/>
  <c r="A187" i="5"/>
  <c r="B187" i="5"/>
  <c r="C187" i="5"/>
  <c r="A188" i="5"/>
  <c r="B188" i="5"/>
  <c r="C188" i="5"/>
  <c r="A189" i="5"/>
  <c r="D189" i="5" s="1"/>
  <c r="B189" i="5"/>
  <c r="C189" i="5"/>
  <c r="A190" i="5"/>
  <c r="B190" i="5"/>
  <c r="C190" i="5"/>
  <c r="A191" i="5"/>
  <c r="B191" i="5"/>
  <c r="C191" i="5"/>
  <c r="A192" i="5"/>
  <c r="B192" i="5"/>
  <c r="C192" i="5"/>
  <c r="A193" i="5"/>
  <c r="B193" i="5"/>
  <c r="C193" i="5"/>
  <c r="A194" i="5"/>
  <c r="B194" i="5"/>
  <c r="C194" i="5"/>
  <c r="A195" i="5"/>
  <c r="B195" i="5"/>
  <c r="C195" i="5"/>
  <c r="A196" i="5"/>
  <c r="B196" i="5"/>
  <c r="C196" i="5"/>
  <c r="A197" i="5"/>
  <c r="B197" i="5"/>
  <c r="C197" i="5"/>
  <c r="A198" i="5"/>
  <c r="D198" i="5" s="1"/>
  <c r="B198" i="5"/>
  <c r="C198" i="5"/>
  <c r="A199" i="5"/>
  <c r="B199" i="5"/>
  <c r="C199" i="5"/>
  <c r="A200" i="5"/>
  <c r="B200" i="5"/>
  <c r="C200" i="5"/>
  <c r="A201" i="5"/>
  <c r="B201" i="5"/>
  <c r="C201" i="5"/>
  <c r="A202" i="5"/>
  <c r="B202" i="5"/>
  <c r="C202" i="5"/>
  <c r="A203" i="5"/>
  <c r="I203" i="5" s="1"/>
  <c r="B203" i="5"/>
  <c r="C203" i="5"/>
  <c r="A204" i="5"/>
  <c r="B204" i="5"/>
  <c r="C204" i="5"/>
  <c r="A205" i="5"/>
  <c r="B205" i="5"/>
  <c r="C205" i="5"/>
  <c r="A206" i="5"/>
  <c r="B206" i="5"/>
  <c r="C206" i="5"/>
  <c r="A207" i="5"/>
  <c r="B207" i="5"/>
  <c r="C207" i="5"/>
  <c r="A208" i="5"/>
  <c r="B208" i="5"/>
  <c r="C208" i="5"/>
  <c r="A209" i="5"/>
  <c r="I209" i="5" s="1"/>
  <c r="B209" i="5"/>
  <c r="C209" i="5"/>
  <c r="A210" i="5"/>
  <c r="B210" i="5"/>
  <c r="C210" i="5"/>
  <c r="A211" i="5"/>
  <c r="B211" i="5"/>
  <c r="C211" i="5"/>
  <c r="A212" i="5"/>
  <c r="B212" i="5"/>
  <c r="C212" i="5"/>
  <c r="A213" i="5"/>
  <c r="B213" i="5"/>
  <c r="C213" i="5"/>
  <c r="A214" i="5"/>
  <c r="B214" i="5"/>
  <c r="C214" i="5"/>
  <c r="A215" i="5"/>
  <c r="B215" i="5"/>
  <c r="C215" i="5"/>
  <c r="A216" i="5"/>
  <c r="E216" i="5" s="1"/>
  <c r="B216" i="5"/>
  <c r="C216" i="5"/>
  <c r="A217" i="5"/>
  <c r="B217" i="5"/>
  <c r="C217" i="5"/>
  <c r="A218" i="5"/>
  <c r="E218" i="5" s="1"/>
  <c r="B218" i="5"/>
  <c r="C218" i="5"/>
  <c r="A219" i="5"/>
  <c r="B219" i="5"/>
  <c r="C219" i="5"/>
  <c r="A220" i="5"/>
  <c r="B220" i="5"/>
  <c r="C220" i="5"/>
  <c r="A221" i="5"/>
  <c r="B221" i="5"/>
  <c r="C221" i="5"/>
  <c r="A222" i="5"/>
  <c r="B222" i="5"/>
  <c r="C222" i="5"/>
  <c r="A223" i="5"/>
  <c r="B223" i="5"/>
  <c r="C223" i="5"/>
  <c r="A224" i="5"/>
  <c r="B224" i="5"/>
  <c r="C224" i="5"/>
  <c r="A225" i="5"/>
  <c r="D225" i="5" s="1"/>
  <c r="B225" i="5"/>
  <c r="C225" i="5"/>
  <c r="A226" i="5"/>
  <c r="B226" i="5"/>
  <c r="C226" i="5"/>
  <c r="A227" i="5"/>
  <c r="I227" i="5" s="1"/>
  <c r="B227" i="5"/>
  <c r="C227" i="5"/>
  <c r="A228" i="5"/>
  <c r="B228" i="5"/>
  <c r="C228" i="5"/>
  <c r="A229" i="5"/>
  <c r="B229" i="5"/>
  <c r="C229" i="5"/>
  <c r="A230" i="5"/>
  <c r="B230" i="5"/>
  <c r="C230" i="5"/>
  <c r="A231" i="5"/>
  <c r="B231" i="5"/>
  <c r="C231" i="5"/>
  <c r="A232" i="5"/>
  <c r="B232" i="5"/>
  <c r="C232" i="5"/>
  <c r="A233" i="5"/>
  <c r="F233" i="5" s="1"/>
  <c r="B233" i="5"/>
  <c r="C233" i="5"/>
  <c r="A234" i="5"/>
  <c r="B234" i="5"/>
  <c r="C234" i="5"/>
  <c r="A235" i="5"/>
  <c r="B235" i="5"/>
  <c r="C235" i="5"/>
  <c r="A236" i="5"/>
  <c r="B236" i="5"/>
  <c r="C236" i="5"/>
  <c r="A237" i="5"/>
  <c r="B237" i="5"/>
  <c r="C237" i="5"/>
  <c r="A238" i="5"/>
  <c r="B238" i="5"/>
  <c r="C238" i="5"/>
  <c r="A239" i="5"/>
  <c r="G239" i="5" s="1"/>
  <c r="B239" i="5"/>
  <c r="C239" i="5"/>
  <c r="A240" i="5"/>
  <c r="B240" i="5"/>
  <c r="C240" i="5"/>
  <c r="A241" i="5"/>
  <c r="G241" i="5" s="1"/>
  <c r="B241" i="5"/>
  <c r="C241" i="5"/>
  <c r="A242" i="5"/>
  <c r="B242" i="5"/>
  <c r="C242" i="5"/>
  <c r="A243" i="5"/>
  <c r="I243" i="5" s="1"/>
  <c r="B243" i="5"/>
  <c r="C243" i="5"/>
  <c r="A244" i="5"/>
  <c r="B244" i="5"/>
  <c r="C244" i="5"/>
  <c r="A245" i="5"/>
  <c r="B245" i="5"/>
  <c r="C245" i="5"/>
  <c r="A246" i="5"/>
  <c r="B246" i="5"/>
  <c r="C246" i="5"/>
  <c r="A247" i="5"/>
  <c r="N247" i="5" s="1"/>
  <c r="B247" i="5"/>
  <c r="C247" i="5"/>
  <c r="A248" i="5"/>
  <c r="B248" i="5"/>
  <c r="C248" i="5"/>
  <c r="A249" i="5"/>
  <c r="B249" i="5"/>
  <c r="C249" i="5"/>
  <c r="A250" i="5"/>
  <c r="B250" i="5"/>
  <c r="C250" i="5"/>
  <c r="A251" i="5"/>
  <c r="E251" i="5" s="1"/>
  <c r="B251" i="5"/>
  <c r="C251" i="5"/>
  <c r="C3" i="5"/>
  <c r="B3" i="5"/>
  <c r="A3" i="5"/>
  <c r="I172" i="5"/>
  <c r="I164" i="5"/>
  <c r="E116" i="5"/>
  <c r="F112" i="5"/>
  <c r="M108" i="5"/>
  <c r="M100" i="5"/>
  <c r="I88" i="5"/>
  <c r="E60" i="5"/>
  <c r="G52" i="5"/>
  <c r="G44" i="5"/>
  <c r="G36" i="5"/>
  <c r="G32" i="5"/>
  <c r="G28" i="5"/>
  <c r="G24" i="5"/>
  <c r="G20" i="5"/>
  <c r="G16" i="5"/>
  <c r="G12" i="5"/>
  <c r="G8" i="5"/>
  <c r="D3" i="5"/>
  <c r="F62" i="5"/>
  <c r="M251" i="5"/>
  <c r="L251" i="5"/>
  <c r="K251" i="5"/>
  <c r="J251" i="5"/>
  <c r="I251" i="5"/>
  <c r="F251" i="5"/>
  <c r="N250" i="5"/>
  <c r="M250" i="5"/>
  <c r="L250" i="5"/>
  <c r="K250" i="5"/>
  <c r="J250" i="5"/>
  <c r="I250" i="5"/>
  <c r="H250" i="5"/>
  <c r="G250" i="5"/>
  <c r="F250" i="5"/>
  <c r="E250" i="5"/>
  <c r="D250" i="5"/>
  <c r="N249" i="5"/>
  <c r="M249" i="5"/>
  <c r="L249" i="5"/>
  <c r="K249" i="5"/>
  <c r="J249" i="5"/>
  <c r="I249" i="5"/>
  <c r="H249" i="5"/>
  <c r="G249" i="5"/>
  <c r="F249" i="5"/>
  <c r="E249" i="5"/>
  <c r="D249" i="5"/>
  <c r="N248" i="5"/>
  <c r="M248" i="5"/>
  <c r="L248" i="5"/>
  <c r="K248" i="5"/>
  <c r="J248" i="5"/>
  <c r="I248" i="5"/>
  <c r="H248" i="5"/>
  <c r="G248" i="5"/>
  <c r="F248" i="5"/>
  <c r="E248" i="5"/>
  <c r="D248" i="5"/>
  <c r="M247" i="5"/>
  <c r="L247" i="5"/>
  <c r="K247" i="5"/>
  <c r="J247" i="5"/>
  <c r="I247" i="5"/>
  <c r="H247" i="5"/>
  <c r="G247" i="5"/>
  <c r="E247" i="5"/>
  <c r="D247" i="5"/>
  <c r="N246" i="5"/>
  <c r="M246" i="5"/>
  <c r="L246" i="5"/>
  <c r="K246" i="5"/>
  <c r="J246" i="5"/>
  <c r="I246" i="5"/>
  <c r="H246" i="5"/>
  <c r="G246" i="5"/>
  <c r="F246" i="5"/>
  <c r="E246" i="5"/>
  <c r="D246" i="5"/>
  <c r="N245" i="5"/>
  <c r="M245" i="5"/>
  <c r="L245" i="5"/>
  <c r="K245" i="5"/>
  <c r="J245" i="5"/>
  <c r="I245" i="5"/>
  <c r="H245" i="5"/>
  <c r="G245" i="5"/>
  <c r="F245" i="5"/>
  <c r="E245" i="5"/>
  <c r="D245" i="5"/>
  <c r="M244" i="5"/>
  <c r="L244" i="5"/>
  <c r="K244" i="5"/>
  <c r="J244" i="5"/>
  <c r="M243" i="5"/>
  <c r="L243" i="5"/>
  <c r="K243" i="5"/>
  <c r="J243" i="5"/>
  <c r="E243" i="5"/>
  <c r="N242" i="5"/>
  <c r="M242" i="5"/>
  <c r="L242" i="5"/>
  <c r="K242" i="5"/>
  <c r="J242" i="5"/>
  <c r="I242" i="5"/>
  <c r="H242" i="5"/>
  <c r="G242" i="5"/>
  <c r="F242" i="5"/>
  <c r="E242" i="5"/>
  <c r="D242" i="5"/>
  <c r="M241" i="5"/>
  <c r="L241" i="5"/>
  <c r="K241" i="5"/>
  <c r="J241" i="5"/>
  <c r="M240" i="5"/>
  <c r="L240" i="5"/>
  <c r="K240" i="5"/>
  <c r="J240" i="5"/>
  <c r="N239" i="5"/>
  <c r="M239" i="5"/>
  <c r="L239" i="5"/>
  <c r="K239" i="5"/>
  <c r="J239" i="5"/>
  <c r="I239" i="5"/>
  <c r="H239" i="5"/>
  <c r="F239" i="5"/>
  <c r="E239" i="5"/>
  <c r="D239" i="5"/>
  <c r="N238" i="5"/>
  <c r="M238" i="5"/>
  <c r="L238" i="5"/>
  <c r="K238" i="5"/>
  <c r="J238" i="5"/>
  <c r="I238" i="5"/>
  <c r="H238" i="5"/>
  <c r="G238" i="5"/>
  <c r="F238" i="5"/>
  <c r="E238" i="5"/>
  <c r="D238" i="5"/>
  <c r="N237" i="5"/>
  <c r="M237" i="5"/>
  <c r="L237" i="5"/>
  <c r="K237" i="5"/>
  <c r="J237" i="5"/>
  <c r="I237" i="5"/>
  <c r="H237" i="5"/>
  <c r="G237" i="5"/>
  <c r="F237" i="5"/>
  <c r="E237" i="5"/>
  <c r="D237" i="5"/>
  <c r="M236" i="5"/>
  <c r="L236" i="5"/>
  <c r="K236" i="5"/>
  <c r="J236" i="5"/>
  <c r="I236" i="5"/>
  <c r="N235" i="5"/>
  <c r="M235" i="5"/>
  <c r="L235" i="5"/>
  <c r="K235" i="5"/>
  <c r="J235" i="5"/>
  <c r="I235" i="5"/>
  <c r="H235" i="5"/>
  <c r="G235" i="5"/>
  <c r="F235" i="5"/>
  <c r="E235" i="5"/>
  <c r="D235" i="5"/>
  <c r="N234" i="5"/>
  <c r="M234" i="5"/>
  <c r="L234" i="5"/>
  <c r="K234" i="5"/>
  <c r="J234" i="5"/>
  <c r="I234" i="5"/>
  <c r="H234" i="5"/>
  <c r="G234" i="5"/>
  <c r="F234" i="5"/>
  <c r="E234" i="5"/>
  <c r="D234" i="5"/>
  <c r="M233" i="5"/>
  <c r="L233" i="5"/>
  <c r="K233" i="5"/>
  <c r="J233" i="5"/>
  <c r="N232" i="5"/>
  <c r="M232" i="5"/>
  <c r="L232" i="5"/>
  <c r="K232" i="5"/>
  <c r="J232" i="5"/>
  <c r="I232" i="5"/>
  <c r="H232" i="5"/>
  <c r="G232" i="5"/>
  <c r="F232" i="5"/>
  <c r="E232" i="5"/>
  <c r="D232" i="5"/>
  <c r="N231" i="5"/>
  <c r="M231" i="5"/>
  <c r="L231" i="5"/>
  <c r="K231" i="5"/>
  <c r="J231" i="5"/>
  <c r="I231" i="5"/>
  <c r="H231" i="5"/>
  <c r="G231" i="5"/>
  <c r="F231" i="5"/>
  <c r="E231" i="5"/>
  <c r="D231" i="5"/>
  <c r="N230" i="5"/>
  <c r="M230" i="5"/>
  <c r="L230" i="5"/>
  <c r="K230" i="5"/>
  <c r="J230" i="5"/>
  <c r="I230" i="5"/>
  <c r="H230" i="5"/>
  <c r="G230" i="5"/>
  <c r="F230" i="5"/>
  <c r="E230" i="5"/>
  <c r="D230" i="5"/>
  <c r="N229" i="5"/>
  <c r="M229" i="5"/>
  <c r="L229" i="5"/>
  <c r="K229" i="5"/>
  <c r="J229" i="5"/>
  <c r="M228" i="5"/>
  <c r="L228" i="5"/>
  <c r="K228" i="5"/>
  <c r="J228" i="5"/>
  <c r="E228" i="5"/>
  <c r="M227" i="5"/>
  <c r="L227" i="5"/>
  <c r="K227" i="5"/>
  <c r="J227" i="5"/>
  <c r="E227" i="5"/>
  <c r="N226" i="5"/>
  <c r="M226" i="5"/>
  <c r="L226" i="5"/>
  <c r="K226" i="5"/>
  <c r="J226" i="5"/>
  <c r="I226" i="5"/>
  <c r="H226" i="5"/>
  <c r="G226" i="5"/>
  <c r="F226" i="5"/>
  <c r="E226" i="5"/>
  <c r="D226" i="5"/>
  <c r="M225" i="5"/>
  <c r="L225" i="5"/>
  <c r="K225" i="5"/>
  <c r="J225" i="5"/>
  <c r="N224" i="5"/>
  <c r="M224" i="5"/>
  <c r="L224" i="5"/>
  <c r="K224" i="5"/>
  <c r="J224" i="5"/>
  <c r="I224" i="5"/>
  <c r="H224" i="5"/>
  <c r="G224" i="5"/>
  <c r="F224" i="5"/>
  <c r="E224" i="5"/>
  <c r="D224" i="5"/>
  <c r="N223" i="5"/>
  <c r="M223" i="5"/>
  <c r="L223" i="5"/>
  <c r="K223" i="5"/>
  <c r="J223" i="5"/>
  <c r="I223" i="5"/>
  <c r="H223" i="5"/>
  <c r="G223" i="5"/>
  <c r="F223" i="5"/>
  <c r="E223" i="5"/>
  <c r="D223" i="5"/>
  <c r="N222" i="5"/>
  <c r="M222" i="5"/>
  <c r="L222" i="5"/>
  <c r="K222" i="5"/>
  <c r="J222" i="5"/>
  <c r="I222" i="5"/>
  <c r="H222" i="5"/>
  <c r="G222" i="5"/>
  <c r="F222" i="5"/>
  <c r="E222" i="5"/>
  <c r="D222" i="5"/>
  <c r="M221" i="5"/>
  <c r="L221" i="5"/>
  <c r="K221" i="5"/>
  <c r="J221" i="5"/>
  <c r="H221" i="5"/>
  <c r="N220" i="5"/>
  <c r="M220" i="5"/>
  <c r="L220" i="5"/>
  <c r="K220" i="5"/>
  <c r="J220" i="5"/>
  <c r="I220" i="5"/>
  <c r="H220" i="5"/>
  <c r="G220" i="5"/>
  <c r="F220" i="5"/>
  <c r="E220" i="5"/>
  <c r="D220" i="5"/>
  <c r="N219" i="5"/>
  <c r="M219" i="5"/>
  <c r="L219" i="5"/>
  <c r="K219" i="5"/>
  <c r="J219" i="5"/>
  <c r="I219" i="5"/>
  <c r="H219" i="5"/>
  <c r="G219" i="5"/>
  <c r="F219" i="5"/>
  <c r="E219" i="5"/>
  <c r="D219" i="5"/>
  <c r="N218" i="5"/>
  <c r="M218" i="5"/>
  <c r="L218" i="5"/>
  <c r="K218" i="5"/>
  <c r="J218" i="5"/>
  <c r="I218" i="5"/>
  <c r="H218" i="5"/>
  <c r="G218" i="5"/>
  <c r="F218" i="5"/>
  <c r="D218" i="5"/>
  <c r="N217" i="5"/>
  <c r="M217" i="5"/>
  <c r="L217" i="5"/>
  <c r="K217" i="5"/>
  <c r="J217" i="5"/>
  <c r="I217" i="5"/>
  <c r="H217" i="5"/>
  <c r="G217" i="5"/>
  <c r="F217" i="5"/>
  <c r="E217" i="5"/>
  <c r="D217" i="5"/>
  <c r="N216" i="5"/>
  <c r="M216" i="5"/>
  <c r="L216" i="5"/>
  <c r="K216" i="5"/>
  <c r="J216" i="5"/>
  <c r="N215" i="5"/>
  <c r="M215" i="5"/>
  <c r="L215" i="5"/>
  <c r="K215" i="5"/>
  <c r="J215" i="5"/>
  <c r="I215" i="5"/>
  <c r="H215" i="5"/>
  <c r="G215" i="5"/>
  <c r="F215" i="5"/>
  <c r="E215" i="5"/>
  <c r="D215" i="5"/>
  <c r="N214" i="5"/>
  <c r="M214" i="5"/>
  <c r="L214" i="5"/>
  <c r="K214" i="5"/>
  <c r="J214" i="5"/>
  <c r="I214" i="5"/>
  <c r="H214" i="5"/>
  <c r="G214" i="5"/>
  <c r="F214" i="5"/>
  <c r="E214" i="5"/>
  <c r="D214" i="5"/>
  <c r="E212" i="5"/>
  <c r="N211" i="5"/>
  <c r="M211" i="5"/>
  <c r="L211" i="5"/>
  <c r="K211" i="5"/>
  <c r="J211" i="5"/>
  <c r="I211" i="5"/>
  <c r="H211" i="5"/>
  <c r="G211" i="5"/>
  <c r="F211" i="5"/>
  <c r="E211" i="5"/>
  <c r="D211" i="5"/>
  <c r="N210" i="5"/>
  <c r="M210" i="5"/>
  <c r="L210" i="5"/>
  <c r="K210" i="5"/>
  <c r="J210" i="5"/>
  <c r="I210" i="5"/>
  <c r="H210" i="5"/>
  <c r="G210" i="5"/>
  <c r="F210" i="5"/>
  <c r="E210" i="5"/>
  <c r="D210" i="5"/>
  <c r="N209" i="5"/>
  <c r="M209" i="5"/>
  <c r="L209" i="5"/>
  <c r="K209" i="5"/>
  <c r="J209" i="5"/>
  <c r="N208" i="5"/>
  <c r="M208" i="5"/>
  <c r="L208" i="5"/>
  <c r="K208" i="5"/>
  <c r="J208" i="5"/>
  <c r="E208" i="5"/>
  <c r="N207" i="5"/>
  <c r="M207" i="5"/>
  <c r="L207" i="5"/>
  <c r="K207" i="5"/>
  <c r="J207" i="5"/>
  <c r="I207" i="5"/>
  <c r="H207" i="5"/>
  <c r="G207" i="5"/>
  <c r="F207" i="5"/>
  <c r="E207" i="5"/>
  <c r="D207" i="5"/>
  <c r="N206" i="5"/>
  <c r="M206" i="5"/>
  <c r="L206" i="5"/>
  <c r="K206" i="5"/>
  <c r="J206" i="5"/>
  <c r="I206" i="5"/>
  <c r="H206" i="5"/>
  <c r="G206" i="5"/>
  <c r="F206" i="5"/>
  <c r="E206" i="5"/>
  <c r="D206" i="5"/>
  <c r="D205" i="5"/>
  <c r="E204" i="5"/>
  <c r="N203" i="5"/>
  <c r="M203" i="5"/>
  <c r="L203" i="5"/>
  <c r="K203" i="5"/>
  <c r="J203" i="5"/>
  <c r="F203" i="5"/>
  <c r="E203" i="5"/>
  <c r="D203" i="5"/>
  <c r="N202" i="5"/>
  <c r="M202" i="5"/>
  <c r="L202" i="5"/>
  <c r="K202" i="5"/>
  <c r="J202" i="5"/>
  <c r="I202" i="5"/>
  <c r="H202" i="5"/>
  <c r="G202" i="5"/>
  <c r="F202" i="5"/>
  <c r="E202" i="5"/>
  <c r="D202" i="5"/>
  <c r="N201" i="5"/>
  <c r="M201" i="5"/>
  <c r="L201" i="5"/>
  <c r="K201" i="5"/>
  <c r="J201" i="5"/>
  <c r="N200" i="5"/>
  <c r="M200" i="5"/>
  <c r="L200" i="5"/>
  <c r="K200" i="5"/>
  <c r="J200" i="5"/>
  <c r="I200" i="5"/>
  <c r="H200" i="5"/>
  <c r="G200" i="5"/>
  <c r="F200" i="5"/>
  <c r="E200" i="5"/>
  <c r="D200" i="5"/>
  <c r="N199" i="5"/>
  <c r="M199" i="5"/>
  <c r="L199" i="5"/>
  <c r="K199" i="5"/>
  <c r="J199" i="5"/>
  <c r="I199" i="5"/>
  <c r="H199" i="5"/>
  <c r="G199" i="5"/>
  <c r="F199" i="5"/>
  <c r="E199" i="5"/>
  <c r="D199" i="5"/>
  <c r="N198" i="5"/>
  <c r="M198" i="5"/>
  <c r="L198" i="5"/>
  <c r="K198" i="5"/>
  <c r="J198" i="5"/>
  <c r="G198" i="5"/>
  <c r="F198" i="5"/>
  <c r="E198" i="5"/>
  <c r="N197" i="5"/>
  <c r="M197" i="5"/>
  <c r="L197" i="5"/>
  <c r="K197" i="5"/>
  <c r="J197" i="5"/>
  <c r="F197" i="5"/>
  <c r="N196" i="5"/>
  <c r="M196" i="5"/>
  <c r="L196" i="5"/>
  <c r="K196" i="5"/>
  <c r="J196" i="5"/>
  <c r="E196" i="5"/>
  <c r="N195" i="5"/>
  <c r="M195" i="5"/>
  <c r="L195" i="5"/>
  <c r="K195" i="5"/>
  <c r="J195" i="5"/>
  <c r="I195" i="5"/>
  <c r="H195" i="5"/>
  <c r="G195" i="5"/>
  <c r="F195" i="5"/>
  <c r="E195" i="5"/>
  <c r="D195" i="5"/>
  <c r="N194" i="5"/>
  <c r="M194" i="5"/>
  <c r="L194" i="5"/>
  <c r="K194" i="5"/>
  <c r="J194" i="5"/>
  <c r="I194" i="5"/>
  <c r="H194" i="5"/>
  <c r="G194" i="5"/>
  <c r="F194" i="5"/>
  <c r="E194" i="5"/>
  <c r="D194" i="5"/>
  <c r="N193" i="5"/>
  <c r="M193" i="5"/>
  <c r="L193" i="5"/>
  <c r="K193" i="5"/>
  <c r="J193" i="5"/>
  <c r="N192" i="5"/>
  <c r="M192" i="5"/>
  <c r="L192" i="5"/>
  <c r="K192" i="5"/>
  <c r="J192" i="5"/>
  <c r="E192" i="5"/>
  <c r="N191" i="5"/>
  <c r="M191" i="5"/>
  <c r="L191" i="5"/>
  <c r="K191" i="5"/>
  <c r="J191" i="5"/>
  <c r="I191" i="5"/>
  <c r="H191" i="5"/>
  <c r="G191" i="5"/>
  <c r="F191" i="5"/>
  <c r="E191" i="5"/>
  <c r="D191" i="5"/>
  <c r="N190" i="5"/>
  <c r="M190" i="5"/>
  <c r="L190" i="5"/>
  <c r="K190" i="5"/>
  <c r="J190" i="5"/>
  <c r="I190" i="5"/>
  <c r="H190" i="5"/>
  <c r="G190" i="5"/>
  <c r="F190" i="5"/>
  <c r="E190" i="5"/>
  <c r="D190" i="5"/>
  <c r="N189" i="5"/>
  <c r="M189" i="5"/>
  <c r="L189" i="5"/>
  <c r="K189" i="5"/>
  <c r="J189" i="5"/>
  <c r="N188" i="5"/>
  <c r="M188" i="5"/>
  <c r="L188" i="5"/>
  <c r="K188" i="5"/>
  <c r="J188" i="5"/>
  <c r="E188" i="5"/>
  <c r="N187" i="5"/>
  <c r="M187" i="5"/>
  <c r="L187" i="5"/>
  <c r="K187" i="5"/>
  <c r="J187" i="5"/>
  <c r="I187" i="5"/>
  <c r="H187" i="5"/>
  <c r="G187" i="5"/>
  <c r="F187" i="5"/>
  <c r="E187" i="5"/>
  <c r="D187" i="5"/>
  <c r="N186" i="5"/>
  <c r="M186" i="5"/>
  <c r="L186" i="5"/>
  <c r="K186" i="5"/>
  <c r="J186" i="5"/>
  <c r="I186" i="5"/>
  <c r="H186" i="5"/>
  <c r="G186" i="5"/>
  <c r="F186" i="5"/>
  <c r="E186" i="5"/>
  <c r="D186" i="5"/>
  <c r="N185" i="5"/>
  <c r="M185" i="5"/>
  <c r="L185" i="5"/>
  <c r="K185" i="5"/>
  <c r="J185" i="5"/>
  <c r="N184" i="5"/>
  <c r="M184" i="5"/>
  <c r="L184" i="5"/>
  <c r="K184" i="5"/>
  <c r="J184" i="5"/>
  <c r="I184" i="5"/>
  <c r="H184" i="5"/>
  <c r="G184" i="5"/>
  <c r="F184" i="5"/>
  <c r="E184" i="5"/>
  <c r="D184" i="5"/>
  <c r="N183" i="5"/>
  <c r="M183" i="5"/>
  <c r="L183" i="5"/>
  <c r="K183" i="5"/>
  <c r="J183" i="5"/>
  <c r="I183" i="5"/>
  <c r="H183" i="5"/>
  <c r="G183" i="5"/>
  <c r="F183" i="5"/>
  <c r="E183" i="5"/>
  <c r="D183" i="5"/>
  <c r="N182" i="5"/>
  <c r="M182" i="5"/>
  <c r="L182" i="5"/>
  <c r="K182" i="5"/>
  <c r="J182" i="5"/>
  <c r="I182" i="5"/>
  <c r="H182" i="5"/>
  <c r="G182" i="5"/>
  <c r="F182" i="5"/>
  <c r="E182" i="5"/>
  <c r="D182" i="5"/>
  <c r="N181" i="5"/>
  <c r="M181" i="5"/>
  <c r="L181" i="5"/>
  <c r="K181" i="5"/>
  <c r="J181" i="5"/>
  <c r="N180" i="5"/>
  <c r="M180" i="5"/>
  <c r="L180" i="5"/>
  <c r="K180" i="5"/>
  <c r="J180" i="5"/>
  <c r="E180" i="5"/>
  <c r="N179" i="5"/>
  <c r="M179" i="5"/>
  <c r="L179" i="5"/>
  <c r="K179" i="5"/>
  <c r="J179" i="5"/>
  <c r="I179" i="5"/>
  <c r="H179" i="5"/>
  <c r="G179" i="5"/>
  <c r="F179" i="5"/>
  <c r="E179" i="5"/>
  <c r="D179" i="5"/>
  <c r="N178" i="5"/>
  <c r="M178" i="5"/>
  <c r="L178" i="5"/>
  <c r="K178" i="5"/>
  <c r="J178" i="5"/>
  <c r="I178" i="5"/>
  <c r="H178" i="5"/>
  <c r="G178" i="5"/>
  <c r="F178" i="5"/>
  <c r="E178" i="5"/>
  <c r="D178" i="5"/>
  <c r="N177" i="5"/>
  <c r="M177" i="5"/>
  <c r="L177" i="5"/>
  <c r="K177" i="5"/>
  <c r="J177" i="5"/>
  <c r="I177" i="5"/>
  <c r="H177" i="5"/>
  <c r="G177" i="5"/>
  <c r="F177" i="5"/>
  <c r="E177" i="5"/>
  <c r="D177" i="5"/>
  <c r="N176" i="5"/>
  <c r="M176" i="5"/>
  <c r="L176" i="5"/>
  <c r="K176" i="5"/>
  <c r="J176" i="5"/>
  <c r="E176" i="5"/>
  <c r="N175" i="5"/>
  <c r="M175" i="5"/>
  <c r="L175" i="5"/>
  <c r="K175" i="5"/>
  <c r="J175" i="5"/>
  <c r="F175" i="5"/>
  <c r="D175" i="5"/>
  <c r="N174" i="5"/>
  <c r="M174" i="5"/>
  <c r="L174" i="5"/>
  <c r="K174" i="5"/>
  <c r="J174" i="5"/>
  <c r="I174" i="5"/>
  <c r="H174" i="5"/>
  <c r="G174" i="5"/>
  <c r="F174" i="5"/>
  <c r="E174" i="5"/>
  <c r="D174" i="5"/>
  <c r="N173" i="5"/>
  <c r="M173" i="5"/>
  <c r="L173" i="5"/>
  <c r="K173" i="5"/>
  <c r="J173" i="5"/>
  <c r="I173" i="5"/>
  <c r="N172" i="5"/>
  <c r="M172" i="5"/>
  <c r="L172" i="5"/>
  <c r="K172" i="5"/>
  <c r="J172" i="5"/>
  <c r="E172" i="5"/>
  <c r="N171" i="5"/>
  <c r="M171" i="5"/>
  <c r="L171" i="5"/>
  <c r="K171" i="5"/>
  <c r="J171" i="5"/>
  <c r="I171" i="5"/>
  <c r="H171" i="5"/>
  <c r="G171" i="5"/>
  <c r="F171" i="5"/>
  <c r="E171" i="5"/>
  <c r="D171" i="5"/>
  <c r="N170" i="5"/>
  <c r="M170" i="5"/>
  <c r="L170" i="5"/>
  <c r="K170" i="5"/>
  <c r="J170" i="5"/>
  <c r="I170" i="5"/>
  <c r="H170" i="5"/>
  <c r="G170" i="5"/>
  <c r="F170" i="5"/>
  <c r="E170" i="5"/>
  <c r="D170" i="5"/>
  <c r="N169" i="5"/>
  <c r="M169" i="5"/>
  <c r="L169" i="5"/>
  <c r="K169" i="5"/>
  <c r="J169" i="5"/>
  <c r="N168" i="5"/>
  <c r="M168" i="5"/>
  <c r="L168" i="5"/>
  <c r="K168" i="5"/>
  <c r="J168" i="5"/>
  <c r="E168" i="5"/>
  <c r="N167" i="5"/>
  <c r="M167" i="5"/>
  <c r="L167" i="5"/>
  <c r="K167" i="5"/>
  <c r="J167" i="5"/>
  <c r="I167" i="5"/>
  <c r="H167" i="5"/>
  <c r="G167" i="5"/>
  <c r="F167" i="5"/>
  <c r="E167" i="5"/>
  <c r="D167" i="5"/>
  <c r="N166" i="5"/>
  <c r="M166" i="5"/>
  <c r="L166" i="5"/>
  <c r="K166" i="5"/>
  <c r="J166" i="5"/>
  <c r="I166" i="5"/>
  <c r="H166" i="5"/>
  <c r="G166" i="5"/>
  <c r="F166" i="5"/>
  <c r="E166" i="5"/>
  <c r="D166" i="5"/>
  <c r="N165" i="5"/>
  <c r="M165" i="5"/>
  <c r="L165" i="5"/>
  <c r="K165" i="5"/>
  <c r="J165" i="5"/>
  <c r="N164" i="5"/>
  <c r="M164" i="5"/>
  <c r="L164" i="5"/>
  <c r="K164" i="5"/>
  <c r="J164" i="5"/>
  <c r="E164" i="5"/>
  <c r="N163" i="5"/>
  <c r="M163" i="5"/>
  <c r="L163" i="5"/>
  <c r="K163" i="5"/>
  <c r="J163" i="5"/>
  <c r="I163" i="5"/>
  <c r="H163" i="5"/>
  <c r="G163" i="5"/>
  <c r="F163" i="5"/>
  <c r="E163" i="5"/>
  <c r="D163" i="5"/>
  <c r="N162" i="5"/>
  <c r="M162" i="5"/>
  <c r="L162" i="5"/>
  <c r="K162" i="5"/>
  <c r="J162" i="5"/>
  <c r="I162" i="5"/>
  <c r="H162" i="5"/>
  <c r="G162" i="5"/>
  <c r="F162" i="5"/>
  <c r="E162" i="5"/>
  <c r="D162" i="5"/>
  <c r="N161" i="5"/>
  <c r="M161" i="5"/>
  <c r="L161" i="5"/>
  <c r="K161" i="5"/>
  <c r="J161" i="5"/>
  <c r="I161" i="5"/>
  <c r="H161" i="5"/>
  <c r="G161" i="5"/>
  <c r="F161" i="5"/>
  <c r="E161" i="5"/>
  <c r="D161" i="5"/>
  <c r="N160" i="5"/>
  <c r="M160" i="5"/>
  <c r="L160" i="5"/>
  <c r="K160" i="5"/>
  <c r="J160" i="5"/>
  <c r="E160" i="5"/>
  <c r="N159" i="5"/>
  <c r="M159" i="5"/>
  <c r="L159" i="5"/>
  <c r="K159" i="5"/>
  <c r="J159" i="5"/>
  <c r="I159" i="5"/>
  <c r="H159" i="5"/>
  <c r="G159" i="5"/>
  <c r="F159" i="5"/>
  <c r="E159" i="5"/>
  <c r="D159" i="5"/>
  <c r="N158" i="5"/>
  <c r="M158" i="5"/>
  <c r="L158" i="5"/>
  <c r="K158" i="5"/>
  <c r="J158" i="5"/>
  <c r="I158" i="5"/>
  <c r="H158" i="5"/>
  <c r="G158" i="5"/>
  <c r="F158" i="5"/>
  <c r="E158" i="5"/>
  <c r="D158" i="5"/>
  <c r="N157" i="5"/>
  <c r="M157" i="5"/>
  <c r="L157" i="5"/>
  <c r="K157" i="5"/>
  <c r="J157" i="5"/>
  <c r="E157" i="5"/>
  <c r="N156" i="5"/>
  <c r="M156" i="5"/>
  <c r="L156" i="5"/>
  <c r="K156" i="5"/>
  <c r="J156" i="5"/>
  <c r="E156" i="5"/>
  <c r="N155" i="5"/>
  <c r="M155" i="5"/>
  <c r="L155" i="5"/>
  <c r="K155" i="5"/>
  <c r="J155" i="5"/>
  <c r="I155" i="5"/>
  <c r="H155" i="5"/>
  <c r="G155" i="5"/>
  <c r="F155" i="5"/>
  <c r="E155" i="5"/>
  <c r="D155" i="5"/>
  <c r="N154" i="5"/>
  <c r="M154" i="5"/>
  <c r="L154" i="5"/>
  <c r="K154" i="5"/>
  <c r="J154" i="5"/>
  <c r="I154" i="5"/>
  <c r="H154" i="5"/>
  <c r="G154" i="5"/>
  <c r="F154" i="5"/>
  <c r="E154" i="5"/>
  <c r="D154" i="5"/>
  <c r="N153" i="5"/>
  <c r="M153" i="5"/>
  <c r="L153" i="5"/>
  <c r="K153" i="5"/>
  <c r="J153" i="5"/>
  <c r="I153" i="5"/>
  <c r="H153" i="5"/>
  <c r="G153" i="5"/>
  <c r="F153" i="5"/>
  <c r="E153" i="5"/>
  <c r="D153" i="5"/>
  <c r="N152" i="5"/>
  <c r="M152" i="5"/>
  <c r="L152" i="5"/>
  <c r="K152" i="5"/>
  <c r="J152" i="5"/>
  <c r="E152" i="5"/>
  <c r="N151" i="5"/>
  <c r="M151" i="5"/>
  <c r="L151" i="5"/>
  <c r="K151" i="5"/>
  <c r="J151" i="5"/>
  <c r="I151" i="5"/>
  <c r="H151" i="5"/>
  <c r="G151" i="5"/>
  <c r="F151" i="5"/>
  <c r="E151" i="5"/>
  <c r="D151" i="5"/>
  <c r="N150" i="5"/>
  <c r="M150" i="5"/>
  <c r="L150" i="5"/>
  <c r="K150" i="5"/>
  <c r="J150" i="5"/>
  <c r="I150" i="5"/>
  <c r="H150" i="5"/>
  <c r="G150" i="5"/>
  <c r="F150" i="5"/>
  <c r="E150" i="5"/>
  <c r="D150" i="5"/>
  <c r="N149" i="5"/>
  <c r="M149" i="5"/>
  <c r="L149" i="5"/>
  <c r="K149" i="5"/>
  <c r="J149" i="5"/>
  <c r="N148" i="5"/>
  <c r="M148" i="5"/>
  <c r="L148" i="5"/>
  <c r="K148" i="5"/>
  <c r="J148" i="5"/>
  <c r="E148" i="5"/>
  <c r="N147" i="5"/>
  <c r="M147" i="5"/>
  <c r="L147" i="5"/>
  <c r="K147" i="5"/>
  <c r="J147" i="5"/>
  <c r="I147" i="5"/>
  <c r="H147" i="5"/>
  <c r="G147" i="5"/>
  <c r="F147" i="5"/>
  <c r="E147" i="5"/>
  <c r="D147" i="5"/>
  <c r="N146" i="5"/>
  <c r="M146" i="5"/>
  <c r="L146" i="5"/>
  <c r="K146" i="5"/>
  <c r="J146" i="5"/>
  <c r="I146" i="5"/>
  <c r="H146" i="5"/>
  <c r="G146" i="5"/>
  <c r="F146" i="5"/>
  <c r="E146" i="5"/>
  <c r="D146" i="5"/>
  <c r="N144" i="5"/>
  <c r="M144" i="5"/>
  <c r="L144" i="5"/>
  <c r="K144" i="5"/>
  <c r="J144" i="5"/>
  <c r="E144" i="5"/>
  <c r="N143" i="5"/>
  <c r="M143" i="5"/>
  <c r="L143" i="5"/>
  <c r="K143" i="5"/>
  <c r="J143" i="5"/>
  <c r="I143" i="5"/>
  <c r="H143" i="5"/>
  <c r="G143" i="5"/>
  <c r="F143" i="5"/>
  <c r="E143" i="5"/>
  <c r="D143" i="5"/>
  <c r="N142" i="5"/>
  <c r="M142" i="5"/>
  <c r="L142" i="5"/>
  <c r="K142" i="5"/>
  <c r="J142" i="5"/>
  <c r="I142" i="5"/>
  <c r="H142" i="5"/>
  <c r="G142" i="5"/>
  <c r="F142" i="5"/>
  <c r="E142" i="5"/>
  <c r="D142" i="5"/>
  <c r="N141" i="5"/>
  <c r="M141" i="5"/>
  <c r="L141" i="5"/>
  <c r="K141" i="5"/>
  <c r="J141" i="5"/>
  <c r="I141" i="5"/>
  <c r="H141" i="5"/>
  <c r="G141" i="5"/>
  <c r="F141" i="5"/>
  <c r="E141" i="5"/>
  <c r="D141" i="5"/>
  <c r="N140" i="5"/>
  <c r="M140" i="5"/>
  <c r="L140" i="5"/>
  <c r="K140" i="5"/>
  <c r="J140" i="5"/>
  <c r="E140" i="5"/>
  <c r="N139" i="5"/>
  <c r="M139" i="5"/>
  <c r="L139" i="5"/>
  <c r="K139" i="5"/>
  <c r="J139" i="5"/>
  <c r="I139" i="5"/>
  <c r="H139" i="5"/>
  <c r="G139" i="5"/>
  <c r="F139" i="5"/>
  <c r="E139" i="5"/>
  <c r="D139" i="5"/>
  <c r="N138" i="5"/>
  <c r="M138" i="5"/>
  <c r="L138" i="5"/>
  <c r="K138" i="5"/>
  <c r="J138" i="5"/>
  <c r="I138" i="5"/>
  <c r="H138" i="5"/>
  <c r="G138" i="5"/>
  <c r="F138" i="5"/>
  <c r="E138" i="5"/>
  <c r="D138" i="5"/>
  <c r="N137" i="5"/>
  <c r="M137" i="5"/>
  <c r="L137" i="5"/>
  <c r="K137" i="5"/>
  <c r="J137" i="5"/>
  <c r="E136" i="5"/>
  <c r="N135" i="5"/>
  <c r="M135" i="5"/>
  <c r="L135" i="5"/>
  <c r="K135" i="5"/>
  <c r="J135" i="5"/>
  <c r="I135" i="5"/>
  <c r="H135" i="5"/>
  <c r="G135" i="5"/>
  <c r="F135" i="5"/>
  <c r="E135" i="5"/>
  <c r="D135" i="5"/>
  <c r="N134" i="5"/>
  <c r="M134" i="5"/>
  <c r="L134" i="5"/>
  <c r="K134" i="5"/>
  <c r="J134" i="5"/>
  <c r="I134" i="5"/>
  <c r="H134" i="5"/>
  <c r="G134" i="5"/>
  <c r="F134" i="5"/>
  <c r="E134" i="5"/>
  <c r="D134" i="5"/>
  <c r="N133" i="5"/>
  <c r="M133" i="5"/>
  <c r="L133" i="5"/>
  <c r="K133" i="5"/>
  <c r="J133" i="5"/>
  <c r="N132" i="5"/>
  <c r="M132" i="5"/>
  <c r="L132" i="5"/>
  <c r="K132" i="5"/>
  <c r="J132" i="5"/>
  <c r="E132" i="5"/>
  <c r="N131" i="5"/>
  <c r="M131" i="5"/>
  <c r="L131" i="5"/>
  <c r="K131" i="5"/>
  <c r="J131" i="5"/>
  <c r="I131" i="5"/>
  <c r="H131" i="5"/>
  <c r="G131" i="5"/>
  <c r="F131" i="5"/>
  <c r="E131" i="5"/>
  <c r="D131" i="5"/>
  <c r="N130" i="5"/>
  <c r="M130" i="5"/>
  <c r="L130" i="5"/>
  <c r="K130" i="5"/>
  <c r="J130" i="5"/>
  <c r="I130" i="5"/>
  <c r="H130" i="5"/>
  <c r="G130" i="5"/>
  <c r="F130" i="5"/>
  <c r="E130" i="5"/>
  <c r="D130" i="5"/>
  <c r="E128" i="5"/>
  <c r="N127" i="5"/>
  <c r="M127" i="5"/>
  <c r="L127" i="5"/>
  <c r="K127" i="5"/>
  <c r="J127" i="5"/>
  <c r="I127" i="5"/>
  <c r="H127" i="5"/>
  <c r="G127" i="5"/>
  <c r="F127" i="5"/>
  <c r="E127" i="5"/>
  <c r="D127" i="5"/>
  <c r="N126" i="5"/>
  <c r="M126" i="5"/>
  <c r="L126" i="5"/>
  <c r="K126" i="5"/>
  <c r="J126" i="5"/>
  <c r="I126" i="5"/>
  <c r="H126" i="5"/>
  <c r="G126" i="5"/>
  <c r="F126" i="5"/>
  <c r="E126" i="5"/>
  <c r="D126" i="5"/>
  <c r="N125" i="5"/>
  <c r="M125" i="5"/>
  <c r="L125" i="5"/>
  <c r="K125" i="5"/>
  <c r="J125" i="5"/>
  <c r="N124" i="5"/>
  <c r="M124" i="5"/>
  <c r="L124" i="5"/>
  <c r="K124" i="5"/>
  <c r="J124" i="5"/>
  <c r="E124" i="5"/>
  <c r="N123" i="5"/>
  <c r="M123" i="5"/>
  <c r="L123" i="5"/>
  <c r="K123" i="5"/>
  <c r="J123" i="5"/>
  <c r="I123" i="5"/>
  <c r="H123" i="5"/>
  <c r="G123" i="5"/>
  <c r="F123" i="5"/>
  <c r="E123" i="5"/>
  <c r="D123" i="5"/>
  <c r="N122" i="5"/>
  <c r="M122" i="5"/>
  <c r="L122" i="5"/>
  <c r="K122" i="5"/>
  <c r="J122" i="5"/>
  <c r="I122" i="5"/>
  <c r="H122" i="5"/>
  <c r="G122" i="5"/>
  <c r="F122" i="5"/>
  <c r="E122" i="5"/>
  <c r="D122" i="5"/>
  <c r="N121" i="5"/>
  <c r="M121" i="5"/>
  <c r="L121" i="5"/>
  <c r="K121" i="5"/>
  <c r="J121" i="5"/>
  <c r="N120" i="5"/>
  <c r="M120" i="5"/>
  <c r="L120" i="5"/>
  <c r="K120" i="5"/>
  <c r="J120" i="5"/>
  <c r="F120" i="5"/>
  <c r="N119" i="5"/>
  <c r="M119" i="5"/>
  <c r="L119" i="5"/>
  <c r="K119" i="5"/>
  <c r="J119" i="5"/>
  <c r="I119" i="5"/>
  <c r="H119" i="5"/>
  <c r="G119" i="5"/>
  <c r="F119" i="5"/>
  <c r="E119" i="5"/>
  <c r="D119" i="5"/>
  <c r="N118" i="5"/>
  <c r="M118" i="5"/>
  <c r="L118" i="5"/>
  <c r="K118" i="5"/>
  <c r="J118" i="5"/>
  <c r="I118" i="5"/>
  <c r="H118" i="5"/>
  <c r="G118" i="5"/>
  <c r="F118" i="5"/>
  <c r="E118" i="5"/>
  <c r="D118" i="5"/>
  <c r="N117" i="5"/>
  <c r="M117" i="5"/>
  <c r="L117" i="5"/>
  <c r="K117" i="5"/>
  <c r="J117" i="5"/>
  <c r="I117" i="5"/>
  <c r="H117" i="5"/>
  <c r="G117" i="5"/>
  <c r="F117" i="5"/>
  <c r="E117" i="5"/>
  <c r="D117" i="5"/>
  <c r="N116" i="5"/>
  <c r="M116" i="5"/>
  <c r="L116" i="5"/>
  <c r="K116" i="5"/>
  <c r="J116" i="5"/>
  <c r="I116" i="5"/>
  <c r="N115" i="5"/>
  <c r="M115" i="5"/>
  <c r="L115" i="5"/>
  <c r="K115" i="5"/>
  <c r="J115" i="5"/>
  <c r="I115" i="5"/>
  <c r="H115" i="5"/>
  <c r="G115" i="5"/>
  <c r="F115" i="5"/>
  <c r="E115" i="5"/>
  <c r="D115" i="5"/>
  <c r="N114" i="5"/>
  <c r="M114" i="5"/>
  <c r="L114" i="5"/>
  <c r="K114" i="5"/>
  <c r="J114" i="5"/>
  <c r="I114" i="5"/>
  <c r="H114" i="5"/>
  <c r="G114" i="5"/>
  <c r="F114" i="5"/>
  <c r="E114" i="5"/>
  <c r="D114" i="5"/>
  <c r="N113" i="5"/>
  <c r="M113" i="5"/>
  <c r="L113" i="5"/>
  <c r="K113" i="5"/>
  <c r="J113" i="5"/>
  <c r="N112" i="5"/>
  <c r="M112" i="5"/>
  <c r="L112" i="5"/>
  <c r="K112" i="5"/>
  <c r="J112" i="5"/>
  <c r="N111" i="5"/>
  <c r="M111" i="5"/>
  <c r="L111" i="5"/>
  <c r="K111" i="5"/>
  <c r="J111" i="5"/>
  <c r="I111" i="5"/>
  <c r="H111" i="5"/>
  <c r="G111" i="5"/>
  <c r="F111" i="5"/>
  <c r="E111" i="5"/>
  <c r="D111" i="5"/>
  <c r="N110" i="5"/>
  <c r="M110" i="5"/>
  <c r="L110" i="5"/>
  <c r="K110" i="5"/>
  <c r="J110" i="5"/>
  <c r="I110" i="5"/>
  <c r="H110" i="5"/>
  <c r="G110" i="5"/>
  <c r="F110" i="5"/>
  <c r="E110" i="5"/>
  <c r="D110" i="5"/>
  <c r="J109" i="5"/>
  <c r="I108" i="5"/>
  <c r="N107" i="5"/>
  <c r="M107" i="5"/>
  <c r="L107" i="5"/>
  <c r="K107" i="5"/>
  <c r="J107" i="5"/>
  <c r="I107" i="5"/>
  <c r="H107" i="5"/>
  <c r="G107" i="5"/>
  <c r="F107" i="5"/>
  <c r="E107" i="5"/>
  <c r="D107" i="5"/>
  <c r="N106" i="5"/>
  <c r="M106" i="5"/>
  <c r="L106" i="5"/>
  <c r="K106" i="5"/>
  <c r="J106" i="5"/>
  <c r="I106" i="5"/>
  <c r="H106" i="5"/>
  <c r="G106" i="5"/>
  <c r="F106" i="5"/>
  <c r="E106" i="5"/>
  <c r="D106" i="5"/>
  <c r="N105" i="5"/>
  <c r="M105" i="5"/>
  <c r="L105" i="5"/>
  <c r="K105" i="5"/>
  <c r="J105" i="5"/>
  <c r="N104" i="5"/>
  <c r="M104" i="5"/>
  <c r="L104" i="5"/>
  <c r="K104" i="5"/>
  <c r="J104" i="5"/>
  <c r="N103" i="5"/>
  <c r="M103" i="5"/>
  <c r="L103" i="5"/>
  <c r="K103" i="5"/>
  <c r="J103" i="5"/>
  <c r="I103" i="5"/>
  <c r="H103" i="5"/>
  <c r="G103" i="5"/>
  <c r="F103" i="5"/>
  <c r="E103" i="5"/>
  <c r="D103" i="5"/>
  <c r="N102" i="5"/>
  <c r="M102" i="5"/>
  <c r="L102" i="5"/>
  <c r="K102" i="5"/>
  <c r="J102" i="5"/>
  <c r="I102" i="5"/>
  <c r="H102" i="5"/>
  <c r="G102" i="5"/>
  <c r="F102" i="5"/>
  <c r="E102" i="5"/>
  <c r="D102" i="5"/>
  <c r="N101" i="5"/>
  <c r="M101" i="5"/>
  <c r="L101" i="5"/>
  <c r="K101" i="5"/>
  <c r="J101" i="5"/>
  <c r="F101" i="5"/>
  <c r="I100" i="5"/>
  <c r="N99" i="5"/>
  <c r="M99" i="5"/>
  <c r="L99" i="5"/>
  <c r="K99" i="5"/>
  <c r="J99" i="5"/>
  <c r="I99" i="5"/>
  <c r="H99" i="5"/>
  <c r="G99" i="5"/>
  <c r="F99" i="5"/>
  <c r="E99" i="5"/>
  <c r="D99" i="5"/>
  <c r="N98" i="5"/>
  <c r="M98" i="5"/>
  <c r="L98" i="5"/>
  <c r="K98" i="5"/>
  <c r="J98" i="5"/>
  <c r="I98" i="5"/>
  <c r="H98" i="5"/>
  <c r="G98" i="5"/>
  <c r="F98" i="5"/>
  <c r="E98" i="5"/>
  <c r="D98" i="5"/>
  <c r="N97" i="5"/>
  <c r="M97" i="5"/>
  <c r="L97" i="5"/>
  <c r="K97" i="5"/>
  <c r="J97" i="5"/>
  <c r="N96" i="5"/>
  <c r="M96" i="5"/>
  <c r="L96" i="5"/>
  <c r="K96" i="5"/>
  <c r="J96" i="5"/>
  <c r="N95" i="5"/>
  <c r="M95" i="5"/>
  <c r="L95" i="5"/>
  <c r="K95" i="5"/>
  <c r="J95" i="5"/>
  <c r="I95" i="5"/>
  <c r="H95" i="5"/>
  <c r="G95" i="5"/>
  <c r="F95" i="5"/>
  <c r="E95" i="5"/>
  <c r="D95" i="5"/>
  <c r="N94" i="5"/>
  <c r="M94" i="5"/>
  <c r="L94" i="5"/>
  <c r="K94" i="5"/>
  <c r="J94" i="5"/>
  <c r="I94" i="5"/>
  <c r="H94" i="5"/>
  <c r="G94" i="5"/>
  <c r="F94" i="5"/>
  <c r="E94" i="5"/>
  <c r="D94" i="5"/>
  <c r="N93" i="5"/>
  <c r="M93" i="5"/>
  <c r="L93" i="5"/>
  <c r="K93" i="5"/>
  <c r="J93" i="5"/>
  <c r="N92" i="5"/>
  <c r="M92" i="5"/>
  <c r="L92" i="5"/>
  <c r="K92" i="5"/>
  <c r="J92" i="5"/>
  <c r="I92" i="5"/>
  <c r="H92" i="5"/>
  <c r="G92" i="5"/>
  <c r="F92" i="5"/>
  <c r="E92" i="5"/>
  <c r="D92" i="5"/>
  <c r="N91" i="5"/>
  <c r="M91" i="5"/>
  <c r="L91" i="5"/>
  <c r="K91" i="5"/>
  <c r="J91" i="5"/>
  <c r="I91" i="5"/>
  <c r="H91" i="5"/>
  <c r="G91" i="5"/>
  <c r="F91" i="5"/>
  <c r="E91" i="5"/>
  <c r="D91" i="5"/>
  <c r="N90" i="5"/>
  <c r="M90" i="5"/>
  <c r="L90" i="5"/>
  <c r="K90" i="5"/>
  <c r="J90" i="5"/>
  <c r="I90" i="5"/>
  <c r="H90" i="5"/>
  <c r="G90" i="5"/>
  <c r="F90" i="5"/>
  <c r="E90" i="5"/>
  <c r="D90" i="5"/>
  <c r="N89" i="5"/>
  <c r="M89" i="5"/>
  <c r="L89" i="5"/>
  <c r="K89" i="5"/>
  <c r="J89" i="5"/>
  <c r="N88" i="5"/>
  <c r="M88" i="5"/>
  <c r="L88" i="5"/>
  <c r="K88" i="5"/>
  <c r="J88" i="5"/>
  <c r="E88" i="5"/>
  <c r="N87" i="5"/>
  <c r="M87" i="5"/>
  <c r="L87" i="5"/>
  <c r="K87" i="5"/>
  <c r="J87" i="5"/>
  <c r="I87" i="5"/>
  <c r="H87" i="5"/>
  <c r="G87" i="5"/>
  <c r="F87" i="5"/>
  <c r="E87" i="5"/>
  <c r="D87" i="5"/>
  <c r="N86" i="5"/>
  <c r="M86" i="5"/>
  <c r="L86" i="5"/>
  <c r="K86" i="5"/>
  <c r="J86" i="5"/>
  <c r="I86" i="5"/>
  <c r="H86" i="5"/>
  <c r="G86" i="5"/>
  <c r="F86" i="5"/>
  <c r="E86" i="5"/>
  <c r="D86" i="5"/>
  <c r="M85" i="5"/>
  <c r="E85" i="5"/>
  <c r="N84" i="5"/>
  <c r="M84" i="5"/>
  <c r="L84" i="5"/>
  <c r="K84" i="5"/>
  <c r="J84" i="5"/>
  <c r="F84" i="5"/>
  <c r="N83" i="5"/>
  <c r="M83" i="5"/>
  <c r="L83" i="5"/>
  <c r="K83" i="5"/>
  <c r="J83" i="5"/>
  <c r="I83" i="5"/>
  <c r="H83" i="5"/>
  <c r="G83" i="5"/>
  <c r="F83" i="5"/>
  <c r="E83" i="5"/>
  <c r="D83" i="5"/>
  <c r="N82" i="5"/>
  <c r="M82" i="5"/>
  <c r="H82" i="5"/>
  <c r="F82" i="5"/>
  <c r="E82" i="5"/>
  <c r="D82" i="5"/>
  <c r="N81" i="5"/>
  <c r="M81" i="5"/>
  <c r="L81" i="5"/>
  <c r="K81" i="5"/>
  <c r="J81" i="5"/>
  <c r="N80" i="5"/>
  <c r="M80" i="5"/>
  <c r="L80" i="5"/>
  <c r="K80" i="5"/>
  <c r="J80" i="5"/>
  <c r="I80" i="5"/>
  <c r="N79" i="5"/>
  <c r="M79" i="5"/>
  <c r="L79" i="5"/>
  <c r="K79" i="5"/>
  <c r="J79" i="5"/>
  <c r="I79" i="5"/>
  <c r="H79" i="5"/>
  <c r="G79" i="5"/>
  <c r="F79" i="5"/>
  <c r="E79" i="5"/>
  <c r="D79" i="5"/>
  <c r="N78" i="5"/>
  <c r="M78" i="5"/>
  <c r="L78" i="5"/>
  <c r="K78" i="5"/>
  <c r="J78" i="5"/>
  <c r="I78" i="5"/>
  <c r="H78" i="5"/>
  <c r="G78" i="5"/>
  <c r="F78" i="5"/>
  <c r="E78" i="5"/>
  <c r="D78" i="5"/>
  <c r="N77" i="5"/>
  <c r="M77" i="5"/>
  <c r="L77" i="5"/>
  <c r="K77" i="5"/>
  <c r="J77" i="5"/>
  <c r="G77" i="5"/>
  <c r="N76" i="5"/>
  <c r="F76" i="5"/>
  <c r="N75" i="5"/>
  <c r="M75" i="5"/>
  <c r="L75" i="5"/>
  <c r="K75" i="5"/>
  <c r="J75" i="5"/>
  <c r="I75" i="5"/>
  <c r="H75" i="5"/>
  <c r="G75" i="5"/>
  <c r="F75" i="5"/>
  <c r="E75" i="5"/>
  <c r="D75" i="5"/>
  <c r="N74" i="5"/>
  <c r="M74" i="5"/>
  <c r="L74" i="5"/>
  <c r="K74" i="5"/>
  <c r="J74" i="5"/>
  <c r="I74" i="5"/>
  <c r="H74" i="5"/>
  <c r="G74" i="5"/>
  <c r="F74" i="5"/>
  <c r="E74" i="5"/>
  <c r="D74" i="5"/>
  <c r="N72" i="5"/>
  <c r="M72" i="5"/>
  <c r="L72" i="5"/>
  <c r="K72" i="5"/>
  <c r="J72" i="5"/>
  <c r="I72" i="5"/>
  <c r="H72" i="5"/>
  <c r="G72" i="5"/>
  <c r="F72" i="5"/>
  <c r="E72" i="5"/>
  <c r="D72" i="5"/>
  <c r="N71" i="5"/>
  <c r="M71" i="5"/>
  <c r="L71" i="5"/>
  <c r="K71" i="5"/>
  <c r="J71" i="5"/>
  <c r="I71" i="5"/>
  <c r="H71" i="5"/>
  <c r="G71" i="5"/>
  <c r="F71" i="5"/>
  <c r="E71" i="5"/>
  <c r="D71" i="5"/>
  <c r="N70" i="5"/>
  <c r="M70" i="5"/>
  <c r="L70" i="5"/>
  <c r="K70" i="5"/>
  <c r="J70" i="5"/>
  <c r="I70" i="5"/>
  <c r="H70" i="5"/>
  <c r="G70" i="5"/>
  <c r="F70" i="5"/>
  <c r="E70" i="5"/>
  <c r="D70" i="5"/>
  <c r="N69" i="5"/>
  <c r="F69" i="5"/>
  <c r="N68" i="5"/>
  <c r="M68" i="5"/>
  <c r="L68" i="5"/>
  <c r="K68" i="5"/>
  <c r="J68" i="5"/>
  <c r="I68" i="5"/>
  <c r="N67" i="5"/>
  <c r="M67" i="5"/>
  <c r="L67" i="5"/>
  <c r="K67" i="5"/>
  <c r="J67" i="5"/>
  <c r="I67" i="5"/>
  <c r="H67" i="5"/>
  <c r="G67" i="5"/>
  <c r="F67" i="5"/>
  <c r="E67" i="5"/>
  <c r="D67" i="5"/>
  <c r="N66" i="5"/>
  <c r="M66" i="5"/>
  <c r="L66" i="5"/>
  <c r="K66" i="5"/>
  <c r="J66" i="5"/>
  <c r="I66" i="5"/>
  <c r="H66" i="5"/>
  <c r="G66" i="5"/>
  <c r="F66" i="5"/>
  <c r="E66" i="5"/>
  <c r="D66" i="5"/>
  <c r="N65" i="5"/>
  <c r="M65" i="5"/>
  <c r="L65" i="5"/>
  <c r="K65" i="5"/>
  <c r="J65" i="5"/>
  <c r="N64" i="5"/>
  <c r="M64" i="5"/>
  <c r="L64" i="5"/>
  <c r="K64" i="5"/>
  <c r="J64" i="5"/>
  <c r="I64" i="5"/>
  <c r="H64" i="5"/>
  <c r="G64" i="5"/>
  <c r="F64" i="5"/>
  <c r="E64" i="5"/>
  <c r="D64" i="5"/>
  <c r="N63" i="5"/>
  <c r="M63" i="5"/>
  <c r="L63" i="5"/>
  <c r="K63" i="5"/>
  <c r="J63" i="5"/>
  <c r="I63" i="5"/>
  <c r="H63" i="5"/>
  <c r="G63" i="5"/>
  <c r="F63" i="5"/>
  <c r="E63" i="5"/>
  <c r="D63" i="5"/>
  <c r="N62" i="5"/>
  <c r="M62" i="5"/>
  <c r="L62" i="5"/>
  <c r="K62" i="5"/>
  <c r="J62" i="5"/>
  <c r="I62" i="5"/>
  <c r="H62" i="5"/>
  <c r="G62" i="5"/>
  <c r="E62" i="5"/>
  <c r="D62" i="5"/>
  <c r="N61" i="5"/>
  <c r="M61" i="5"/>
  <c r="L61" i="5"/>
  <c r="K61" i="5"/>
  <c r="J61" i="5"/>
  <c r="E61" i="5"/>
  <c r="N60" i="5"/>
  <c r="M60" i="5"/>
  <c r="L60" i="5"/>
  <c r="K60" i="5"/>
  <c r="J60" i="5"/>
  <c r="I60" i="5"/>
  <c r="N59" i="5"/>
  <c r="M59" i="5"/>
  <c r="L59" i="5"/>
  <c r="K59" i="5"/>
  <c r="J59" i="5"/>
  <c r="I59" i="5"/>
  <c r="H59" i="5"/>
  <c r="G59" i="5"/>
  <c r="F59" i="5"/>
  <c r="E59" i="5"/>
  <c r="D59" i="5"/>
  <c r="N58" i="5"/>
  <c r="M58" i="5"/>
  <c r="L58" i="5"/>
  <c r="K58" i="5"/>
  <c r="J58" i="5"/>
  <c r="I58" i="5"/>
  <c r="H58" i="5"/>
  <c r="G58" i="5"/>
  <c r="F58" i="5"/>
  <c r="E58" i="5"/>
  <c r="D58" i="5"/>
  <c r="I56" i="5"/>
  <c r="D56" i="5"/>
  <c r="N55" i="5"/>
  <c r="M55" i="5"/>
  <c r="L55" i="5"/>
  <c r="K55" i="5"/>
  <c r="J55" i="5"/>
  <c r="H55" i="5"/>
  <c r="G55" i="5"/>
  <c r="N54" i="5"/>
  <c r="M54" i="5"/>
  <c r="L54" i="5"/>
  <c r="K54" i="5"/>
  <c r="J54" i="5"/>
  <c r="I54" i="5"/>
  <c r="H54" i="5"/>
  <c r="G54" i="5"/>
  <c r="F54" i="5"/>
  <c r="E54" i="5"/>
  <c r="D54" i="5"/>
  <c r="K53" i="5"/>
  <c r="N52" i="5"/>
  <c r="M52" i="5"/>
  <c r="L52" i="5"/>
  <c r="K52" i="5"/>
  <c r="J52" i="5"/>
  <c r="H52" i="5"/>
  <c r="D52" i="5"/>
  <c r="N51" i="5"/>
  <c r="M51" i="5"/>
  <c r="L51" i="5"/>
  <c r="K51" i="5"/>
  <c r="J51" i="5"/>
  <c r="I51" i="5"/>
  <c r="H51" i="5"/>
  <c r="G51" i="5"/>
  <c r="F51" i="5"/>
  <c r="E51" i="5"/>
  <c r="D51" i="5"/>
  <c r="N50" i="5"/>
  <c r="M50" i="5"/>
  <c r="L50" i="5"/>
  <c r="K50" i="5"/>
  <c r="J50" i="5"/>
  <c r="I50" i="5"/>
  <c r="H50" i="5"/>
  <c r="G50" i="5"/>
  <c r="F50" i="5"/>
  <c r="E50" i="5"/>
  <c r="D50" i="5"/>
  <c r="N49" i="5"/>
  <c r="M49" i="5"/>
  <c r="L49" i="5"/>
  <c r="K49" i="5"/>
  <c r="J49" i="5"/>
  <c r="I49" i="5"/>
  <c r="H49" i="5"/>
  <c r="G49" i="5"/>
  <c r="F49" i="5"/>
  <c r="E49" i="5"/>
  <c r="D49" i="5"/>
  <c r="N48" i="5"/>
  <c r="M48" i="5"/>
  <c r="L48" i="5"/>
  <c r="K48" i="5"/>
  <c r="J48" i="5"/>
  <c r="H48" i="5"/>
  <c r="D48" i="5"/>
  <c r="N47" i="5"/>
  <c r="M47" i="5"/>
  <c r="L47" i="5"/>
  <c r="K47" i="5"/>
  <c r="J47" i="5"/>
  <c r="I47" i="5"/>
  <c r="H47" i="5"/>
  <c r="G47" i="5"/>
  <c r="F47" i="5"/>
  <c r="E47" i="5"/>
  <c r="D47" i="5"/>
  <c r="N46" i="5"/>
  <c r="M46" i="5"/>
  <c r="L46" i="5"/>
  <c r="K46" i="5"/>
  <c r="J46" i="5"/>
  <c r="I46" i="5"/>
  <c r="H46" i="5"/>
  <c r="G46" i="5"/>
  <c r="F46" i="5"/>
  <c r="E46" i="5"/>
  <c r="D46" i="5"/>
  <c r="N45" i="5"/>
  <c r="M45" i="5"/>
  <c r="L45" i="5"/>
  <c r="K45" i="5"/>
  <c r="J45" i="5"/>
  <c r="N44" i="5"/>
  <c r="M44" i="5"/>
  <c r="L44" i="5"/>
  <c r="K44" i="5"/>
  <c r="J44" i="5"/>
  <c r="H44" i="5"/>
  <c r="D44" i="5"/>
  <c r="N43" i="5"/>
  <c r="M43" i="5"/>
  <c r="L43" i="5"/>
  <c r="K43" i="5"/>
  <c r="J43" i="5"/>
  <c r="I43" i="5"/>
  <c r="H43" i="5"/>
  <c r="G43" i="5"/>
  <c r="F43" i="5"/>
  <c r="E43" i="5"/>
  <c r="D43" i="5"/>
  <c r="N42" i="5"/>
  <c r="M42" i="5"/>
  <c r="L42" i="5"/>
  <c r="K42" i="5"/>
  <c r="J42" i="5"/>
  <c r="I42" i="5"/>
  <c r="H42" i="5"/>
  <c r="G42" i="5"/>
  <c r="F42" i="5"/>
  <c r="E42" i="5"/>
  <c r="D42" i="5"/>
  <c r="N41" i="5"/>
  <c r="M41" i="5"/>
  <c r="L41" i="5"/>
  <c r="K41" i="5"/>
  <c r="J41" i="5"/>
  <c r="N40" i="5"/>
  <c r="M40" i="5"/>
  <c r="L40" i="5"/>
  <c r="K40" i="5"/>
  <c r="J40" i="5"/>
  <c r="H40" i="5"/>
  <c r="D40" i="5"/>
  <c r="N39" i="5"/>
  <c r="M39" i="5"/>
  <c r="L39" i="5"/>
  <c r="K39" i="5"/>
  <c r="J39" i="5"/>
  <c r="I39" i="5"/>
  <c r="H39" i="5"/>
  <c r="G39" i="5"/>
  <c r="F39" i="5"/>
  <c r="E39" i="5"/>
  <c r="D39" i="5"/>
  <c r="N38" i="5"/>
  <c r="M38" i="5"/>
  <c r="L38" i="5"/>
  <c r="K38" i="5"/>
  <c r="J38" i="5"/>
  <c r="I38" i="5"/>
  <c r="H38" i="5"/>
  <c r="G38" i="5"/>
  <c r="F38" i="5"/>
  <c r="E38" i="5"/>
  <c r="D38" i="5"/>
  <c r="N37" i="5"/>
  <c r="M37" i="5"/>
  <c r="L37" i="5"/>
  <c r="K37" i="5"/>
  <c r="J37" i="5"/>
  <c r="F37" i="5"/>
  <c r="N36" i="5"/>
  <c r="M36" i="5"/>
  <c r="L36" i="5"/>
  <c r="K36" i="5"/>
  <c r="J36" i="5"/>
  <c r="H36" i="5"/>
  <c r="D36" i="5"/>
  <c r="N35" i="5"/>
  <c r="M35" i="5"/>
  <c r="L35" i="5"/>
  <c r="K35" i="5"/>
  <c r="J35" i="5"/>
  <c r="I35" i="5"/>
  <c r="H35" i="5"/>
  <c r="G35" i="5"/>
  <c r="F35" i="5"/>
  <c r="E35" i="5"/>
  <c r="D35" i="5"/>
  <c r="N34" i="5"/>
  <c r="M34" i="5"/>
  <c r="L34" i="5"/>
  <c r="K34" i="5"/>
  <c r="J34" i="5"/>
  <c r="I34" i="5"/>
  <c r="H34" i="5"/>
  <c r="G34" i="5"/>
  <c r="F34" i="5"/>
  <c r="E34" i="5"/>
  <c r="D34" i="5"/>
  <c r="N33" i="5"/>
  <c r="M33" i="5"/>
  <c r="L33" i="5"/>
  <c r="K33" i="5"/>
  <c r="J33" i="5"/>
  <c r="N32" i="5"/>
  <c r="M32" i="5"/>
  <c r="L32" i="5"/>
  <c r="K32" i="5"/>
  <c r="J32" i="5"/>
  <c r="H32" i="5"/>
  <c r="D32" i="5"/>
  <c r="N31" i="5"/>
  <c r="M31" i="5"/>
  <c r="L31" i="5"/>
  <c r="K31" i="5"/>
  <c r="J31" i="5"/>
  <c r="I31" i="5"/>
  <c r="H31" i="5"/>
  <c r="G31" i="5"/>
  <c r="F31" i="5"/>
  <c r="E31" i="5"/>
  <c r="D31" i="5"/>
  <c r="N30" i="5"/>
  <c r="M30" i="5"/>
  <c r="L30" i="5"/>
  <c r="K30" i="5"/>
  <c r="J30" i="5"/>
  <c r="I30" i="5"/>
  <c r="H30" i="5"/>
  <c r="G30" i="5"/>
  <c r="F30" i="5"/>
  <c r="E30" i="5"/>
  <c r="D30" i="5"/>
  <c r="N29" i="5"/>
  <c r="M29" i="5"/>
  <c r="L29" i="5"/>
  <c r="K29" i="5"/>
  <c r="J29" i="5"/>
  <c r="H29" i="5"/>
  <c r="D29" i="5"/>
  <c r="N28" i="5"/>
  <c r="M28" i="5"/>
  <c r="L28" i="5"/>
  <c r="K28" i="5"/>
  <c r="J28" i="5"/>
  <c r="H28" i="5"/>
  <c r="D28" i="5"/>
  <c r="N27" i="5"/>
  <c r="M27" i="5"/>
  <c r="L27" i="5"/>
  <c r="K27" i="5"/>
  <c r="J27" i="5"/>
  <c r="I27" i="5"/>
  <c r="H27" i="5"/>
  <c r="G27" i="5"/>
  <c r="F27" i="5"/>
  <c r="E27" i="5"/>
  <c r="D27" i="5"/>
  <c r="N26" i="5"/>
  <c r="M26" i="5"/>
  <c r="L26" i="5"/>
  <c r="K26" i="5"/>
  <c r="J26" i="5"/>
  <c r="I26" i="5"/>
  <c r="H26" i="5"/>
  <c r="G26" i="5"/>
  <c r="F26" i="5"/>
  <c r="E26" i="5"/>
  <c r="D26" i="5"/>
  <c r="N25" i="5"/>
  <c r="M25" i="5"/>
  <c r="L25" i="5"/>
  <c r="K25" i="5"/>
  <c r="J25" i="5"/>
  <c r="N24" i="5"/>
  <c r="M24" i="5"/>
  <c r="L24" i="5"/>
  <c r="K24" i="5"/>
  <c r="J24" i="5"/>
  <c r="H24" i="5"/>
  <c r="D24" i="5"/>
  <c r="N23" i="5"/>
  <c r="M23" i="5"/>
  <c r="L23" i="5"/>
  <c r="K23" i="5"/>
  <c r="J23" i="5"/>
  <c r="I23" i="5"/>
  <c r="H23" i="5"/>
  <c r="G23" i="5"/>
  <c r="F23" i="5"/>
  <c r="E23" i="5"/>
  <c r="D23" i="5"/>
  <c r="N22" i="5"/>
  <c r="M22" i="5"/>
  <c r="L22" i="5"/>
  <c r="K22" i="5"/>
  <c r="J22" i="5"/>
  <c r="I22" i="5"/>
  <c r="H22" i="5"/>
  <c r="G22" i="5"/>
  <c r="F22" i="5"/>
  <c r="E22" i="5"/>
  <c r="D22" i="5"/>
  <c r="N21" i="5"/>
  <c r="M21" i="5"/>
  <c r="L21" i="5"/>
  <c r="K21" i="5"/>
  <c r="J21" i="5"/>
  <c r="I21" i="5"/>
  <c r="H21" i="5"/>
  <c r="G21" i="5"/>
  <c r="F21" i="5"/>
  <c r="E21" i="5"/>
  <c r="D21" i="5"/>
  <c r="N20" i="5"/>
  <c r="M20" i="5"/>
  <c r="L20" i="5"/>
  <c r="K20" i="5"/>
  <c r="J20" i="5"/>
  <c r="H20" i="5"/>
  <c r="D20" i="5"/>
  <c r="N19" i="5"/>
  <c r="M19" i="5"/>
  <c r="L19" i="5"/>
  <c r="K19" i="5"/>
  <c r="J19" i="5"/>
  <c r="I19" i="5"/>
  <c r="H19" i="5"/>
  <c r="G19" i="5"/>
  <c r="F19" i="5"/>
  <c r="E19" i="5"/>
  <c r="D19" i="5"/>
  <c r="N18" i="5"/>
  <c r="M18" i="5"/>
  <c r="L18" i="5"/>
  <c r="K18" i="5"/>
  <c r="J18" i="5"/>
  <c r="I18" i="5"/>
  <c r="H18" i="5"/>
  <c r="G18" i="5"/>
  <c r="F18" i="5"/>
  <c r="E18" i="5"/>
  <c r="D18" i="5"/>
  <c r="N17" i="5"/>
  <c r="M17" i="5"/>
  <c r="L17" i="5"/>
  <c r="K17" i="5"/>
  <c r="J17" i="5"/>
  <c r="N16" i="5"/>
  <c r="M16" i="5"/>
  <c r="L16" i="5"/>
  <c r="K16" i="5"/>
  <c r="J16" i="5"/>
  <c r="H16" i="5"/>
  <c r="D16" i="5"/>
  <c r="N15" i="5"/>
  <c r="M15" i="5"/>
  <c r="L15" i="5"/>
  <c r="K15" i="5"/>
  <c r="J15" i="5"/>
  <c r="I15" i="5"/>
  <c r="H15" i="5"/>
  <c r="G15" i="5"/>
  <c r="F15" i="5"/>
  <c r="E15" i="5"/>
  <c r="D15" i="5"/>
  <c r="N14" i="5"/>
  <c r="M14" i="5"/>
  <c r="L14" i="5"/>
  <c r="K14" i="5"/>
  <c r="J14" i="5"/>
  <c r="I14" i="5"/>
  <c r="H14" i="5"/>
  <c r="G14" i="5"/>
  <c r="F14" i="5"/>
  <c r="E14" i="5"/>
  <c r="D14" i="5"/>
  <c r="N13" i="5"/>
  <c r="M13" i="5"/>
  <c r="L13" i="5"/>
  <c r="K13" i="5"/>
  <c r="J13" i="5"/>
  <c r="H13" i="5"/>
  <c r="D13" i="5"/>
  <c r="N12" i="5"/>
  <c r="M12" i="5"/>
  <c r="L12" i="5"/>
  <c r="K12" i="5"/>
  <c r="J12" i="5"/>
  <c r="H12" i="5"/>
  <c r="D12" i="5"/>
  <c r="N11" i="5"/>
  <c r="M11" i="5"/>
  <c r="L11" i="5"/>
  <c r="K11" i="5"/>
  <c r="J11" i="5"/>
  <c r="I11" i="5"/>
  <c r="H11" i="5"/>
  <c r="G11" i="5"/>
  <c r="F11" i="5"/>
  <c r="E11" i="5"/>
  <c r="D11" i="5"/>
  <c r="N10" i="5"/>
  <c r="M10" i="5"/>
  <c r="L10" i="5"/>
  <c r="K10" i="5"/>
  <c r="J10" i="5"/>
  <c r="I10" i="5"/>
  <c r="H10" i="5"/>
  <c r="G10" i="5"/>
  <c r="F10" i="5"/>
  <c r="E10" i="5"/>
  <c r="D10" i="5"/>
  <c r="N9" i="5"/>
  <c r="M9" i="5"/>
  <c r="L9" i="5"/>
  <c r="K9" i="5"/>
  <c r="J9" i="5"/>
  <c r="N8" i="5"/>
  <c r="M8" i="5"/>
  <c r="L8" i="5"/>
  <c r="K8" i="5"/>
  <c r="J8" i="5"/>
  <c r="H8" i="5"/>
  <c r="D8" i="5"/>
  <c r="N7" i="5"/>
  <c r="M7" i="5"/>
  <c r="L7" i="5"/>
  <c r="K7" i="5"/>
  <c r="J7" i="5"/>
  <c r="I7" i="5"/>
  <c r="H7" i="5"/>
  <c r="G7" i="5"/>
  <c r="F7" i="5"/>
  <c r="E7" i="5"/>
  <c r="D7" i="5"/>
  <c r="N6" i="5"/>
  <c r="M6" i="5"/>
  <c r="L6" i="5"/>
  <c r="K6" i="5"/>
  <c r="J6" i="5"/>
  <c r="I6" i="5"/>
  <c r="H6" i="5"/>
  <c r="G6" i="5"/>
  <c r="F6" i="5"/>
  <c r="E6" i="5"/>
  <c r="D6" i="5"/>
  <c r="N5" i="5"/>
  <c r="M5" i="5"/>
  <c r="L5" i="5"/>
  <c r="K5" i="5"/>
  <c r="J5" i="5"/>
  <c r="I5" i="5"/>
  <c r="H5" i="5"/>
  <c r="G5" i="5"/>
  <c r="F5" i="5"/>
  <c r="E5" i="5"/>
  <c r="N4" i="5"/>
  <c r="M4" i="5"/>
  <c r="L4" i="5"/>
  <c r="K4" i="5"/>
  <c r="J4" i="5"/>
  <c r="G4" i="5"/>
  <c r="N3" i="5"/>
  <c r="M3" i="5"/>
  <c r="L3" i="5"/>
  <c r="K3" i="5"/>
  <c r="J3" i="5"/>
  <c r="I3" i="5"/>
  <c r="H3" i="5"/>
  <c r="G3" i="5"/>
  <c r="F3" i="5"/>
  <c r="E3" i="5"/>
  <c r="G175" i="5" l="1"/>
  <c r="H175" i="5"/>
  <c r="I175" i="5"/>
  <c r="I82" i="5"/>
  <c r="J82" i="5"/>
  <c r="K82" i="5"/>
  <c r="L82" i="5"/>
  <c r="D55" i="5"/>
  <c r="E55" i="5"/>
  <c r="F55" i="5"/>
  <c r="D227" i="5"/>
  <c r="D243" i="5"/>
  <c r="G251" i="5"/>
  <c r="F227" i="5"/>
  <c r="N227" i="5"/>
  <c r="F243" i="5"/>
  <c r="N243" i="5"/>
  <c r="G227" i="5"/>
  <c r="G243" i="5"/>
  <c r="H227" i="5"/>
  <c r="H243" i="5"/>
  <c r="N251" i="5"/>
  <c r="G203" i="5"/>
  <c r="I198" i="5"/>
  <c r="H203" i="5"/>
  <c r="H198" i="5"/>
  <c r="H251" i="5"/>
  <c r="D9" i="5"/>
  <c r="H9" i="5"/>
  <c r="D251" i="5"/>
  <c r="J73" i="5"/>
  <c r="H17" i="5"/>
  <c r="D97" i="5"/>
  <c r="E65" i="5"/>
  <c r="E81" i="5"/>
  <c r="D25" i="5"/>
  <c r="D33" i="5"/>
  <c r="M129" i="5"/>
  <c r="D169" i="5"/>
  <c r="F247" i="5"/>
  <c r="D17" i="5"/>
  <c r="H57" i="5"/>
  <c r="H25" i="5"/>
  <c r="I33" i="5"/>
  <c r="F145" i="5"/>
  <c r="I9" i="5"/>
  <c r="I13" i="5"/>
  <c r="I17" i="5"/>
  <c r="I25" i="5"/>
  <c r="G37" i="5"/>
  <c r="N213" i="5"/>
  <c r="J213" i="5"/>
  <c r="F213" i="5"/>
  <c r="M213" i="5"/>
  <c r="I213" i="5"/>
  <c r="E213" i="5"/>
  <c r="L213" i="5"/>
  <c r="H213" i="5"/>
  <c r="D213" i="5"/>
  <c r="K205" i="5"/>
  <c r="G205" i="5"/>
  <c r="N205" i="5"/>
  <c r="J205" i="5"/>
  <c r="F205" i="5"/>
  <c r="M205" i="5"/>
  <c r="I205" i="5"/>
  <c r="E205" i="5"/>
  <c r="I197" i="5"/>
  <c r="E197" i="5"/>
  <c r="H197" i="5"/>
  <c r="D197" i="5"/>
  <c r="G197" i="5"/>
  <c r="H193" i="5"/>
  <c r="D193" i="5"/>
  <c r="G193" i="5"/>
  <c r="F193" i="5"/>
  <c r="F185" i="5"/>
  <c r="I185" i="5"/>
  <c r="E185" i="5"/>
  <c r="H185" i="5"/>
  <c r="D185" i="5"/>
  <c r="H173" i="5"/>
  <c r="D173" i="5"/>
  <c r="G173" i="5"/>
  <c r="F173" i="5"/>
  <c r="F165" i="5"/>
  <c r="I165" i="5"/>
  <c r="E165" i="5"/>
  <c r="H165" i="5"/>
  <c r="D165" i="5"/>
  <c r="H157" i="5"/>
  <c r="D157" i="5"/>
  <c r="G157" i="5"/>
  <c r="F157" i="5"/>
  <c r="F149" i="5"/>
  <c r="I149" i="5"/>
  <c r="E149" i="5"/>
  <c r="H149" i="5"/>
  <c r="D149" i="5"/>
  <c r="I133" i="5"/>
  <c r="E133" i="5"/>
  <c r="H133" i="5"/>
  <c r="D133" i="5"/>
  <c r="G133" i="5"/>
  <c r="F125" i="5"/>
  <c r="I125" i="5"/>
  <c r="E125" i="5"/>
  <c r="H125" i="5"/>
  <c r="D125" i="5"/>
  <c r="M109" i="5"/>
  <c r="I109" i="5"/>
  <c r="E109" i="5"/>
  <c r="L109" i="5"/>
  <c r="H109" i="5"/>
  <c r="D109" i="5"/>
  <c r="K109" i="5"/>
  <c r="G109" i="5"/>
  <c r="I101" i="5"/>
  <c r="E101" i="5"/>
  <c r="H101" i="5"/>
  <c r="D101" i="5"/>
  <c r="G101" i="5"/>
  <c r="L85" i="5"/>
  <c r="H85" i="5"/>
  <c r="D85" i="5"/>
  <c r="K85" i="5"/>
  <c r="G85" i="5"/>
  <c r="F77" i="5"/>
  <c r="I77" i="5"/>
  <c r="E77" i="5"/>
  <c r="M69" i="5"/>
  <c r="I69" i="5"/>
  <c r="E69" i="5"/>
  <c r="L69" i="5"/>
  <c r="H69" i="5"/>
  <c r="D69" i="5"/>
  <c r="G61" i="5"/>
  <c r="F61" i="5"/>
  <c r="I45" i="5"/>
  <c r="E45" i="5"/>
  <c r="H45" i="5"/>
  <c r="D45" i="5"/>
  <c r="E9" i="5"/>
  <c r="E13" i="5"/>
  <c r="E29" i="5"/>
  <c r="F41" i="5"/>
  <c r="N53" i="5"/>
  <c r="K57" i="5"/>
  <c r="F65" i="5"/>
  <c r="K73" i="5"/>
  <c r="F85" i="5"/>
  <c r="N85" i="5"/>
  <c r="D113" i="5"/>
  <c r="G125" i="5"/>
  <c r="J145" i="5"/>
  <c r="E193" i="5"/>
  <c r="G213" i="5"/>
  <c r="F9" i="5"/>
  <c r="F13" i="5"/>
  <c r="F17" i="5"/>
  <c r="F29" i="5"/>
  <c r="F33" i="5"/>
  <c r="G45" i="5"/>
  <c r="D57" i="5"/>
  <c r="I61" i="5"/>
  <c r="J69" i="5"/>
  <c r="F73" i="5"/>
  <c r="I85" i="5"/>
  <c r="G165" i="5"/>
  <c r="I193" i="5"/>
  <c r="L205" i="5"/>
  <c r="K213" i="5"/>
  <c r="N241" i="5"/>
  <c r="F241" i="5"/>
  <c r="I241" i="5"/>
  <c r="E241" i="5"/>
  <c r="H241" i="5"/>
  <c r="D241" i="5"/>
  <c r="I233" i="5"/>
  <c r="E233" i="5"/>
  <c r="H233" i="5"/>
  <c r="D233" i="5"/>
  <c r="G233" i="5"/>
  <c r="I229" i="5"/>
  <c r="E229" i="5"/>
  <c r="H229" i="5"/>
  <c r="D229" i="5"/>
  <c r="G229" i="5"/>
  <c r="G225" i="5"/>
  <c r="N225" i="5"/>
  <c r="F225" i="5"/>
  <c r="I225" i="5"/>
  <c r="E225" i="5"/>
  <c r="G221" i="5"/>
  <c r="N221" i="5"/>
  <c r="F221" i="5"/>
  <c r="I221" i="5"/>
  <c r="E221" i="5"/>
  <c r="H209" i="5"/>
  <c r="D209" i="5"/>
  <c r="G209" i="5"/>
  <c r="F209" i="5"/>
  <c r="I201" i="5"/>
  <c r="E201" i="5"/>
  <c r="H201" i="5"/>
  <c r="D201" i="5"/>
  <c r="G201" i="5"/>
  <c r="G189" i="5"/>
  <c r="F189" i="5"/>
  <c r="I189" i="5"/>
  <c r="E189" i="5"/>
  <c r="F181" i="5"/>
  <c r="I181" i="5"/>
  <c r="E181" i="5"/>
  <c r="H181" i="5"/>
  <c r="D181" i="5"/>
  <c r="G169" i="5"/>
  <c r="F169" i="5"/>
  <c r="I169" i="5"/>
  <c r="E169" i="5"/>
  <c r="M145" i="5"/>
  <c r="I145" i="5"/>
  <c r="E145" i="5"/>
  <c r="L145" i="5"/>
  <c r="H145" i="5"/>
  <c r="D145" i="5"/>
  <c r="K145" i="5"/>
  <c r="G145" i="5"/>
  <c r="G137" i="5"/>
  <c r="F137" i="5"/>
  <c r="I137" i="5"/>
  <c r="E137" i="5"/>
  <c r="L129" i="5"/>
  <c r="H129" i="5"/>
  <c r="D129" i="5"/>
  <c r="K129" i="5"/>
  <c r="G129" i="5"/>
  <c r="N129" i="5"/>
  <c r="J129" i="5"/>
  <c r="F129" i="5"/>
  <c r="I121" i="5"/>
  <c r="E121" i="5"/>
  <c r="H121" i="5"/>
  <c r="D121" i="5"/>
  <c r="G121" i="5"/>
  <c r="G113" i="5"/>
  <c r="F113" i="5"/>
  <c r="I113" i="5"/>
  <c r="E113" i="5"/>
  <c r="G105" i="5"/>
  <c r="F105" i="5"/>
  <c r="I105" i="5"/>
  <c r="E105" i="5"/>
  <c r="G97" i="5"/>
  <c r="F97" i="5"/>
  <c r="I93" i="5"/>
  <c r="E93" i="5"/>
  <c r="H93" i="5"/>
  <c r="D93" i="5"/>
  <c r="I89" i="5"/>
  <c r="E89" i="5"/>
  <c r="H89" i="5"/>
  <c r="D89" i="5"/>
  <c r="G81" i="5"/>
  <c r="F81" i="5"/>
  <c r="M73" i="5"/>
  <c r="I73" i="5"/>
  <c r="E73" i="5"/>
  <c r="L73" i="5"/>
  <c r="H73" i="5"/>
  <c r="D73" i="5"/>
  <c r="H65" i="5"/>
  <c r="D65" i="5"/>
  <c r="G65" i="5"/>
  <c r="N57" i="5"/>
  <c r="J57" i="5"/>
  <c r="F57" i="5"/>
  <c r="M57" i="5"/>
  <c r="I57" i="5"/>
  <c r="E57" i="5"/>
  <c r="M53" i="5"/>
  <c r="I53" i="5"/>
  <c r="E53" i="5"/>
  <c r="L53" i="5"/>
  <c r="H53" i="5"/>
  <c r="D53" i="5"/>
  <c r="I41" i="5"/>
  <c r="E41" i="5"/>
  <c r="H41" i="5"/>
  <c r="D41" i="5"/>
  <c r="H37" i="5"/>
  <c r="D37" i="5"/>
  <c r="E17" i="5"/>
  <c r="E25" i="5"/>
  <c r="I29" i="5"/>
  <c r="E33" i="5"/>
  <c r="F45" i="5"/>
  <c r="F53" i="5"/>
  <c r="H61" i="5"/>
  <c r="G69" i="5"/>
  <c r="H77" i="5"/>
  <c r="H81" i="5"/>
  <c r="E97" i="5"/>
  <c r="D105" i="5"/>
  <c r="N109" i="5"/>
  <c r="F133" i="5"/>
  <c r="I157" i="5"/>
  <c r="G181" i="5"/>
  <c r="H205" i="5"/>
  <c r="F25" i="5"/>
  <c r="G33" i="5"/>
  <c r="E37" i="5"/>
  <c r="J53" i="5"/>
  <c r="G57" i="5"/>
  <c r="D61" i="5"/>
  <c r="K69" i="5"/>
  <c r="G73" i="5"/>
  <c r="D77" i="5"/>
  <c r="D81" i="5"/>
  <c r="J85" i="5"/>
  <c r="G89" i="5"/>
  <c r="G93" i="5"/>
  <c r="I97" i="5"/>
  <c r="F109" i="5"/>
  <c r="F121" i="5"/>
  <c r="I129" i="5"/>
  <c r="H137" i="5"/>
  <c r="G149" i="5"/>
  <c r="E173" i="5"/>
  <c r="H189" i="5"/>
  <c r="F201" i="5"/>
  <c r="E209" i="5"/>
  <c r="D221" i="5"/>
  <c r="H225" i="5"/>
  <c r="F229" i="5"/>
  <c r="N233" i="5"/>
  <c r="H124" i="5"/>
  <c r="D124" i="5"/>
  <c r="G124" i="5"/>
  <c r="F124" i="5"/>
  <c r="L128" i="5"/>
  <c r="H128" i="5"/>
  <c r="D128" i="5"/>
  <c r="K128" i="5"/>
  <c r="G128" i="5"/>
  <c r="N128" i="5"/>
  <c r="J128" i="5"/>
  <c r="F128" i="5"/>
  <c r="L136" i="5"/>
  <c r="H136" i="5"/>
  <c r="D136" i="5"/>
  <c r="K136" i="5"/>
  <c r="G136" i="5"/>
  <c r="N136" i="5"/>
  <c r="J136" i="5"/>
  <c r="F136" i="5"/>
  <c r="H140" i="5"/>
  <c r="D140" i="5"/>
  <c r="G140" i="5"/>
  <c r="F140" i="5"/>
  <c r="H168" i="5"/>
  <c r="D168" i="5"/>
  <c r="G168" i="5"/>
  <c r="F168" i="5"/>
  <c r="H176" i="5"/>
  <c r="D176" i="5"/>
  <c r="G176" i="5"/>
  <c r="F176" i="5"/>
  <c r="H188" i="5"/>
  <c r="D188" i="5"/>
  <c r="G188" i="5"/>
  <c r="F188" i="5"/>
  <c r="H192" i="5"/>
  <c r="D192" i="5"/>
  <c r="G192" i="5"/>
  <c r="F192" i="5"/>
  <c r="H196" i="5"/>
  <c r="D196" i="5"/>
  <c r="G196" i="5"/>
  <c r="F196" i="5"/>
  <c r="L204" i="5"/>
  <c r="H204" i="5"/>
  <c r="D204" i="5"/>
  <c r="K204" i="5"/>
  <c r="G204" i="5"/>
  <c r="N204" i="5"/>
  <c r="J204" i="5"/>
  <c r="F204" i="5"/>
  <c r="H208" i="5"/>
  <c r="D208" i="5"/>
  <c r="G208" i="5"/>
  <c r="F208" i="5"/>
  <c r="L212" i="5"/>
  <c r="H212" i="5"/>
  <c r="D212" i="5"/>
  <c r="K212" i="5"/>
  <c r="G212" i="5"/>
  <c r="N212" i="5"/>
  <c r="J212" i="5"/>
  <c r="F212" i="5"/>
  <c r="H236" i="5"/>
  <c r="D236" i="5"/>
  <c r="G236" i="5"/>
  <c r="N236" i="5"/>
  <c r="F236" i="5"/>
  <c r="H240" i="5"/>
  <c r="D240" i="5"/>
  <c r="G240" i="5"/>
  <c r="N240" i="5"/>
  <c r="F240" i="5"/>
  <c r="E20" i="5"/>
  <c r="E28" i="5"/>
  <c r="E36" i="5"/>
  <c r="E40" i="5"/>
  <c r="E44" i="5"/>
  <c r="I48" i="5"/>
  <c r="I52" i="5"/>
  <c r="D60" i="5"/>
  <c r="F88" i="5"/>
  <c r="E104" i="5"/>
  <c r="I124" i="5"/>
  <c r="I128" i="5"/>
  <c r="N56" i="5"/>
  <c r="J56" i="5"/>
  <c r="F56" i="5"/>
  <c r="H68" i="5"/>
  <c r="D68" i="5"/>
  <c r="G68" i="5"/>
  <c r="L76" i="5"/>
  <c r="H76" i="5"/>
  <c r="D76" i="5"/>
  <c r="K76" i="5"/>
  <c r="G76" i="5"/>
  <c r="H80" i="5"/>
  <c r="D80" i="5"/>
  <c r="G80" i="5"/>
  <c r="H84" i="5"/>
  <c r="D84" i="5"/>
  <c r="G84" i="5"/>
  <c r="H144" i="5"/>
  <c r="D144" i="5"/>
  <c r="G144" i="5"/>
  <c r="F144" i="5"/>
  <c r="H148" i="5"/>
  <c r="D148" i="5"/>
  <c r="G148" i="5"/>
  <c r="F148" i="5"/>
  <c r="H152" i="5"/>
  <c r="D152" i="5"/>
  <c r="G152" i="5"/>
  <c r="F152" i="5"/>
  <c r="H156" i="5"/>
  <c r="D156" i="5"/>
  <c r="G156" i="5"/>
  <c r="F156" i="5"/>
  <c r="H160" i="5"/>
  <c r="D160" i="5"/>
  <c r="G160" i="5"/>
  <c r="F160" i="5"/>
  <c r="H180" i="5"/>
  <c r="D180" i="5"/>
  <c r="G180" i="5"/>
  <c r="F180" i="5"/>
  <c r="H228" i="5"/>
  <c r="D228" i="5"/>
  <c r="G228" i="5"/>
  <c r="N228" i="5"/>
  <c r="F228" i="5"/>
  <c r="H244" i="5"/>
  <c r="D244" i="5"/>
  <c r="G244" i="5"/>
  <c r="N244" i="5"/>
  <c r="F244" i="5"/>
  <c r="E8" i="5"/>
  <c r="E12" i="5"/>
  <c r="E16" i="5"/>
  <c r="I20" i="5"/>
  <c r="I24" i="5"/>
  <c r="E32" i="5"/>
  <c r="I76" i="5"/>
  <c r="I84" i="5"/>
  <c r="J100" i="5"/>
  <c r="E112" i="5"/>
  <c r="I152" i="5"/>
  <c r="I156" i="5"/>
  <c r="I160" i="5"/>
  <c r="I180" i="5"/>
  <c r="I204" i="5"/>
  <c r="E4" i="5"/>
  <c r="I4" i="5"/>
  <c r="F8" i="5"/>
  <c r="F12" i="5"/>
  <c r="F16" i="5"/>
  <c r="F20" i="5"/>
  <c r="F24" i="5"/>
  <c r="F28" i="5"/>
  <c r="F32" i="5"/>
  <c r="F36" i="5"/>
  <c r="F40" i="5"/>
  <c r="F44" i="5"/>
  <c r="F48" i="5"/>
  <c r="F52" i="5"/>
  <c r="G56" i="5"/>
  <c r="L56" i="5"/>
  <c r="E68" i="5"/>
  <c r="J76" i="5"/>
  <c r="E80" i="5"/>
  <c r="E100" i="5"/>
  <c r="E108" i="5"/>
  <c r="M128" i="5"/>
  <c r="M136" i="5"/>
  <c r="M204" i="5"/>
  <c r="M212" i="5"/>
  <c r="E240" i="5"/>
  <c r="I244" i="5"/>
  <c r="G60" i="5"/>
  <c r="F60" i="5"/>
  <c r="H88" i="5"/>
  <c r="D88" i="5"/>
  <c r="G88" i="5"/>
  <c r="H96" i="5"/>
  <c r="D96" i="5"/>
  <c r="G96" i="5"/>
  <c r="L100" i="5"/>
  <c r="H100" i="5"/>
  <c r="D100" i="5"/>
  <c r="K100" i="5"/>
  <c r="G100" i="5"/>
  <c r="H104" i="5"/>
  <c r="D104" i="5"/>
  <c r="G104" i="5"/>
  <c r="L108" i="5"/>
  <c r="H108" i="5"/>
  <c r="D108" i="5"/>
  <c r="K108" i="5"/>
  <c r="G108" i="5"/>
  <c r="H112" i="5"/>
  <c r="D112" i="5"/>
  <c r="G112" i="5"/>
  <c r="H116" i="5"/>
  <c r="D116" i="5"/>
  <c r="G116" i="5"/>
  <c r="H120" i="5"/>
  <c r="D120" i="5"/>
  <c r="G120" i="5"/>
  <c r="H132" i="5"/>
  <c r="D132" i="5"/>
  <c r="G132" i="5"/>
  <c r="F132" i="5"/>
  <c r="H164" i="5"/>
  <c r="D164" i="5"/>
  <c r="G164" i="5"/>
  <c r="F164" i="5"/>
  <c r="H172" i="5"/>
  <c r="D172" i="5"/>
  <c r="G172" i="5"/>
  <c r="F172" i="5"/>
  <c r="H216" i="5"/>
  <c r="D216" i="5"/>
  <c r="G216" i="5"/>
  <c r="F216" i="5"/>
  <c r="H4" i="5"/>
  <c r="I8" i="5"/>
  <c r="I12" i="5"/>
  <c r="I16" i="5"/>
  <c r="E24" i="5"/>
  <c r="I28" i="5"/>
  <c r="I32" i="5"/>
  <c r="I36" i="5"/>
  <c r="I40" i="5"/>
  <c r="I44" i="5"/>
  <c r="E48" i="5"/>
  <c r="E52" i="5"/>
  <c r="K56" i="5"/>
  <c r="E96" i="5"/>
  <c r="J108" i="5"/>
  <c r="I132" i="5"/>
  <c r="I136" i="5"/>
  <c r="I140" i="5"/>
  <c r="I144" i="5"/>
  <c r="I148" i="5"/>
  <c r="I168" i="5"/>
  <c r="I176" i="5"/>
  <c r="I188" i="5"/>
  <c r="I192" i="5"/>
  <c r="I196" i="5"/>
  <c r="I208" i="5"/>
  <c r="I212" i="5"/>
  <c r="I216" i="5"/>
  <c r="I228" i="5"/>
  <c r="E244" i="5"/>
  <c r="F4" i="5"/>
  <c r="H56" i="5"/>
  <c r="M56" i="5"/>
  <c r="H60" i="5"/>
  <c r="F68" i="5"/>
  <c r="E76" i="5"/>
  <c r="M76" i="5"/>
  <c r="F80" i="5"/>
  <c r="E84" i="5"/>
  <c r="I96" i="5"/>
  <c r="F100" i="5"/>
  <c r="N100" i="5"/>
  <c r="I104" i="5"/>
  <c r="F108" i="5"/>
  <c r="N108" i="5"/>
  <c r="I112" i="5"/>
  <c r="F116" i="5"/>
  <c r="E120" i="5"/>
  <c r="E236" i="5"/>
  <c r="I2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1000000}">
      <text>
        <r>
          <rPr>
            <sz val="10"/>
            <color rgb="FF000000"/>
            <rFont val="Arial"/>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2000000}">
      <text>
        <r>
          <rPr>
            <sz val="10"/>
            <color rgb="FF000000"/>
            <rFont val="Arial"/>
            <scheme val="minor"/>
          </rPr>
          <t>======
ID#AAABaOlUtE4
Radoslaw De Paula Merz    (2024-12-15 07:55:10)
This column shows all parcels  delivery time (incl. suitcases) 
Not apply for envelopes</t>
        </r>
      </text>
    </comment>
    <comment ref="Q1" authorId="0" shapeId="0" xr:uid="{00000000-0006-0000-0000-000003000000}">
      <text>
        <r>
          <rPr>
            <sz val="10"/>
            <color rgb="FF000000"/>
            <rFont val="Arial"/>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scheme val="minor"/>
          </rPr>
          <t>======
ID#AAABaOlUtEw
Radoslaw De Paula Merz    (2024-12-15 07:53:37)
Rating courier based on custom experience. It`s just to let customer know how good it is, no need to add any review etc.</t>
        </r>
      </text>
    </comment>
    <comment ref="S1" authorId="0" shapeId="0" xr:uid="{00000000-0006-0000-0000-000005000000}">
      <text>
        <r>
          <rPr>
            <sz val="10"/>
            <color rgb="FF000000"/>
            <rFont val="Arial"/>
            <scheme val="minor"/>
          </rPr>
          <t>======
ID#AAABaQEEb5o
Radoslaw De Paula Merz    (2024-12-17 08:54:05)
Courier visible only for us (Admin)</t>
        </r>
      </text>
    </comment>
    <comment ref="T1" authorId="0" shapeId="0" xr:uid="{00000000-0006-0000-0000-000006000000}">
      <text>
        <r>
          <rPr>
            <sz val="10"/>
            <color rgb="FF000000"/>
            <rFont val="Arial"/>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j6U9rRjtGfPQkmVqR+BeFr+4twr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100-000001000000}">
      <text>
        <r>
          <rPr>
            <sz val="10"/>
            <color rgb="FF000000"/>
            <rFont val="Arial"/>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100-000002000000}">
      <text>
        <r>
          <rPr>
            <sz val="10"/>
            <color rgb="FF000000"/>
            <rFont val="Arial"/>
            <scheme val="minor"/>
          </rPr>
          <t>======
ID#AAABaOlUtE4
Radoslaw De Paula Merz    (2024-12-15 07:55:10)
This column shows all parcels  delivery time (incl. suitcases) 
Not apply for envelopes</t>
        </r>
      </text>
    </comment>
    <comment ref="Q1" authorId="0" shapeId="0" xr:uid="{00000000-0006-0000-0100-000003000000}">
      <text>
        <r>
          <rPr>
            <sz val="10"/>
            <color rgb="FF000000"/>
            <rFont val="Arial"/>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100-000004000000}">
      <text>
        <r>
          <rPr>
            <sz val="10"/>
            <color rgb="FF000000"/>
            <rFont val="Arial"/>
            <scheme val="minor"/>
          </rPr>
          <t>======
ID#AAABaOlUtEw
Radoslaw De Paula Merz    (2024-12-15 07:53:37)
Rating courier based on custom experience. It`s just to let customer know how good it is, no need to add any review etc.</t>
        </r>
      </text>
    </comment>
    <comment ref="S1" authorId="0" shapeId="0" xr:uid="{00000000-0006-0000-0100-000005000000}">
      <text>
        <r>
          <rPr>
            <sz val="10"/>
            <color rgb="FF000000"/>
            <rFont val="Arial"/>
            <scheme val="minor"/>
          </rPr>
          <t>======
ID#AAABaQEEb5o
Radoslaw De Paula Merz    (2024-12-17 08:54:05)
Courier visible only for us (Admin)</t>
        </r>
      </text>
    </comment>
    <comment ref="T1" authorId="0" shapeId="0" xr:uid="{00000000-0006-0000-0100-000006000000}">
      <text>
        <r>
          <rPr>
            <sz val="10"/>
            <color rgb="FF000000"/>
            <rFont val="Arial"/>
            <scheme val="minor"/>
          </rPr>
          <t>======
ID#AAABaQEEb5s
Radoslaw De Paula Merz    (2024-12-17 08:54:30)
Visible for customers</t>
        </r>
      </text>
    </comment>
  </commentList>
</comments>
</file>

<file path=xl/sharedStrings.xml><?xml version="1.0" encoding="utf-8"?>
<sst xmlns="http://schemas.openxmlformats.org/spreadsheetml/2006/main" count="4360" uniqueCount="346">
  <si>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</si>
  <si>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</si>
  <si>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</si>
  <si>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</si>
  <si>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</si>
  <si>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</si>
  <si>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</si>
  <si>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</si>
  <si>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</si>
  <si>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</si>
  <si>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</si>
  <si>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</si>
  <si>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</si>
  <si>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</si>
  <si>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</si>
  <si>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</si>
  <si>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</si>
  <si>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</si>
  <si>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</si>
  <si>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</si>
  <si>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</si>
  <si>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</si>
  <si>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</si>
  <si>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</si>
  <si>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</si>
  <si>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</si>
  <si>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</si>
  <si>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</si>
  <si>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</si>
  <si>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</si>
  <si>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</si>
  <si>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</si>
  <si>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</si>
  <si>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</si>
  <si>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</si>
  <si>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</si>
  <si>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</si>
  <si>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</si>
  <si>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</si>
  <si>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</si>
  <si>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</si>
  <si>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</si>
  <si>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</si>
  <si>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</si>
  <si>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</si>
  <si>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</si>
  <si>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</si>
  <si>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</si>
  <si>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</si>
  <si>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</si>
  <si>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</si>
  <si>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</si>
  <si>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</si>
  <si>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</si>
  <si>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</si>
  <si>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</si>
  <si>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</si>
  <si>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</si>
  <si>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</si>
  <si>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</si>
  <si>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</si>
  <si>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</si>
  <si>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</si>
  <si>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</si>
  <si>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</si>
  <si>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</si>
  <si>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</si>
  <si>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</si>
  <si>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</si>
  <si>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</si>
  <si>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</si>
  <si>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</si>
  <si>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</si>
  <si>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</si>
  <si>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</si>
  <si>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</si>
  <si>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</si>
  <si>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</si>
  <si>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</si>
  <si>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</si>
  <si>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</si>
  <si>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</si>
  <si>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</si>
  <si>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</si>
  <si>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</si>
  <si>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</si>
  <si>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</si>
  <si>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</si>
  <si>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</si>
  <si>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</si>
  <si>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</si>
  <si>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</si>
  <si>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</si>
  <si>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</si>
  <si>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</si>
  <si>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</si>
  <si>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</si>
  <si>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</si>
  <si>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</si>
  <si>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</si>
  <si>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</si>
  <si>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</si>
  <si>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</si>
  <si>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</si>
  <si>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</si>
  <si>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</si>
  <si>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</si>
  <si>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</si>
  <si>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</si>
  <si>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</si>
  <si>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</si>
  <si>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</si>
  <si>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</si>
  <si>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</si>
  <si>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</si>
  <si>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</si>
  <si>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</si>
  <si>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</si>
  <si>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</si>
  <si>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</si>
  <si>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</si>
  <si>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</si>
  <si>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</si>
  <si>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</si>
  <si>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</si>
  <si>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</si>
  <si>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</si>
  <si>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</si>
  <si>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</si>
  <si>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</si>
  <si>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</si>
  <si>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</si>
  <si>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</si>
  <si>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</si>
  <si>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</si>
  <si>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</si>
  <si>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</si>
  <si>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</si>
  <si>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</si>
  <si>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</si>
  <si>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</si>
  <si>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</si>
  <si>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</si>
  <si>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</si>
  <si>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</si>
  <si>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</si>
  <si>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</si>
  <si>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</si>
  <si>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</si>
  <si>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</si>
  <si>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</si>
  <si>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</si>
  <si>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</si>
  <si>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</si>
  <si>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</si>
  <si>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</si>
  <si>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</si>
  <si>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</si>
  <si>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</si>
  <si>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</si>
  <si>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</si>
  <si>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</si>
  <si>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</si>
  <si>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</si>
  <si>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</si>
  <si>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</si>
  <si>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</si>
  <si>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</si>
  <si>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</si>
  <si>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</si>
  <si>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</si>
  <si>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</si>
  <si>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</si>
  <si>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</si>
  <si>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</si>
  <si>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</si>
  <si>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</si>
  <si>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</si>
  <si>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</si>
  <si>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</si>
  <si>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</si>
  <si>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</si>
  <si>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</si>
  <si>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</si>
  <si>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</si>
  <si>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</si>
  <si>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</si>
  <si>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</si>
  <si>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</si>
  <si>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</si>
  <si>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</si>
  <si>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</si>
  <si>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</si>
  <si>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</si>
  <si>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</si>
  <si>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</si>
  <si>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</si>
  <si>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</si>
  <si>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</si>
  <si>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</si>
  <si>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</si>
  <si>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</si>
  <si>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</si>
  <si>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</si>
  <si>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</si>
  <si>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</si>
  <si>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</si>
  <si>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</si>
  <si>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</si>
  <si>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</si>
  <si>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</si>
  <si>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</si>
  <si>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</si>
  <si>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</si>
  <si>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</si>
  <si>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</si>
  <si>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</si>
  <si>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</si>
  <si>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</si>
  <si>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</si>
  <si>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</si>
  <si>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</si>
  <si>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</si>
  <si>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</si>
  <si>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</si>
  <si>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</si>
  <si>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</si>
  <si>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</si>
  <si>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</si>
  <si>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</si>
  <si>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</si>
  <si>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</si>
  <si>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</si>
  <si>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</si>
  <si>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</si>
  <si>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</si>
  <si>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</si>
  <si>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</si>
  <si>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</si>
  <si>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</si>
  <si>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</si>
  <si>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</si>
  <si>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</si>
  <si>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</si>
  <si>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</si>
  <si>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</si>
  <si>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</si>
  <si>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</si>
  <si>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</si>
  <si>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</si>
  <si>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</si>
  <si>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</si>
  <si>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</si>
  <si>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</si>
  <si>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</si>
  <si>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</si>
  <si>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</si>
  <si>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</si>
  <si>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</si>
  <si>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</si>
  <si>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</si>
  <si>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</si>
  <si>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</si>
  <si>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</si>
  <si>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</si>
  <si>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</si>
  <si>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</si>
  <si>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</si>
  <si>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</si>
  <si>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</si>
  <si>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</si>
  <si>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</si>
  <si>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</si>
  <si>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</si>
  <si>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</si>
  <si>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</si>
  <si>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</si>
  <si>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</si>
  <si>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</si>
  <si>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</si>
  <si>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</si>
  <si>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</si>
  <si>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</si>
  <si>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</si>
  <si>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</si>
  <si>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</si>
  <si>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</si>
  <si>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</si>
  <si>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</si>
  <si>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</si>
  <si>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</si>
  <si>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</si>
  <si>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</si>
  <si>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</si>
  <si>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</si>
  <si>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</si>
  <si>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</si>
  <si>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</si>
  <si>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</si>
  <si>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</si>
  <si>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</si>
  <si>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</si>
  <si>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</si>
  <si>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</si>
  <si>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</si>
  <si>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</si>
  <si>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</si>
  <si>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</si>
  <si>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</si>
  <si>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</si>
  <si>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</si>
  <si>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</si>
  <si>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</si>
  <si>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</si>
  <si>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</si>
  <si>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</si>
  <si>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</si>
  <si>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</si>
  <si>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</si>
  <si>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</si>
  <si>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</si>
  <si>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</si>
  <si>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</si>
  <si>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</si>
  <si>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</si>
  <si>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</si>
  <si>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</si>
  <si>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</si>
  <si>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</si>
  <si>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</si>
  <si>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</si>
  <si>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</si>
  <si>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 xml:space="preserve">Hi, I have now second file ready. This file please add 25% to each amount from cells apart cell D (Doc 0.5kg won`t apply) It will apply for all  white cells and blue cells. Once done I have to get this file to download. After that you can work same way as yesterday.  </t>
  </si>
  <si>
    <t>All D white and blue cells - add €40</t>
  </si>
  <si>
    <t>All E-I white cells - add €50</t>
  </si>
  <si>
    <t>All E-N blue cells - add €40</t>
  </si>
  <si>
    <t>EU</t>
  </si>
  <si>
    <t>N/A</t>
  </si>
  <si>
    <t>Type</t>
  </si>
  <si>
    <t>All</t>
  </si>
  <si>
    <t>Col D</t>
  </si>
  <si>
    <t>Col E-N</t>
  </si>
  <si>
    <t>25% rule will not be applied on D</t>
  </si>
  <si>
    <t>FedEx Prioirty</t>
  </si>
  <si>
    <t>Priority</t>
  </si>
  <si>
    <t>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</si>
</sst>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m"/>
    <numFmt numFmtId="166" formatCode="&quot;€&quot;#,##0"/>
  </numFmts>
  <fonts count="7" x14ac:knownFonts="1">
    <font>
      <sz val="10"/>
      <color rgb="FF000000"/>
      <name val="Arial"/>
      <scheme val="minor"/>
    </font>
    <font>
      <b/>
      <sz val="11"/>
      <color theme="1"/>
      <name val="Calibri"/>
    </font>
    <font>
      <b/>
      <sz val="10"/>
      <color theme="1"/>
      <name val="Arial"/>
    </font>
    <font>
      <sz val="11"/>
      <color theme="1"/>
      <name val="Calibri"/>
    </font>
    <font>
      <sz val="10"/>
      <color theme="1"/>
      <name val="Arial"/>
    </font>
    <font>
      <sz val="12"/>
      <color rgb="FF000000"/>
      <name val="Aptos"/>
      <family val="2"/>
    </font>
    <font>
      <b/>
      <sz val="10"/>
      <color theme="0"/>
      <name val="Arial"/>
      <family val="2"/>
      <scheme val="minor"/>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0">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3" fillId="0" borderId="0" xfId="0" applyFont="1"/>
    <xf numFmtId="164" fontId="4" fillId="0" borderId="0" xfId="0" applyNumberFormat="1" applyFont="1"/>
    <xf numFmtId="165"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164" fontId="4" fillId="5" borderId="0" xfId="0" applyNumberFormat="1" applyFont="1" applyFill="1" applyAlignment="1">
      <alignment horizontal="center"/>
    </xf>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0" xfId="0" applyAlignment="1">
      <alignment wrapText="1"/>
    </xf>
    <xf numFmtId="0" fontId="0" fillId="0" borderId="4" xfId="0" applyBorder="1" applyAlignment="1">
      <alignment horizontal="center" vertical="center"/>
    </xf>
    <xf numFmtId="0" fontId="0" fillId="0" borderId="0" xfId="0" applyAlignment="1">
      <alignment horizontal="center"/>
    </xf>
    <xf numFmtId="2" fontId="0" fillId="0" borderId="0" xfId="0" applyNumberFormat="1"/>
    <xf numFmtId="164" fontId="4" fillId="0" borderId="5" xfId="0" applyNumberFormat="1" applyFont="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3" fillId="0" borderId="9" xfId="0" applyFont="1" applyBorder="1" applyAlignment="1">
      <alignment horizontal="center"/>
    </xf>
    <xf numFmtId="0" fontId="4" fillId="0" borderId="10" xfId="0" applyFont="1" applyBorder="1"/>
    <xf numFmtId="0" fontId="1" fillId="3" borderId="9" xfId="0" applyFont="1" applyFill="1" applyBorder="1" applyAlignment="1">
      <alignment horizontal="center"/>
    </xf>
    <xf numFmtId="0" fontId="4" fillId="4" borderId="10" xfId="0" applyFont="1" applyFill="1" applyBorder="1"/>
    <xf numFmtId="0" fontId="4" fillId="5" borderId="10" xfId="0" applyFont="1" applyFill="1" applyBorder="1"/>
    <xf numFmtId="0" fontId="4" fillId="0" borderId="5" xfId="0" applyFont="1" applyBorder="1" applyAlignment="1">
      <alignment horizontal="center"/>
    </xf>
    <xf numFmtId="166" fontId="4" fillId="0" borderId="5" xfId="0" applyNumberFormat="1" applyFont="1" applyBorder="1" applyAlignment="1">
      <alignment horizontal="center"/>
    </xf>
    <xf numFmtId="0" fontId="4" fillId="0" borderId="5" xfId="0" applyFont="1" applyBorder="1"/>
    <xf numFmtId="0" fontId="4" fillId="0" borderId="11" xfId="0" applyFont="1" applyBorder="1"/>
    <xf numFmtId="0" fontId="6" fillId="7" borderId="2" xfId="0" quotePrefix="1" applyFont="1" applyFill="1" applyBorder="1" applyAlignment="1">
      <alignment horizontal="center" vertical="center"/>
    </xf>
    <xf numFmtId="0" fontId="6" fillId="7" borderId="3"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cellXfs>
  <cellStyles count="1">
    <cellStyle name="Normal" xfId="0" builtinId="0"/>
  </cellStyles>
  <dxfs count="7">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G8" sqref="G8"/>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1" t="s">
        <v>345</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7" t="s">
        <v>336</v>
      </c>
      <c r="B2" s="8" t="s">
        <v>19</v>
      </c>
      <c r="C2" s="9" t="s">
        <v>20</v>
      </c>
      <c r="D2" s="10" t="s">
        <v>21</v>
      </c>
      <c r="E2" s="10" t="s">
        <v>21</v>
      </c>
      <c r="F2" s="10" t="s">
        <v>21</v>
      </c>
      <c r="G2" s="10" t="s">
        <v>21</v>
      </c>
      <c r="H2" s="10" t="s">
        <v>21</v>
      </c>
      <c r="I2" s="10" t="s">
        <v>21</v>
      </c>
      <c r="J2" s="10" t="s">
        <v>21</v>
      </c>
      <c r="K2" s="10" t="s">
        <v>21</v>
      </c>
      <c r="L2" s="10" t="s">
        <v>21</v>
      </c>
      <c r="M2" s="10" t="s">
        <v>21</v>
      </c>
      <c r="N2" s="10" t="s">
        <v>21</v>
      </c>
      <c r="S2" s="3"/>
      <c r="T2" s="3"/>
    </row>
    <row r="3" spans="1:20" ht="15.75" customHeight="1" x14ac:dyDescent="0.3">
      <c r="A3" s="7" t="s">
        <v>336</v>
      </c>
      <c r="B3" s="8" t="s">
        <v>19</v>
      </c>
      <c r="C3" s="9" t="s">
        <v>22</v>
      </c>
      <c r="D3" s="5">
        <v>35.5</v>
      </c>
      <c r="E3" s="5">
        <v>44.375</v>
      </c>
      <c r="F3" s="5">
        <v>47.375</v>
      </c>
      <c r="G3" s="5">
        <v>56.875</v>
      </c>
      <c r="H3" s="5">
        <v>61.25</v>
      </c>
      <c r="I3" s="5">
        <v>68.75</v>
      </c>
      <c r="J3" s="10" t="s">
        <v>21</v>
      </c>
      <c r="K3" s="10" t="s">
        <v>21</v>
      </c>
      <c r="L3" s="10" t="s">
        <v>21</v>
      </c>
      <c r="M3" s="10" t="s">
        <v>21</v>
      </c>
      <c r="N3" s="10" t="s">
        <v>21</v>
      </c>
      <c r="O3" s="11" t="s">
        <v>23</v>
      </c>
      <c r="P3" s="11" t="s">
        <v>24</v>
      </c>
      <c r="Q3" s="12">
        <v>80</v>
      </c>
      <c r="R3" s="11" t="s">
        <v>25</v>
      </c>
      <c r="S3" s="3" t="s">
        <v>343</v>
      </c>
      <c r="T3" s="3" t="s">
        <v>344</v>
      </c>
    </row>
    <row r="4" spans="1:20" ht="15.75" customHeight="1" x14ac:dyDescent="0.3">
      <c r="A4" s="7" t="s">
        <v>336</v>
      </c>
      <c r="B4" s="8" t="s">
        <v>19</v>
      </c>
      <c r="C4" s="9" t="s">
        <v>28</v>
      </c>
      <c r="D4" s="5">
        <v>21.06</v>
      </c>
      <c r="E4" s="5">
        <v>28.075000000000003</v>
      </c>
      <c r="F4" s="5">
        <v>31.662499999999998</v>
      </c>
      <c r="G4" s="5">
        <v>45.05</v>
      </c>
      <c r="H4" s="5">
        <v>70.349999999999994</v>
      </c>
      <c r="I4" s="5">
        <v>133.22499999999999</v>
      </c>
      <c r="J4" s="10" t="s">
        <v>21</v>
      </c>
      <c r="K4" s="10" t="s">
        <v>21</v>
      </c>
      <c r="L4" s="10" t="s">
        <v>21</v>
      </c>
      <c r="M4" s="10" t="s">
        <v>21</v>
      </c>
      <c r="N4" s="10" t="s">
        <v>21</v>
      </c>
      <c r="O4" s="11" t="s">
        <v>29</v>
      </c>
      <c r="P4" s="11" t="s">
        <v>30</v>
      </c>
      <c r="Q4" s="12">
        <v>80</v>
      </c>
      <c r="R4" s="11" t="s">
        <v>25</v>
      </c>
      <c r="S4" s="3" t="s">
        <v>343</v>
      </c>
      <c r="T4" s="3" t="s">
        <v>344</v>
      </c>
    </row>
    <row r="5" spans="1:20" ht="15.75" customHeight="1" x14ac:dyDescent="0.3">
      <c r="A5" s="7" t="s">
        <v>336</v>
      </c>
      <c r="B5" s="8" t="s">
        <v>19</v>
      </c>
      <c r="C5" s="9" t="s">
        <v>31</v>
      </c>
      <c r="D5" s="5">
        <v>31.72</v>
      </c>
      <c r="E5" s="5">
        <v>42.1875</v>
      </c>
      <c r="F5" s="5">
        <v>47.375</v>
      </c>
      <c r="G5" s="5">
        <v>65.45</v>
      </c>
      <c r="H5" s="10" t="s">
        <v>21</v>
      </c>
      <c r="I5" s="10" t="s">
        <v>21</v>
      </c>
      <c r="J5" s="10" t="s">
        <v>21</v>
      </c>
      <c r="K5" s="10" t="s">
        <v>21</v>
      </c>
      <c r="L5" s="10" t="s">
        <v>21</v>
      </c>
      <c r="M5" s="10" t="s">
        <v>21</v>
      </c>
      <c r="N5" s="10" t="s">
        <v>21</v>
      </c>
      <c r="O5" s="11"/>
      <c r="P5" s="11"/>
      <c r="Q5" s="11"/>
      <c r="R5" s="11"/>
      <c r="S5" s="3" t="s">
        <v>343</v>
      </c>
      <c r="T5" s="3" t="s">
        <v>344</v>
      </c>
    </row>
    <row r="6" spans="1:20" ht="15.75" customHeight="1" x14ac:dyDescent="0.3">
      <c r="A6" s="7" t="s">
        <v>336</v>
      </c>
      <c r="B6" s="8" t="s">
        <v>19</v>
      </c>
      <c r="C6" s="9" t="s">
        <v>32</v>
      </c>
      <c r="D6" s="5">
        <v>23</v>
      </c>
      <c r="E6" s="5">
        <v>24.625</v>
      </c>
      <c r="F6" s="5">
        <v>25</v>
      </c>
      <c r="G6" s="5">
        <v>26.25</v>
      </c>
      <c r="H6" s="5">
        <v>30.625</v>
      </c>
      <c r="I6" s="5">
        <v>37.5</v>
      </c>
      <c r="J6" s="10" t="s">
        <v>21</v>
      </c>
      <c r="K6" s="10" t="s">
        <v>21</v>
      </c>
      <c r="L6" s="10" t="s">
        <v>21</v>
      </c>
      <c r="M6" s="10" t="s">
        <v>21</v>
      </c>
      <c r="N6" s="10" t="s">
        <v>21</v>
      </c>
      <c r="O6" s="11" t="s">
        <v>33</v>
      </c>
      <c r="P6" s="11" t="s">
        <v>23</v>
      </c>
      <c r="Q6" s="12">
        <v>80</v>
      </c>
      <c r="R6" s="11" t="s">
        <v>25</v>
      </c>
      <c r="S6" s="3" t="s">
        <v>343</v>
      </c>
      <c r="T6" s="3" t="s">
        <v>344</v>
      </c>
    </row>
    <row r="7" spans="1:20" ht="15.75" customHeight="1" x14ac:dyDescent="0.3">
      <c r="A7" s="7" t="s">
        <v>336</v>
      </c>
      <c r="B7" s="8" t="s">
        <v>19</v>
      </c>
      <c r="C7" s="9" t="s">
        <v>34</v>
      </c>
      <c r="D7" s="5">
        <v>31.72</v>
      </c>
      <c r="E7" s="5">
        <v>42.1875</v>
      </c>
      <c r="F7" s="5">
        <v>47.375</v>
      </c>
      <c r="G7" s="5">
        <v>65.45</v>
      </c>
      <c r="H7" s="5">
        <v>93.375</v>
      </c>
      <c r="I7" s="5">
        <v>201.82500000000002</v>
      </c>
      <c r="J7" s="10" t="s">
        <v>21</v>
      </c>
      <c r="K7" s="10" t="s">
        <v>21</v>
      </c>
      <c r="L7" s="10" t="s">
        <v>21</v>
      </c>
      <c r="M7" s="10" t="s">
        <v>21</v>
      </c>
      <c r="N7" s="10" t="s">
        <v>21</v>
      </c>
      <c r="O7" s="11" t="s">
        <v>35</v>
      </c>
      <c r="P7" s="11" t="s">
        <v>36</v>
      </c>
      <c r="Q7" s="12">
        <v>80</v>
      </c>
      <c r="R7" s="11" t="s">
        <v>25</v>
      </c>
      <c r="S7" s="3" t="s">
        <v>343</v>
      </c>
      <c r="T7" s="3" t="s">
        <v>344</v>
      </c>
    </row>
    <row r="8" spans="1:20" ht="15.75" customHeight="1" x14ac:dyDescent="0.3">
      <c r="A8" s="7" t="s">
        <v>336</v>
      </c>
      <c r="B8" s="8" t="s">
        <v>19</v>
      </c>
      <c r="C8" s="9" t="s">
        <v>37</v>
      </c>
      <c r="D8" s="5">
        <v>27.47</v>
      </c>
      <c r="E8" s="5">
        <v>36.125</v>
      </c>
      <c r="F8" s="5">
        <v>40.012499999999996</v>
      </c>
      <c r="G8" s="5">
        <v>55.987499999999997</v>
      </c>
      <c r="H8" s="5">
        <v>76.5</v>
      </c>
      <c r="I8" s="5">
        <v>178.27500000000001</v>
      </c>
      <c r="J8" s="10" t="s">
        <v>21</v>
      </c>
      <c r="K8" s="10" t="s">
        <v>21</v>
      </c>
      <c r="L8" s="10" t="s">
        <v>21</v>
      </c>
      <c r="M8" s="10" t="s">
        <v>21</v>
      </c>
      <c r="N8" s="10" t="s">
        <v>21</v>
      </c>
      <c r="O8" s="11" t="s">
        <v>38</v>
      </c>
      <c r="P8" s="11" t="s">
        <v>39</v>
      </c>
      <c r="Q8" s="12">
        <v>80</v>
      </c>
      <c r="R8" s="11" t="s">
        <v>25</v>
      </c>
      <c r="S8" s="3" t="s">
        <v>343</v>
      </c>
      <c r="T8" s="3" t="s">
        <v>344</v>
      </c>
    </row>
    <row r="9" spans="1:20" ht="15.75" customHeight="1" x14ac:dyDescent="0.3">
      <c r="A9" s="7" t="s">
        <v>336</v>
      </c>
      <c r="B9" s="8" t="s">
        <v>19</v>
      </c>
      <c r="C9" s="9" t="s">
        <v>40</v>
      </c>
      <c r="D9" s="5">
        <v>27.47</v>
      </c>
      <c r="E9" s="5">
        <v>36.125</v>
      </c>
      <c r="F9" s="5">
        <v>40.012499999999996</v>
      </c>
      <c r="G9" s="5">
        <v>55.987499999999997</v>
      </c>
      <c r="H9" s="5">
        <v>76.5</v>
      </c>
      <c r="I9" s="5">
        <v>178.27500000000001</v>
      </c>
      <c r="J9" s="10" t="s">
        <v>21</v>
      </c>
      <c r="K9" s="10" t="s">
        <v>21</v>
      </c>
      <c r="L9" s="10" t="s">
        <v>21</v>
      </c>
      <c r="M9" s="10" t="s">
        <v>21</v>
      </c>
      <c r="N9" s="10" t="s">
        <v>21</v>
      </c>
      <c r="O9" s="11" t="s">
        <v>41</v>
      </c>
      <c r="P9" s="11" t="s">
        <v>23</v>
      </c>
      <c r="Q9" s="12">
        <v>80</v>
      </c>
      <c r="R9" s="11" t="s">
        <v>25</v>
      </c>
      <c r="S9" s="3" t="s">
        <v>343</v>
      </c>
      <c r="T9" s="3" t="s">
        <v>344</v>
      </c>
    </row>
    <row r="10" spans="1:20" ht="15.75" customHeight="1" x14ac:dyDescent="0.3">
      <c r="A10" s="7" t="s">
        <v>336</v>
      </c>
      <c r="B10" s="8" t="s">
        <v>19</v>
      </c>
      <c r="C10" s="9" t="s">
        <v>42</v>
      </c>
      <c r="D10" s="5">
        <v>27.47</v>
      </c>
      <c r="E10" s="5">
        <v>36.125</v>
      </c>
      <c r="F10" s="5">
        <v>40.012499999999996</v>
      </c>
      <c r="G10" s="5">
        <v>55.987499999999997</v>
      </c>
      <c r="H10" s="5">
        <v>76.5</v>
      </c>
      <c r="I10" s="5">
        <v>178.27500000000001</v>
      </c>
      <c r="J10" s="10" t="s">
        <v>21</v>
      </c>
      <c r="K10" s="10" t="s">
        <v>21</v>
      </c>
      <c r="L10" s="10" t="s">
        <v>21</v>
      </c>
      <c r="M10" s="10" t="s">
        <v>21</v>
      </c>
      <c r="N10" s="10" t="s">
        <v>21</v>
      </c>
      <c r="O10" s="11" t="s">
        <v>41</v>
      </c>
      <c r="P10" s="11" t="s">
        <v>23</v>
      </c>
      <c r="Q10" s="12">
        <v>80</v>
      </c>
      <c r="R10" s="11" t="s">
        <v>25</v>
      </c>
      <c r="S10" s="3" t="s">
        <v>343</v>
      </c>
      <c r="T10" s="3" t="s">
        <v>344</v>
      </c>
    </row>
    <row r="11" spans="1:20" ht="15.75" customHeight="1" x14ac:dyDescent="0.3">
      <c r="A11" s="7" t="s">
        <v>336</v>
      </c>
      <c r="B11" s="8" t="s">
        <v>19</v>
      </c>
      <c r="C11" s="9" t="s">
        <v>43</v>
      </c>
      <c r="D11" s="5">
        <v>21.06</v>
      </c>
      <c r="E11" s="5">
        <v>28.075000000000003</v>
      </c>
      <c r="F11" s="5">
        <v>31.662499999999998</v>
      </c>
      <c r="G11" s="5">
        <v>45.05</v>
      </c>
      <c r="H11" s="5">
        <v>70.349999999999994</v>
      </c>
      <c r="I11" s="5">
        <v>133.22499999999999</v>
      </c>
      <c r="J11" s="10" t="s">
        <v>21</v>
      </c>
      <c r="K11" s="10" t="s">
        <v>21</v>
      </c>
      <c r="L11" s="10" t="s">
        <v>21</v>
      </c>
      <c r="M11" s="10" t="s">
        <v>21</v>
      </c>
      <c r="N11" s="10" t="s">
        <v>21</v>
      </c>
      <c r="O11" s="11" t="s">
        <v>29</v>
      </c>
      <c r="P11" s="11" t="s">
        <v>30</v>
      </c>
      <c r="Q11" s="12">
        <v>80</v>
      </c>
      <c r="R11" s="11" t="s">
        <v>25</v>
      </c>
      <c r="S11" s="3" t="s">
        <v>343</v>
      </c>
      <c r="T11" s="3" t="s">
        <v>344</v>
      </c>
    </row>
    <row r="12" spans="1:20" ht="15.75" customHeight="1" x14ac:dyDescent="0.3">
      <c r="A12" s="7" t="s">
        <v>336</v>
      </c>
      <c r="B12" s="8" t="s">
        <v>19</v>
      </c>
      <c r="C12" s="9" t="s">
        <v>44</v>
      </c>
      <c r="D12" s="5">
        <v>27.47</v>
      </c>
      <c r="E12" s="5">
        <v>36.125</v>
      </c>
      <c r="F12" s="5">
        <v>40.012499999999996</v>
      </c>
      <c r="G12" s="5">
        <v>55.987499999999997</v>
      </c>
      <c r="H12" s="5">
        <v>76.5</v>
      </c>
      <c r="I12" s="5">
        <v>178.27500000000001</v>
      </c>
      <c r="J12" s="10" t="s">
        <v>21</v>
      </c>
      <c r="K12" s="10" t="s">
        <v>21</v>
      </c>
      <c r="L12" s="10" t="s">
        <v>21</v>
      </c>
      <c r="M12" s="10" t="s">
        <v>21</v>
      </c>
      <c r="N12" s="10" t="s">
        <v>21</v>
      </c>
      <c r="O12" s="11" t="s">
        <v>41</v>
      </c>
      <c r="P12" s="11" t="s">
        <v>23</v>
      </c>
      <c r="Q12" s="12">
        <v>80</v>
      </c>
      <c r="R12" s="11" t="s">
        <v>25</v>
      </c>
      <c r="S12" s="3" t="s">
        <v>343</v>
      </c>
      <c r="T12" s="3" t="s">
        <v>344</v>
      </c>
    </row>
    <row r="13" spans="1:20" ht="15.75" customHeight="1" x14ac:dyDescent="0.3">
      <c r="A13" s="7" t="s">
        <v>336</v>
      </c>
      <c r="B13" s="8" t="s">
        <v>19</v>
      </c>
      <c r="C13" s="9" t="s">
        <v>45</v>
      </c>
      <c r="D13" s="5">
        <v>47.67</v>
      </c>
      <c r="E13" s="5">
        <v>63.75</v>
      </c>
      <c r="F13" s="5">
        <v>72.325000000000003</v>
      </c>
      <c r="G13" s="5">
        <v>107.77500000000001</v>
      </c>
      <c r="H13" s="5">
        <v>153.15</v>
      </c>
      <c r="I13" s="5">
        <v>235</v>
      </c>
      <c r="J13" s="10" t="s">
        <v>21</v>
      </c>
      <c r="K13" s="10" t="s">
        <v>21</v>
      </c>
      <c r="L13" s="10" t="s">
        <v>21</v>
      </c>
      <c r="M13" s="10" t="s">
        <v>21</v>
      </c>
      <c r="N13" s="10" t="s">
        <v>21</v>
      </c>
      <c r="O13" s="11" t="s">
        <v>41</v>
      </c>
      <c r="P13" s="11" t="s">
        <v>23</v>
      </c>
      <c r="Q13" s="12">
        <v>80</v>
      </c>
      <c r="R13" s="11" t="s">
        <v>25</v>
      </c>
      <c r="S13" s="3" t="s">
        <v>343</v>
      </c>
      <c r="T13" s="3" t="s">
        <v>344</v>
      </c>
    </row>
    <row r="14" spans="1:20" ht="15.75" customHeight="1" x14ac:dyDescent="0.3">
      <c r="A14" s="7" t="s">
        <v>336</v>
      </c>
      <c r="B14" s="8" t="s">
        <v>19</v>
      </c>
      <c r="C14" s="13" t="s">
        <v>46</v>
      </c>
      <c r="D14" s="14">
        <v>23</v>
      </c>
      <c r="E14" s="14">
        <v>24.625</v>
      </c>
      <c r="F14" s="14">
        <v>25</v>
      </c>
      <c r="G14" s="14">
        <v>26.25</v>
      </c>
      <c r="H14" s="14">
        <v>30.625</v>
      </c>
      <c r="I14" s="14">
        <v>37.5</v>
      </c>
      <c r="J14" s="14">
        <v>47.5</v>
      </c>
      <c r="K14" s="14">
        <v>52.5</v>
      </c>
      <c r="L14" s="14">
        <v>52.5</v>
      </c>
      <c r="M14" s="14">
        <v>84.375</v>
      </c>
      <c r="N14" s="14">
        <v>86.25</v>
      </c>
      <c r="O14" s="15" t="s">
        <v>29</v>
      </c>
      <c r="P14" s="15" t="s">
        <v>23</v>
      </c>
      <c r="Q14" s="16">
        <v>80</v>
      </c>
      <c r="R14" s="15" t="s">
        <v>25</v>
      </c>
      <c r="S14" s="3" t="s">
        <v>343</v>
      </c>
      <c r="T14" s="3" t="s">
        <v>344</v>
      </c>
    </row>
    <row r="15" spans="1:20" ht="15.75" customHeight="1" x14ac:dyDescent="0.3">
      <c r="A15" s="7" t="s">
        <v>336</v>
      </c>
      <c r="B15" s="8" t="s">
        <v>19</v>
      </c>
      <c r="C15" s="9" t="s">
        <v>47</v>
      </c>
      <c r="D15" s="5">
        <v>21.06</v>
      </c>
      <c r="E15" s="5">
        <v>28.075000000000003</v>
      </c>
      <c r="F15" s="5">
        <v>31.662499999999998</v>
      </c>
      <c r="G15" s="5">
        <v>45.05</v>
      </c>
      <c r="H15" s="5">
        <v>70.349999999999994</v>
      </c>
      <c r="I15" s="5">
        <v>133.22499999999999</v>
      </c>
      <c r="J15" s="10" t="s">
        <v>21</v>
      </c>
      <c r="K15" s="10" t="s">
        <v>21</v>
      </c>
      <c r="L15" s="10" t="s">
        <v>21</v>
      </c>
      <c r="M15" s="10" t="s">
        <v>21</v>
      </c>
      <c r="N15" s="10" t="s">
        <v>21</v>
      </c>
      <c r="O15" s="11" t="s">
        <v>29</v>
      </c>
      <c r="P15" s="11" t="s">
        <v>30</v>
      </c>
      <c r="Q15" s="12">
        <v>80</v>
      </c>
      <c r="R15" s="11" t="s">
        <v>25</v>
      </c>
      <c r="S15" s="3" t="s">
        <v>343</v>
      </c>
      <c r="T15" s="3" t="s">
        <v>344</v>
      </c>
    </row>
    <row r="16" spans="1:20" ht="15.75" customHeight="1" x14ac:dyDescent="0.3">
      <c r="A16" s="7" t="s">
        <v>336</v>
      </c>
      <c r="B16" s="8" t="s">
        <v>19</v>
      </c>
      <c r="C16" s="9" t="s">
        <v>48</v>
      </c>
      <c r="D16" s="5">
        <v>27.47</v>
      </c>
      <c r="E16" s="5">
        <v>36.125</v>
      </c>
      <c r="F16" s="5">
        <v>40.012499999999996</v>
      </c>
      <c r="G16" s="5">
        <v>55.987499999999997</v>
      </c>
      <c r="H16" s="5">
        <v>76.5</v>
      </c>
      <c r="I16" s="5">
        <v>178.27500000000001</v>
      </c>
      <c r="J16" s="10" t="s">
        <v>21</v>
      </c>
      <c r="K16" s="10" t="s">
        <v>21</v>
      </c>
      <c r="L16" s="10" t="s">
        <v>21</v>
      </c>
      <c r="M16" s="10" t="s">
        <v>21</v>
      </c>
      <c r="N16" s="10" t="s">
        <v>21</v>
      </c>
      <c r="O16" s="11" t="s">
        <v>41</v>
      </c>
      <c r="P16" s="11" t="s">
        <v>23</v>
      </c>
      <c r="Q16" s="12">
        <v>80</v>
      </c>
      <c r="R16" s="11" t="s">
        <v>25</v>
      </c>
      <c r="S16" s="3" t="s">
        <v>343</v>
      </c>
      <c r="T16" s="3" t="s">
        <v>344</v>
      </c>
    </row>
    <row r="17" spans="1:20" ht="15.75" customHeight="1" x14ac:dyDescent="0.3">
      <c r="A17" s="7" t="s">
        <v>336</v>
      </c>
      <c r="B17" s="8" t="s">
        <v>19</v>
      </c>
      <c r="C17" s="9" t="s">
        <v>49</v>
      </c>
      <c r="D17" s="5">
        <v>21.06</v>
      </c>
      <c r="E17" s="5">
        <v>28.075000000000003</v>
      </c>
      <c r="F17" s="5">
        <v>31.662499999999998</v>
      </c>
      <c r="G17" s="5">
        <v>45.05</v>
      </c>
      <c r="H17" s="5">
        <v>70.349999999999994</v>
      </c>
      <c r="I17" s="5">
        <v>133.22499999999999</v>
      </c>
      <c r="J17" s="10" t="s">
        <v>21</v>
      </c>
      <c r="K17" s="10" t="s">
        <v>21</v>
      </c>
      <c r="L17" s="10" t="s">
        <v>21</v>
      </c>
      <c r="M17" s="10" t="s">
        <v>21</v>
      </c>
      <c r="N17" s="10" t="s">
        <v>21</v>
      </c>
      <c r="O17" s="11" t="s">
        <v>29</v>
      </c>
      <c r="P17" s="11" t="s">
        <v>30</v>
      </c>
      <c r="Q17" s="12">
        <v>80</v>
      </c>
      <c r="R17" s="11" t="s">
        <v>25</v>
      </c>
      <c r="S17" s="3" t="s">
        <v>343</v>
      </c>
      <c r="T17" s="3" t="s">
        <v>344</v>
      </c>
    </row>
    <row r="18" spans="1:20" ht="15.75" customHeight="1" x14ac:dyDescent="0.3">
      <c r="A18" s="7" t="s">
        <v>336</v>
      </c>
      <c r="B18" s="8" t="s">
        <v>19</v>
      </c>
      <c r="C18" s="9" t="s">
        <v>50</v>
      </c>
      <c r="D18" s="5">
        <v>21.06</v>
      </c>
      <c r="E18" s="5">
        <v>28.075000000000003</v>
      </c>
      <c r="F18" s="5">
        <v>31.662499999999998</v>
      </c>
      <c r="G18" s="5">
        <v>45.05</v>
      </c>
      <c r="H18" s="5">
        <v>70.349999999999994</v>
      </c>
      <c r="I18" s="5">
        <v>133.22499999999999</v>
      </c>
      <c r="J18" s="10" t="s">
        <v>21</v>
      </c>
      <c r="K18" s="10" t="s">
        <v>21</v>
      </c>
      <c r="L18" s="10" t="s">
        <v>21</v>
      </c>
      <c r="M18" s="10" t="s">
        <v>21</v>
      </c>
      <c r="N18" s="10" t="s">
        <v>21</v>
      </c>
      <c r="O18" s="11" t="s">
        <v>29</v>
      </c>
      <c r="P18" s="11" t="s">
        <v>30</v>
      </c>
      <c r="Q18" s="12">
        <v>80</v>
      </c>
      <c r="R18" s="11" t="s">
        <v>25</v>
      </c>
      <c r="S18" s="3" t="s">
        <v>343</v>
      </c>
      <c r="T18" s="3" t="s">
        <v>344</v>
      </c>
    </row>
    <row r="19" spans="1:20" ht="15.75" customHeight="1" x14ac:dyDescent="0.3">
      <c r="A19" s="7" t="s">
        <v>336</v>
      </c>
      <c r="B19" s="8" t="s">
        <v>19</v>
      </c>
      <c r="C19" s="9" t="s">
        <v>51</v>
      </c>
      <c r="D19" s="5">
        <v>27.47</v>
      </c>
      <c r="E19" s="5">
        <v>36.125</v>
      </c>
      <c r="F19" s="5">
        <v>40.012499999999996</v>
      </c>
      <c r="G19" s="5">
        <v>55.987499999999997</v>
      </c>
      <c r="H19" s="5">
        <v>76.5</v>
      </c>
      <c r="I19" s="5">
        <v>178.27500000000001</v>
      </c>
      <c r="J19" s="10" t="s">
        <v>21</v>
      </c>
      <c r="K19" s="10" t="s">
        <v>21</v>
      </c>
      <c r="L19" s="10" t="s">
        <v>21</v>
      </c>
      <c r="M19" s="10" t="s">
        <v>21</v>
      </c>
      <c r="N19" s="10" t="s">
        <v>21</v>
      </c>
      <c r="O19" s="11" t="s">
        <v>41</v>
      </c>
      <c r="P19" s="11" t="s">
        <v>23</v>
      </c>
      <c r="Q19" s="12">
        <v>80</v>
      </c>
      <c r="R19" s="11" t="s">
        <v>25</v>
      </c>
      <c r="S19" s="3" t="s">
        <v>343</v>
      </c>
      <c r="T19" s="3" t="s">
        <v>344</v>
      </c>
    </row>
    <row r="20" spans="1:20" ht="15.75" customHeight="1" x14ac:dyDescent="0.3">
      <c r="A20" s="7" t="s">
        <v>336</v>
      </c>
      <c r="B20" s="8" t="s">
        <v>19</v>
      </c>
      <c r="C20" s="9" t="s">
        <v>52</v>
      </c>
      <c r="D20" s="10" t="s">
        <v>21</v>
      </c>
      <c r="E20" s="10" t="s">
        <v>21</v>
      </c>
      <c r="F20" s="10" t="s">
        <v>21</v>
      </c>
      <c r="G20" s="10" t="s">
        <v>21</v>
      </c>
      <c r="H20" s="10" t="s">
        <v>21</v>
      </c>
      <c r="I20" s="10" t="s">
        <v>21</v>
      </c>
      <c r="J20" s="10" t="s">
        <v>21</v>
      </c>
      <c r="K20" s="10" t="s">
        <v>21</v>
      </c>
      <c r="L20" s="10" t="s">
        <v>21</v>
      </c>
      <c r="M20" s="10" t="s">
        <v>21</v>
      </c>
      <c r="N20" s="10" t="s">
        <v>21</v>
      </c>
      <c r="O20" s="11"/>
      <c r="P20" s="11"/>
      <c r="Q20" s="11"/>
      <c r="R20" s="11"/>
      <c r="S20" s="3" t="s">
        <v>343</v>
      </c>
      <c r="T20" s="3" t="s">
        <v>344</v>
      </c>
    </row>
    <row r="21" spans="1:20" ht="15.75" customHeight="1" x14ac:dyDescent="0.3">
      <c r="A21" s="7" t="s">
        <v>336</v>
      </c>
      <c r="B21" s="8" t="s">
        <v>19</v>
      </c>
      <c r="C21" s="13" t="s">
        <v>53</v>
      </c>
      <c r="D21" s="14">
        <v>21.5</v>
      </c>
      <c r="E21" s="14">
        <v>23.875</v>
      </c>
      <c r="F21" s="14">
        <v>26.25</v>
      </c>
      <c r="G21" s="14">
        <v>28.75</v>
      </c>
      <c r="H21" s="14">
        <v>31.25</v>
      </c>
      <c r="I21" s="14">
        <v>36.25</v>
      </c>
      <c r="J21" s="14">
        <v>45</v>
      </c>
      <c r="K21" s="14">
        <v>51.25</v>
      </c>
      <c r="L21" s="14">
        <v>78.75</v>
      </c>
      <c r="M21" s="14">
        <v>86.25</v>
      </c>
      <c r="N21" s="14">
        <v>91.25</v>
      </c>
      <c r="O21" s="15" t="s">
        <v>29</v>
      </c>
      <c r="P21" s="15" t="s">
        <v>41</v>
      </c>
      <c r="Q21" s="16">
        <v>80</v>
      </c>
      <c r="R21" s="15" t="s">
        <v>25</v>
      </c>
      <c r="S21" s="3" t="s">
        <v>343</v>
      </c>
      <c r="T21" s="3" t="s">
        <v>344</v>
      </c>
    </row>
    <row r="22" spans="1:20" ht="15.75" customHeight="1" x14ac:dyDescent="0.3">
      <c r="A22" s="7" t="s">
        <v>336</v>
      </c>
      <c r="B22" s="8" t="s">
        <v>19</v>
      </c>
      <c r="C22" s="9" t="s">
        <v>54</v>
      </c>
      <c r="D22" s="5">
        <v>27.47</v>
      </c>
      <c r="E22" s="5">
        <v>36.125</v>
      </c>
      <c r="F22" s="5">
        <v>40.012499999999996</v>
      </c>
      <c r="G22" s="5">
        <v>55.987499999999997</v>
      </c>
      <c r="H22" s="5">
        <v>76.5</v>
      </c>
      <c r="I22" s="5">
        <v>178.27500000000001</v>
      </c>
      <c r="J22" s="10" t="s">
        <v>21</v>
      </c>
      <c r="K22" s="10" t="s">
        <v>21</v>
      </c>
      <c r="L22" s="10" t="s">
        <v>21</v>
      </c>
      <c r="M22" s="10" t="s">
        <v>21</v>
      </c>
      <c r="N22" s="10" t="s">
        <v>21</v>
      </c>
      <c r="O22" s="11" t="s">
        <v>41</v>
      </c>
      <c r="P22" s="11" t="s">
        <v>23</v>
      </c>
      <c r="Q22" s="12">
        <v>80</v>
      </c>
      <c r="R22" s="11" t="s">
        <v>25</v>
      </c>
      <c r="S22" s="3" t="s">
        <v>343</v>
      </c>
      <c r="T22" s="3" t="s">
        <v>344</v>
      </c>
    </row>
    <row r="23" spans="1:20" ht="15.75" customHeight="1" x14ac:dyDescent="0.3">
      <c r="A23" s="7" t="s">
        <v>336</v>
      </c>
      <c r="B23" s="8" t="s">
        <v>19</v>
      </c>
      <c r="C23" s="9" t="s">
        <v>55</v>
      </c>
      <c r="D23" s="5">
        <v>34.520000000000003</v>
      </c>
      <c r="E23" s="5">
        <v>42.1875</v>
      </c>
      <c r="F23" s="5">
        <v>47.375</v>
      </c>
      <c r="G23" s="5">
        <v>65.45</v>
      </c>
      <c r="H23" s="5">
        <v>93.375</v>
      </c>
      <c r="I23" s="5">
        <v>201.82500000000002</v>
      </c>
      <c r="J23" s="10" t="s">
        <v>21</v>
      </c>
      <c r="K23" s="10" t="s">
        <v>21</v>
      </c>
      <c r="L23" s="10" t="s">
        <v>21</v>
      </c>
      <c r="M23" s="10" t="s">
        <v>21</v>
      </c>
      <c r="N23" s="10" t="s">
        <v>21</v>
      </c>
      <c r="O23" s="11" t="s">
        <v>41</v>
      </c>
      <c r="P23" s="11" t="s">
        <v>24</v>
      </c>
      <c r="Q23" s="12">
        <v>80</v>
      </c>
      <c r="R23" s="11" t="s">
        <v>25</v>
      </c>
      <c r="S23" s="3" t="s">
        <v>343</v>
      </c>
      <c r="T23" s="3" t="s">
        <v>344</v>
      </c>
    </row>
    <row r="24" spans="1:20" ht="15.75" customHeight="1" x14ac:dyDescent="0.3">
      <c r="A24" s="7" t="s">
        <v>336</v>
      </c>
      <c r="B24" s="8" t="s">
        <v>19</v>
      </c>
      <c r="C24" s="9" t="s">
        <v>56</v>
      </c>
      <c r="D24" s="5">
        <v>27.47</v>
      </c>
      <c r="E24" s="5">
        <v>36.125</v>
      </c>
      <c r="F24" s="5">
        <v>40.012499999999996</v>
      </c>
      <c r="G24" s="5">
        <v>55.987499999999997</v>
      </c>
      <c r="H24" s="5">
        <v>76.5</v>
      </c>
      <c r="I24" s="5">
        <v>178.27500000000001</v>
      </c>
      <c r="J24" s="10" t="s">
        <v>21</v>
      </c>
      <c r="K24" s="10" t="s">
        <v>21</v>
      </c>
      <c r="L24" s="10" t="s">
        <v>21</v>
      </c>
      <c r="M24" s="10" t="s">
        <v>21</v>
      </c>
      <c r="N24" s="10" t="s">
        <v>21</v>
      </c>
      <c r="O24" s="11" t="s">
        <v>41</v>
      </c>
      <c r="P24" s="11" t="s">
        <v>23</v>
      </c>
      <c r="Q24" s="12">
        <v>80</v>
      </c>
      <c r="R24" s="11" t="s">
        <v>25</v>
      </c>
      <c r="S24" s="3" t="s">
        <v>343</v>
      </c>
      <c r="T24" s="3" t="s">
        <v>344</v>
      </c>
    </row>
    <row r="25" spans="1:20" ht="15.75" customHeight="1" x14ac:dyDescent="0.3">
      <c r="A25" s="7" t="s">
        <v>336</v>
      </c>
      <c r="B25" s="8" t="s">
        <v>19</v>
      </c>
      <c r="C25" s="9" t="s">
        <v>57</v>
      </c>
      <c r="D25" s="5">
        <v>21.06</v>
      </c>
      <c r="E25" s="5">
        <v>28.075000000000003</v>
      </c>
      <c r="F25" s="5">
        <v>31.662499999999998</v>
      </c>
      <c r="G25" s="5">
        <v>45.05</v>
      </c>
      <c r="H25" s="5">
        <v>70.349999999999994</v>
      </c>
      <c r="I25" s="5">
        <v>133.22499999999999</v>
      </c>
      <c r="J25" s="10" t="s">
        <v>21</v>
      </c>
      <c r="K25" s="10" t="s">
        <v>21</v>
      </c>
      <c r="L25" s="10" t="s">
        <v>21</v>
      </c>
      <c r="M25" s="10" t="s">
        <v>21</v>
      </c>
      <c r="N25" s="10" t="s">
        <v>21</v>
      </c>
      <c r="O25" s="11" t="s">
        <v>29</v>
      </c>
      <c r="P25" s="11" t="s">
        <v>30</v>
      </c>
      <c r="Q25" s="12">
        <v>80</v>
      </c>
      <c r="R25" s="11" t="s">
        <v>25</v>
      </c>
      <c r="S25" s="3" t="s">
        <v>343</v>
      </c>
      <c r="T25" s="3" t="s">
        <v>344</v>
      </c>
    </row>
    <row r="26" spans="1:20" ht="15.75" customHeight="1" x14ac:dyDescent="0.3">
      <c r="A26" s="7" t="s">
        <v>336</v>
      </c>
      <c r="B26" s="8" t="s">
        <v>19</v>
      </c>
      <c r="C26" s="9" t="s">
        <v>58</v>
      </c>
      <c r="D26" s="5">
        <v>30.11</v>
      </c>
      <c r="E26" s="5">
        <v>36.125</v>
      </c>
      <c r="F26" s="5">
        <v>40.012499999999996</v>
      </c>
      <c r="G26" s="5">
        <v>55.987499999999997</v>
      </c>
      <c r="H26" s="5">
        <v>76.5</v>
      </c>
      <c r="I26" s="5">
        <v>178.27500000000001</v>
      </c>
      <c r="J26" s="10" t="s">
        <v>21</v>
      </c>
      <c r="K26" s="10" t="s">
        <v>21</v>
      </c>
      <c r="L26" s="10" t="s">
        <v>21</v>
      </c>
      <c r="M26" s="10" t="s">
        <v>21</v>
      </c>
      <c r="N26" s="10" t="s">
        <v>21</v>
      </c>
      <c r="O26" s="11" t="s">
        <v>23</v>
      </c>
      <c r="P26" s="11" t="s">
        <v>24</v>
      </c>
      <c r="Q26" s="12">
        <v>80</v>
      </c>
      <c r="R26" s="11" t="s">
        <v>25</v>
      </c>
      <c r="S26" s="3" t="s">
        <v>343</v>
      </c>
      <c r="T26" s="3" t="s">
        <v>344</v>
      </c>
    </row>
    <row r="27" spans="1:20" ht="15.75" customHeight="1" x14ac:dyDescent="0.3">
      <c r="A27" s="7" t="s">
        <v>336</v>
      </c>
      <c r="B27" s="8" t="s">
        <v>19</v>
      </c>
      <c r="C27" s="9" t="s">
        <v>59</v>
      </c>
      <c r="D27" s="5">
        <v>30.11</v>
      </c>
      <c r="E27" s="5">
        <v>36.125</v>
      </c>
      <c r="F27" s="5">
        <v>40.012499999999996</v>
      </c>
      <c r="G27" s="5">
        <v>55.987499999999997</v>
      </c>
      <c r="H27" s="5">
        <v>76.5</v>
      </c>
      <c r="I27" s="5">
        <v>178.27500000000001</v>
      </c>
      <c r="J27" s="10" t="s">
        <v>21</v>
      </c>
      <c r="K27" s="10" t="s">
        <v>21</v>
      </c>
      <c r="L27" s="10" t="s">
        <v>21</v>
      </c>
      <c r="M27" s="10" t="s">
        <v>21</v>
      </c>
      <c r="N27" s="10" t="s">
        <v>21</v>
      </c>
      <c r="O27" s="11" t="s">
        <v>23</v>
      </c>
      <c r="P27" s="11" t="s">
        <v>24</v>
      </c>
      <c r="Q27" s="12">
        <v>80</v>
      </c>
      <c r="R27" s="11" t="s">
        <v>25</v>
      </c>
      <c r="S27" s="3" t="s">
        <v>343</v>
      </c>
      <c r="T27" s="3" t="s">
        <v>344</v>
      </c>
    </row>
    <row r="28" spans="1:20" ht="15.75" customHeight="1" x14ac:dyDescent="0.3">
      <c r="A28" s="7" t="s">
        <v>336</v>
      </c>
      <c r="B28" s="8" t="s">
        <v>19</v>
      </c>
      <c r="C28" s="9" t="s">
        <v>60</v>
      </c>
      <c r="D28" s="5">
        <v>35.5</v>
      </c>
      <c r="E28" s="5">
        <v>44.375</v>
      </c>
      <c r="F28" s="5">
        <v>47.375</v>
      </c>
      <c r="G28" s="5">
        <v>56.875</v>
      </c>
      <c r="H28" s="5">
        <v>61.25</v>
      </c>
      <c r="I28" s="5">
        <v>68.75</v>
      </c>
      <c r="J28" s="10" t="s">
        <v>21</v>
      </c>
      <c r="K28" s="10" t="s">
        <v>21</v>
      </c>
      <c r="L28" s="10" t="s">
        <v>21</v>
      </c>
      <c r="M28" s="10" t="s">
        <v>21</v>
      </c>
      <c r="N28" s="10" t="s">
        <v>21</v>
      </c>
      <c r="O28" s="11" t="s">
        <v>29</v>
      </c>
      <c r="P28" s="11" t="s">
        <v>61</v>
      </c>
      <c r="Q28" s="12">
        <v>80</v>
      </c>
      <c r="R28" s="11" t="s">
        <v>25</v>
      </c>
      <c r="S28" s="3" t="s">
        <v>343</v>
      </c>
      <c r="T28" s="3" t="s">
        <v>344</v>
      </c>
    </row>
    <row r="29" spans="1:20" ht="15.75" customHeight="1" x14ac:dyDescent="0.3">
      <c r="A29" s="7" t="s">
        <v>336</v>
      </c>
      <c r="B29" s="8" t="s">
        <v>19</v>
      </c>
      <c r="C29" s="9" t="s">
        <v>62</v>
      </c>
      <c r="D29" s="5">
        <v>31.72</v>
      </c>
      <c r="E29" s="5">
        <v>42.1875</v>
      </c>
      <c r="F29" s="5">
        <v>47.375</v>
      </c>
      <c r="G29" s="5">
        <v>65.45</v>
      </c>
      <c r="H29" s="5">
        <v>93.375</v>
      </c>
      <c r="I29" s="5">
        <v>201.82500000000002</v>
      </c>
      <c r="J29" s="10" t="s">
        <v>21</v>
      </c>
      <c r="K29" s="10" t="s">
        <v>21</v>
      </c>
      <c r="L29" s="10" t="s">
        <v>21</v>
      </c>
      <c r="M29" s="10" t="s">
        <v>21</v>
      </c>
      <c r="N29" s="10" t="s">
        <v>21</v>
      </c>
      <c r="O29" s="11" t="s">
        <v>35</v>
      </c>
      <c r="P29" s="11" t="s">
        <v>36</v>
      </c>
      <c r="Q29" s="12">
        <v>80</v>
      </c>
      <c r="R29" s="11" t="s">
        <v>25</v>
      </c>
      <c r="S29" s="3" t="s">
        <v>343</v>
      </c>
      <c r="T29" s="3" t="s">
        <v>344</v>
      </c>
    </row>
    <row r="30" spans="1:20" ht="15.75" customHeight="1" x14ac:dyDescent="0.3">
      <c r="A30" s="7" t="s">
        <v>336</v>
      </c>
      <c r="B30" s="8" t="s">
        <v>19</v>
      </c>
      <c r="C30" s="9" t="s">
        <v>63</v>
      </c>
      <c r="D30" s="5">
        <v>27.47</v>
      </c>
      <c r="E30" s="5">
        <v>36.125</v>
      </c>
      <c r="F30" s="5">
        <v>40.012499999999996</v>
      </c>
      <c r="G30" s="5">
        <v>55.987499999999997</v>
      </c>
      <c r="H30" s="5">
        <v>76.5</v>
      </c>
      <c r="I30" s="5">
        <v>178.27500000000001</v>
      </c>
      <c r="J30" s="10" t="s">
        <v>21</v>
      </c>
      <c r="K30" s="10" t="s">
        <v>21</v>
      </c>
      <c r="L30" s="10" t="s">
        <v>21</v>
      </c>
      <c r="M30" s="10" t="s">
        <v>21</v>
      </c>
      <c r="N30" s="10" t="s">
        <v>21</v>
      </c>
      <c r="O30" s="11" t="s">
        <v>41</v>
      </c>
      <c r="P30" s="11" t="s">
        <v>23</v>
      </c>
      <c r="Q30" s="12">
        <v>80</v>
      </c>
      <c r="R30" s="11" t="s">
        <v>25</v>
      </c>
      <c r="S30" s="3" t="s">
        <v>343</v>
      </c>
      <c r="T30" s="3" t="s">
        <v>344</v>
      </c>
    </row>
    <row r="31" spans="1:20" ht="15.75" customHeight="1" x14ac:dyDescent="0.3">
      <c r="A31" s="7" t="s">
        <v>336</v>
      </c>
      <c r="B31" s="8" t="s">
        <v>19</v>
      </c>
      <c r="C31" s="9" t="s">
        <v>64</v>
      </c>
      <c r="D31" s="5">
        <v>30.11</v>
      </c>
      <c r="E31" s="5">
        <v>36.125</v>
      </c>
      <c r="F31" s="5">
        <v>40.012499999999996</v>
      </c>
      <c r="G31" s="5">
        <v>55.987499999999997</v>
      </c>
      <c r="H31" s="5">
        <v>76.5</v>
      </c>
      <c r="I31" s="5">
        <v>178.27500000000001</v>
      </c>
      <c r="J31" s="10" t="s">
        <v>21</v>
      </c>
      <c r="K31" s="10" t="s">
        <v>21</v>
      </c>
      <c r="L31" s="10" t="s">
        <v>21</v>
      </c>
      <c r="M31" s="10" t="s">
        <v>21</v>
      </c>
      <c r="N31" s="10" t="s">
        <v>21</v>
      </c>
      <c r="O31" s="11" t="s">
        <v>23</v>
      </c>
      <c r="P31" s="11" t="s">
        <v>24</v>
      </c>
      <c r="Q31" s="12">
        <v>80</v>
      </c>
      <c r="R31" s="11" t="s">
        <v>25</v>
      </c>
      <c r="S31" s="3" t="s">
        <v>343</v>
      </c>
      <c r="T31" s="3" t="s">
        <v>344</v>
      </c>
    </row>
    <row r="32" spans="1:20" ht="15.75" customHeight="1" x14ac:dyDescent="0.3">
      <c r="A32" s="7" t="s">
        <v>336</v>
      </c>
      <c r="B32" s="8" t="s">
        <v>19</v>
      </c>
      <c r="C32" s="9" t="s">
        <v>65</v>
      </c>
      <c r="D32" s="5">
        <v>21.06</v>
      </c>
      <c r="E32" s="5">
        <v>28.075000000000003</v>
      </c>
      <c r="F32" s="5">
        <v>31.662499999999998</v>
      </c>
      <c r="G32" s="5">
        <v>45.05</v>
      </c>
      <c r="H32" s="5">
        <v>70.349999999999994</v>
      </c>
      <c r="I32" s="5">
        <v>133.22499999999999</v>
      </c>
      <c r="J32" s="10" t="s">
        <v>21</v>
      </c>
      <c r="K32" s="10" t="s">
        <v>21</v>
      </c>
      <c r="L32" s="10" t="s">
        <v>21</v>
      </c>
      <c r="M32" s="10" t="s">
        <v>21</v>
      </c>
      <c r="N32" s="10" t="s">
        <v>21</v>
      </c>
      <c r="O32" s="11" t="s">
        <v>29</v>
      </c>
      <c r="P32" s="11" t="s">
        <v>30</v>
      </c>
      <c r="Q32" s="12">
        <v>80</v>
      </c>
      <c r="R32" s="11" t="s">
        <v>25</v>
      </c>
      <c r="S32" s="3" t="s">
        <v>343</v>
      </c>
      <c r="T32" s="3" t="s">
        <v>344</v>
      </c>
    </row>
    <row r="33" spans="1:20" ht="15.75" customHeight="1" x14ac:dyDescent="0.3">
      <c r="A33" s="7" t="s">
        <v>336</v>
      </c>
      <c r="B33" s="8" t="s">
        <v>19</v>
      </c>
      <c r="C33" s="13" t="s">
        <v>66</v>
      </c>
      <c r="D33" s="14">
        <v>28</v>
      </c>
      <c r="E33" s="14">
        <v>33.75</v>
      </c>
      <c r="F33" s="14">
        <v>36.25</v>
      </c>
      <c r="G33" s="14">
        <v>38.75</v>
      </c>
      <c r="H33" s="14">
        <v>41.25</v>
      </c>
      <c r="I33" s="14">
        <v>55</v>
      </c>
      <c r="J33" s="14">
        <v>62.5</v>
      </c>
      <c r="K33" s="14">
        <v>71.25</v>
      </c>
      <c r="L33" s="14">
        <v>98.75</v>
      </c>
      <c r="M33" s="14">
        <v>106.25</v>
      </c>
      <c r="N33" s="14">
        <v>111.25</v>
      </c>
      <c r="O33" s="15" t="s">
        <v>61</v>
      </c>
      <c r="P33" s="15" t="s">
        <v>67</v>
      </c>
      <c r="Q33" s="16">
        <v>80</v>
      </c>
      <c r="R33" s="15" t="s">
        <v>25</v>
      </c>
      <c r="S33" s="3" t="s">
        <v>343</v>
      </c>
      <c r="T33" s="3" t="s">
        <v>344</v>
      </c>
    </row>
    <row r="34" spans="1:20" ht="15.75" customHeight="1" x14ac:dyDescent="0.3">
      <c r="A34" s="7" t="s">
        <v>336</v>
      </c>
      <c r="B34" s="8" t="s">
        <v>19</v>
      </c>
      <c r="C34" s="9" t="s">
        <v>68</v>
      </c>
      <c r="D34" s="5">
        <v>32</v>
      </c>
      <c r="E34" s="5">
        <v>42.1875</v>
      </c>
      <c r="F34" s="5">
        <v>47.375</v>
      </c>
      <c r="G34" s="5">
        <v>65.45</v>
      </c>
      <c r="H34" s="5">
        <v>93.375</v>
      </c>
      <c r="I34" s="5">
        <v>201.82500000000002</v>
      </c>
      <c r="J34" s="10" t="s">
        <v>21</v>
      </c>
      <c r="K34" s="10" t="s">
        <v>21</v>
      </c>
      <c r="L34" s="10" t="s">
        <v>21</v>
      </c>
      <c r="M34" s="10" t="s">
        <v>21</v>
      </c>
      <c r="N34" s="10" t="s">
        <v>21</v>
      </c>
      <c r="O34" s="11" t="s">
        <v>24</v>
      </c>
      <c r="P34" s="11" t="s">
        <v>69</v>
      </c>
      <c r="Q34" s="12">
        <v>80</v>
      </c>
      <c r="R34" s="11" t="s">
        <v>25</v>
      </c>
      <c r="S34" s="3" t="s">
        <v>343</v>
      </c>
      <c r="T34" s="3" t="s">
        <v>344</v>
      </c>
    </row>
    <row r="35" spans="1:20" ht="15.75" customHeight="1" x14ac:dyDescent="0.3">
      <c r="A35" s="7" t="s">
        <v>336</v>
      </c>
      <c r="B35" s="8" t="s">
        <v>19</v>
      </c>
      <c r="C35" s="9" t="s">
        <v>70</v>
      </c>
      <c r="D35" s="5">
        <v>32</v>
      </c>
      <c r="E35" s="5">
        <v>42.1875</v>
      </c>
      <c r="F35" s="5">
        <v>47.375</v>
      </c>
      <c r="G35" s="5">
        <v>65.45</v>
      </c>
      <c r="H35" s="5">
        <v>93.375</v>
      </c>
      <c r="I35" s="5">
        <v>201.82500000000002</v>
      </c>
      <c r="J35" s="10" t="s">
        <v>21</v>
      </c>
      <c r="K35" s="10" t="s">
        <v>21</v>
      </c>
      <c r="L35" s="10" t="s">
        <v>21</v>
      </c>
      <c r="M35" s="10" t="s">
        <v>21</v>
      </c>
      <c r="N35" s="10" t="s">
        <v>21</v>
      </c>
      <c r="O35" s="11" t="s">
        <v>24</v>
      </c>
      <c r="P35" s="11" t="s">
        <v>69</v>
      </c>
      <c r="Q35" s="12">
        <v>80</v>
      </c>
      <c r="R35" s="11" t="s">
        <v>25</v>
      </c>
      <c r="S35" s="3" t="s">
        <v>343</v>
      </c>
      <c r="T35" s="3" t="s">
        <v>344</v>
      </c>
    </row>
    <row r="36" spans="1:20" ht="15.75" customHeight="1" x14ac:dyDescent="0.3">
      <c r="A36" s="7" t="s">
        <v>336</v>
      </c>
      <c r="B36" s="8" t="s">
        <v>19</v>
      </c>
      <c r="C36" s="9" t="s">
        <v>71</v>
      </c>
      <c r="D36" s="5">
        <v>25.05</v>
      </c>
      <c r="E36" s="5">
        <v>33.050000000000004</v>
      </c>
      <c r="F36" s="5">
        <v>37.587499999999999</v>
      </c>
      <c r="G36" s="5">
        <v>54.837499999999999</v>
      </c>
      <c r="H36" s="5">
        <v>77.575000000000003</v>
      </c>
      <c r="I36" s="5">
        <v>137.91249999999999</v>
      </c>
      <c r="J36" s="10" t="s">
        <v>21</v>
      </c>
      <c r="K36" s="10" t="s">
        <v>21</v>
      </c>
      <c r="L36" s="10" t="s">
        <v>21</v>
      </c>
      <c r="M36" s="10" t="s">
        <v>21</v>
      </c>
      <c r="N36" s="10" t="s">
        <v>21</v>
      </c>
      <c r="O36" s="11" t="s">
        <v>38</v>
      </c>
      <c r="P36" s="11" t="s">
        <v>72</v>
      </c>
      <c r="Q36" s="12">
        <v>80</v>
      </c>
      <c r="R36" s="11" t="s">
        <v>25</v>
      </c>
      <c r="S36" s="3" t="s">
        <v>343</v>
      </c>
      <c r="T36" s="3" t="s">
        <v>344</v>
      </c>
    </row>
    <row r="37" spans="1:20" ht="15.75" customHeight="1" x14ac:dyDescent="0.3">
      <c r="A37" s="7" t="s">
        <v>336</v>
      </c>
      <c r="B37" s="8" t="s">
        <v>19</v>
      </c>
      <c r="C37" s="9" t="s">
        <v>73</v>
      </c>
      <c r="D37" s="5">
        <v>31.72</v>
      </c>
      <c r="E37" s="5">
        <v>42.1875</v>
      </c>
      <c r="F37" s="5">
        <v>47.375</v>
      </c>
      <c r="G37" s="5">
        <v>65.45</v>
      </c>
      <c r="H37" s="5">
        <v>93.375</v>
      </c>
      <c r="I37" s="5">
        <v>201.82500000000002</v>
      </c>
      <c r="J37" s="10" t="s">
        <v>21</v>
      </c>
      <c r="K37" s="10" t="s">
        <v>21</v>
      </c>
      <c r="L37" s="10" t="s">
        <v>21</v>
      </c>
      <c r="M37" s="10" t="s">
        <v>21</v>
      </c>
      <c r="N37" s="10" t="s">
        <v>21</v>
      </c>
      <c r="O37" s="11" t="s">
        <v>35</v>
      </c>
      <c r="P37" s="11" t="s">
        <v>36</v>
      </c>
      <c r="Q37" s="12">
        <v>80</v>
      </c>
      <c r="R37" s="11" t="s">
        <v>25</v>
      </c>
      <c r="S37" s="3" t="s">
        <v>343</v>
      </c>
      <c r="T37" s="3" t="s">
        <v>344</v>
      </c>
    </row>
    <row r="38" spans="1:20" ht="15.75" customHeight="1" x14ac:dyDescent="0.3">
      <c r="A38" s="7" t="s">
        <v>336</v>
      </c>
      <c r="B38" s="8" t="s">
        <v>19</v>
      </c>
      <c r="C38" s="9" t="s">
        <v>74</v>
      </c>
      <c r="D38" s="5">
        <v>29.45</v>
      </c>
      <c r="E38" s="5">
        <v>29.8125</v>
      </c>
      <c r="F38" s="5">
        <v>33.875</v>
      </c>
      <c r="G38" s="5">
        <v>51.150000000000006</v>
      </c>
      <c r="H38" s="5">
        <v>71.325000000000003</v>
      </c>
      <c r="I38" s="5">
        <v>139.88749999999999</v>
      </c>
      <c r="J38" s="10" t="s">
        <v>21</v>
      </c>
      <c r="K38" s="10" t="s">
        <v>21</v>
      </c>
      <c r="L38" s="10" t="s">
        <v>21</v>
      </c>
      <c r="M38" s="10" t="s">
        <v>21</v>
      </c>
      <c r="N38" s="10" t="s">
        <v>21</v>
      </c>
      <c r="O38" s="11" t="s">
        <v>35</v>
      </c>
      <c r="P38" s="11" t="s">
        <v>75</v>
      </c>
      <c r="Q38" s="12">
        <v>80</v>
      </c>
      <c r="R38" s="11" t="s">
        <v>25</v>
      </c>
      <c r="S38" s="3" t="s">
        <v>343</v>
      </c>
      <c r="T38" s="3" t="s">
        <v>344</v>
      </c>
    </row>
    <row r="39" spans="1:20" ht="15.75" customHeight="1" x14ac:dyDescent="0.3">
      <c r="A39" s="7" t="s">
        <v>336</v>
      </c>
      <c r="B39" s="8" t="s">
        <v>19</v>
      </c>
      <c r="C39" s="9" t="s">
        <v>76</v>
      </c>
      <c r="D39" s="5">
        <v>31.72</v>
      </c>
      <c r="E39" s="5">
        <v>42.1875</v>
      </c>
      <c r="F39" s="5">
        <v>47.375</v>
      </c>
      <c r="G39" s="5">
        <v>65.45</v>
      </c>
      <c r="H39" s="5">
        <v>93.375</v>
      </c>
      <c r="I39" s="5">
        <v>201.82500000000002</v>
      </c>
      <c r="J39" s="10" t="s">
        <v>21</v>
      </c>
      <c r="K39" s="10" t="s">
        <v>21</v>
      </c>
      <c r="L39" s="10" t="s">
        <v>21</v>
      </c>
      <c r="M39" s="10" t="s">
        <v>21</v>
      </c>
      <c r="N39" s="10" t="s">
        <v>21</v>
      </c>
      <c r="O39" s="11" t="s">
        <v>35</v>
      </c>
      <c r="P39" s="11" t="s">
        <v>36</v>
      </c>
      <c r="Q39" s="12">
        <v>80</v>
      </c>
      <c r="R39" s="11" t="s">
        <v>25</v>
      </c>
      <c r="S39" s="3" t="s">
        <v>343</v>
      </c>
      <c r="T39" s="3" t="s">
        <v>344</v>
      </c>
    </row>
    <row r="40" spans="1:20" ht="15.75" customHeight="1" x14ac:dyDescent="0.3">
      <c r="A40" s="7" t="s">
        <v>336</v>
      </c>
      <c r="B40" s="8" t="s">
        <v>19</v>
      </c>
      <c r="C40" s="9" t="s">
        <v>77</v>
      </c>
      <c r="D40" s="5">
        <v>27.47</v>
      </c>
      <c r="E40" s="5">
        <v>36.125</v>
      </c>
      <c r="F40" s="5">
        <v>40.012499999999996</v>
      </c>
      <c r="G40" s="5">
        <v>55.987499999999997</v>
      </c>
      <c r="H40" s="5">
        <v>76.5</v>
      </c>
      <c r="I40" s="5">
        <v>178.27500000000001</v>
      </c>
      <c r="J40" s="10" t="s">
        <v>21</v>
      </c>
      <c r="K40" s="10" t="s">
        <v>21</v>
      </c>
      <c r="L40" s="10" t="s">
        <v>21</v>
      </c>
      <c r="M40" s="10" t="s">
        <v>21</v>
      </c>
      <c r="N40" s="10" t="s">
        <v>21</v>
      </c>
      <c r="O40" s="11" t="s">
        <v>41</v>
      </c>
      <c r="P40" s="11" t="s">
        <v>23</v>
      </c>
      <c r="Q40" s="12">
        <v>80</v>
      </c>
      <c r="R40" s="11" t="s">
        <v>25</v>
      </c>
      <c r="S40" s="3" t="s">
        <v>343</v>
      </c>
      <c r="T40" s="3" t="s">
        <v>344</v>
      </c>
    </row>
    <row r="41" spans="1:20" ht="15.75" customHeight="1" x14ac:dyDescent="0.3">
      <c r="A41" s="7" t="s">
        <v>336</v>
      </c>
      <c r="B41" s="8" t="s">
        <v>19</v>
      </c>
      <c r="C41" s="9" t="s">
        <v>78</v>
      </c>
      <c r="D41" s="10" t="s">
        <v>21</v>
      </c>
      <c r="E41" s="10" t="s">
        <v>21</v>
      </c>
      <c r="F41" s="10" t="s">
        <v>21</v>
      </c>
      <c r="G41" s="10" t="s">
        <v>21</v>
      </c>
      <c r="H41" s="10" t="s">
        <v>21</v>
      </c>
      <c r="I41" s="10" t="s">
        <v>21</v>
      </c>
      <c r="J41" s="10" t="s">
        <v>21</v>
      </c>
      <c r="K41" s="10" t="s">
        <v>21</v>
      </c>
      <c r="L41" s="10" t="s">
        <v>21</v>
      </c>
      <c r="M41" s="10" t="s">
        <v>21</v>
      </c>
      <c r="N41" s="10" t="s">
        <v>21</v>
      </c>
      <c r="O41" s="11"/>
      <c r="P41" s="11"/>
      <c r="Q41" s="11"/>
      <c r="R41" s="11"/>
      <c r="S41" s="3" t="s">
        <v>343</v>
      </c>
      <c r="T41" s="3" t="s">
        <v>344</v>
      </c>
    </row>
    <row r="42" spans="1:20" ht="15.75" customHeight="1" x14ac:dyDescent="0.3">
      <c r="A42" s="7" t="s">
        <v>336</v>
      </c>
      <c r="B42" s="8" t="s">
        <v>19</v>
      </c>
      <c r="C42" s="9" t="s">
        <v>79</v>
      </c>
      <c r="D42" s="5">
        <v>31.72</v>
      </c>
      <c r="E42" s="5">
        <v>42.1875</v>
      </c>
      <c r="F42" s="5">
        <v>47.375</v>
      </c>
      <c r="G42" s="5">
        <v>65.45</v>
      </c>
      <c r="H42" s="5">
        <v>93.375</v>
      </c>
      <c r="I42" s="5">
        <v>201.82500000000002</v>
      </c>
      <c r="J42" s="10" t="s">
        <v>21</v>
      </c>
      <c r="K42" s="10" t="s">
        <v>21</v>
      </c>
      <c r="L42" s="10" t="s">
        <v>21</v>
      </c>
      <c r="M42" s="10" t="s">
        <v>21</v>
      </c>
      <c r="N42" s="10" t="s">
        <v>21</v>
      </c>
      <c r="O42" s="11" t="s">
        <v>35</v>
      </c>
      <c r="P42" s="11" t="s">
        <v>36</v>
      </c>
      <c r="Q42" s="12">
        <v>80</v>
      </c>
      <c r="R42" s="11" t="s">
        <v>25</v>
      </c>
      <c r="S42" s="3" t="s">
        <v>343</v>
      </c>
      <c r="T42" s="3" t="s">
        <v>344</v>
      </c>
    </row>
    <row r="43" spans="1:20" ht="15.75" customHeight="1" x14ac:dyDescent="0.3">
      <c r="A43" s="7" t="s">
        <v>336</v>
      </c>
      <c r="B43" s="8" t="s">
        <v>19</v>
      </c>
      <c r="C43" s="9" t="s">
        <v>80</v>
      </c>
      <c r="D43" s="5">
        <v>27.47</v>
      </c>
      <c r="E43" s="5">
        <v>36.125</v>
      </c>
      <c r="F43" s="5">
        <v>40.012499999999996</v>
      </c>
      <c r="G43" s="5">
        <v>55.987499999999997</v>
      </c>
      <c r="H43" s="5">
        <v>76.5</v>
      </c>
      <c r="I43" s="5">
        <v>178.27500000000001</v>
      </c>
      <c r="J43" s="10" t="s">
        <v>21</v>
      </c>
      <c r="K43" s="10" t="s">
        <v>21</v>
      </c>
      <c r="L43" s="10" t="s">
        <v>21</v>
      </c>
      <c r="M43" s="10" t="s">
        <v>21</v>
      </c>
      <c r="N43" s="10" t="s">
        <v>21</v>
      </c>
      <c r="O43" s="11" t="s">
        <v>41</v>
      </c>
      <c r="P43" s="11" t="s">
        <v>23</v>
      </c>
      <c r="Q43" s="12">
        <v>80</v>
      </c>
      <c r="R43" s="11" t="s">
        <v>25</v>
      </c>
      <c r="S43" s="3" t="s">
        <v>343</v>
      </c>
      <c r="T43" s="3" t="s">
        <v>344</v>
      </c>
    </row>
    <row r="44" spans="1:20" ht="15.75" customHeight="1" x14ac:dyDescent="0.3">
      <c r="A44" s="7" t="s">
        <v>336</v>
      </c>
      <c r="B44" s="8" t="s">
        <v>19</v>
      </c>
      <c r="C44" s="9" t="s">
        <v>81</v>
      </c>
      <c r="D44" s="5">
        <v>18.61</v>
      </c>
      <c r="E44" s="5">
        <v>60.425000000000004</v>
      </c>
      <c r="F44" s="5">
        <v>63.612499999999997</v>
      </c>
      <c r="G44" s="5">
        <v>76.55</v>
      </c>
      <c r="H44" s="5">
        <v>90.525000000000006</v>
      </c>
      <c r="I44" s="5">
        <v>155.6</v>
      </c>
      <c r="J44" s="10" t="s">
        <v>21</v>
      </c>
      <c r="K44" s="10" t="s">
        <v>21</v>
      </c>
      <c r="L44" s="10" t="s">
        <v>21</v>
      </c>
      <c r="M44" s="10" t="s">
        <v>21</v>
      </c>
      <c r="N44" s="10" t="s">
        <v>21</v>
      </c>
      <c r="O44" s="11" t="s">
        <v>30</v>
      </c>
      <c r="P44" s="11" t="s">
        <v>82</v>
      </c>
      <c r="Q44" s="12">
        <v>80</v>
      </c>
      <c r="R44" s="11"/>
      <c r="S44" s="3" t="s">
        <v>343</v>
      </c>
      <c r="T44" s="3" t="s">
        <v>344</v>
      </c>
    </row>
    <row r="45" spans="1:20" ht="15.75" customHeight="1" x14ac:dyDescent="0.3">
      <c r="A45" s="7" t="s">
        <v>336</v>
      </c>
      <c r="B45" s="8" t="s">
        <v>19</v>
      </c>
      <c r="C45" s="9" t="s">
        <v>83</v>
      </c>
      <c r="D45" s="10" t="s">
        <v>21</v>
      </c>
      <c r="E45" s="10" t="s">
        <v>21</v>
      </c>
      <c r="F45" s="10" t="s">
        <v>21</v>
      </c>
      <c r="G45" s="10" t="s">
        <v>21</v>
      </c>
      <c r="H45" s="10" t="s">
        <v>21</v>
      </c>
      <c r="I45" s="10" t="s">
        <v>21</v>
      </c>
      <c r="J45" s="10" t="s">
        <v>21</v>
      </c>
      <c r="K45" s="10" t="s">
        <v>21</v>
      </c>
      <c r="L45" s="10" t="s">
        <v>21</v>
      </c>
      <c r="M45" s="10" t="s">
        <v>21</v>
      </c>
      <c r="N45" s="10" t="s">
        <v>21</v>
      </c>
      <c r="O45" s="11"/>
      <c r="P45" s="11"/>
      <c r="Q45" s="11"/>
      <c r="R45" s="11"/>
      <c r="S45" s="3" t="s">
        <v>343</v>
      </c>
      <c r="T45" s="3" t="s">
        <v>344</v>
      </c>
    </row>
    <row r="46" spans="1:20" ht="15.75" customHeight="1" x14ac:dyDescent="0.3">
      <c r="A46" s="7" t="s">
        <v>336</v>
      </c>
      <c r="B46" s="8" t="s">
        <v>19</v>
      </c>
      <c r="C46" s="9" t="s">
        <v>84</v>
      </c>
      <c r="D46" s="10" t="s">
        <v>21</v>
      </c>
      <c r="E46" s="10" t="s">
        <v>21</v>
      </c>
      <c r="F46" s="10" t="s">
        <v>21</v>
      </c>
      <c r="G46" s="10" t="s">
        <v>21</v>
      </c>
      <c r="H46" s="10" t="s">
        <v>21</v>
      </c>
      <c r="I46" s="10" t="s">
        <v>21</v>
      </c>
      <c r="J46" s="10" t="s">
        <v>21</v>
      </c>
      <c r="K46" s="10" t="s">
        <v>21</v>
      </c>
      <c r="L46" s="10" t="s">
        <v>21</v>
      </c>
      <c r="M46" s="10" t="s">
        <v>21</v>
      </c>
      <c r="N46" s="10" t="s">
        <v>21</v>
      </c>
      <c r="O46" s="11"/>
      <c r="P46" s="11"/>
      <c r="Q46" s="11"/>
      <c r="R46" s="11"/>
      <c r="S46" s="3" t="s">
        <v>343</v>
      </c>
      <c r="T46" s="3" t="s">
        <v>344</v>
      </c>
    </row>
    <row r="47" spans="1:20" ht="15.75" customHeight="1" x14ac:dyDescent="0.3">
      <c r="A47" s="7" t="s">
        <v>336</v>
      </c>
      <c r="B47" s="8" t="s">
        <v>19</v>
      </c>
      <c r="C47" s="9" t="s">
        <v>85</v>
      </c>
      <c r="D47" s="5">
        <v>27.47</v>
      </c>
      <c r="E47" s="5">
        <v>36.125</v>
      </c>
      <c r="F47" s="5">
        <v>40.012499999999996</v>
      </c>
      <c r="G47" s="5">
        <v>55.987499999999997</v>
      </c>
      <c r="H47" s="5">
        <v>76.5</v>
      </c>
      <c r="I47" s="5">
        <v>178.27500000000001</v>
      </c>
      <c r="J47" s="10" t="s">
        <v>21</v>
      </c>
      <c r="K47" s="10" t="s">
        <v>21</v>
      </c>
      <c r="L47" s="10" t="s">
        <v>21</v>
      </c>
      <c r="M47" s="10" t="s">
        <v>21</v>
      </c>
      <c r="N47" s="10" t="s">
        <v>21</v>
      </c>
      <c r="O47" s="11" t="s">
        <v>41</v>
      </c>
      <c r="P47" s="11" t="s">
        <v>23</v>
      </c>
      <c r="Q47" s="12">
        <v>80</v>
      </c>
      <c r="R47" s="11" t="s">
        <v>25</v>
      </c>
      <c r="S47" s="3" t="s">
        <v>343</v>
      </c>
      <c r="T47" s="3" t="s">
        <v>344</v>
      </c>
    </row>
    <row r="48" spans="1:20" ht="15.75" customHeight="1" x14ac:dyDescent="0.3">
      <c r="A48" s="7" t="s">
        <v>336</v>
      </c>
      <c r="B48" s="8" t="s">
        <v>19</v>
      </c>
      <c r="C48" s="9" t="s">
        <v>86</v>
      </c>
      <c r="D48" s="10" t="s">
        <v>21</v>
      </c>
      <c r="E48" s="10" t="s">
        <v>21</v>
      </c>
      <c r="F48" s="10" t="s">
        <v>21</v>
      </c>
      <c r="G48" s="10" t="s">
        <v>21</v>
      </c>
      <c r="H48" s="10" t="s">
        <v>21</v>
      </c>
      <c r="I48" s="10" t="s">
        <v>21</v>
      </c>
      <c r="J48" s="10" t="s">
        <v>21</v>
      </c>
      <c r="K48" s="10" t="s">
        <v>21</v>
      </c>
      <c r="L48" s="10" t="s">
        <v>21</v>
      </c>
      <c r="M48" s="10" t="s">
        <v>21</v>
      </c>
      <c r="N48" s="10" t="s">
        <v>21</v>
      </c>
      <c r="O48" s="11"/>
      <c r="P48" s="11"/>
      <c r="Q48" s="11"/>
      <c r="R48" s="11"/>
      <c r="S48" s="3" t="s">
        <v>343</v>
      </c>
      <c r="T48" s="3" t="s">
        <v>344</v>
      </c>
    </row>
    <row r="49" spans="1:20" ht="15.75" customHeight="1" x14ac:dyDescent="0.3">
      <c r="A49" s="7" t="s">
        <v>336</v>
      </c>
      <c r="B49" s="8" t="s">
        <v>19</v>
      </c>
      <c r="C49" s="9" t="s">
        <v>87</v>
      </c>
      <c r="D49" s="5">
        <v>31.72</v>
      </c>
      <c r="E49" s="5">
        <v>42.1875</v>
      </c>
      <c r="F49" s="5">
        <v>47.375</v>
      </c>
      <c r="G49" s="5">
        <v>65.45</v>
      </c>
      <c r="H49" s="5">
        <v>93.375</v>
      </c>
      <c r="I49" s="5">
        <v>201.82500000000002</v>
      </c>
      <c r="J49" s="10" t="s">
        <v>21</v>
      </c>
      <c r="K49" s="10" t="s">
        <v>21</v>
      </c>
      <c r="L49" s="10" t="s">
        <v>21</v>
      </c>
      <c r="M49" s="10" t="s">
        <v>21</v>
      </c>
      <c r="N49" s="10" t="s">
        <v>21</v>
      </c>
      <c r="O49" s="11" t="s">
        <v>35</v>
      </c>
      <c r="P49" s="11" t="s">
        <v>36</v>
      </c>
      <c r="Q49" s="12">
        <v>80</v>
      </c>
      <c r="R49" s="11" t="s">
        <v>25</v>
      </c>
      <c r="S49" s="3" t="s">
        <v>343</v>
      </c>
      <c r="T49" s="3" t="s">
        <v>344</v>
      </c>
    </row>
    <row r="50" spans="1:20" ht="15.75" customHeight="1" x14ac:dyDescent="0.3">
      <c r="A50" s="7" t="s">
        <v>336</v>
      </c>
      <c r="B50" s="8" t="s">
        <v>19</v>
      </c>
      <c r="C50" s="9" t="s">
        <v>88</v>
      </c>
      <c r="D50" s="5">
        <v>31.72</v>
      </c>
      <c r="E50" s="5">
        <v>42.1875</v>
      </c>
      <c r="F50" s="5">
        <v>47.375</v>
      </c>
      <c r="G50" s="5">
        <v>65.45</v>
      </c>
      <c r="H50" s="5">
        <v>93.375</v>
      </c>
      <c r="I50" s="5">
        <v>201.82500000000002</v>
      </c>
      <c r="J50" s="10" t="s">
        <v>21</v>
      </c>
      <c r="K50" s="10" t="s">
        <v>21</v>
      </c>
      <c r="L50" s="10" t="s">
        <v>21</v>
      </c>
      <c r="M50" s="10" t="s">
        <v>21</v>
      </c>
      <c r="N50" s="10" t="s">
        <v>21</v>
      </c>
      <c r="O50" s="11" t="s">
        <v>35</v>
      </c>
      <c r="P50" s="11" t="s">
        <v>36</v>
      </c>
      <c r="Q50" s="12">
        <v>80</v>
      </c>
      <c r="R50" s="11" t="s">
        <v>25</v>
      </c>
      <c r="S50" s="3" t="s">
        <v>343</v>
      </c>
      <c r="T50" s="3" t="s">
        <v>344</v>
      </c>
    </row>
    <row r="51" spans="1:20" ht="15.75" customHeight="1" x14ac:dyDescent="0.3">
      <c r="A51" s="7" t="s">
        <v>336</v>
      </c>
      <c r="B51" s="8" t="s">
        <v>19</v>
      </c>
      <c r="C51" s="9" t="s">
        <v>89</v>
      </c>
      <c r="D51" s="5">
        <v>27.47</v>
      </c>
      <c r="E51" s="5">
        <v>36.125</v>
      </c>
      <c r="F51" s="5">
        <v>40.012499999999996</v>
      </c>
      <c r="G51" s="5">
        <v>55.987499999999997</v>
      </c>
      <c r="H51" s="5">
        <v>76.5</v>
      </c>
      <c r="I51" s="5">
        <v>178.27500000000001</v>
      </c>
      <c r="J51" s="10" t="s">
        <v>21</v>
      </c>
      <c r="K51" s="10" t="s">
        <v>21</v>
      </c>
      <c r="L51" s="10" t="s">
        <v>21</v>
      </c>
      <c r="M51" s="10" t="s">
        <v>21</v>
      </c>
      <c r="N51" s="10" t="s">
        <v>21</v>
      </c>
      <c r="O51" s="11" t="s">
        <v>41</v>
      </c>
      <c r="P51" s="11" t="s">
        <v>23</v>
      </c>
      <c r="Q51" s="12">
        <v>80</v>
      </c>
      <c r="R51" s="11" t="s">
        <v>25</v>
      </c>
      <c r="S51" s="3" t="s">
        <v>343</v>
      </c>
      <c r="T51" s="3" t="s">
        <v>344</v>
      </c>
    </row>
    <row r="52" spans="1:20" ht="15.75" customHeight="1" x14ac:dyDescent="0.3">
      <c r="A52" s="7" t="s">
        <v>336</v>
      </c>
      <c r="B52" s="8" t="s">
        <v>19</v>
      </c>
      <c r="C52" s="13" t="s">
        <v>90</v>
      </c>
      <c r="D52" s="14">
        <v>28</v>
      </c>
      <c r="E52" s="14">
        <v>33.75</v>
      </c>
      <c r="F52" s="14">
        <v>36.25</v>
      </c>
      <c r="G52" s="14">
        <v>38.75</v>
      </c>
      <c r="H52" s="14">
        <v>41.25</v>
      </c>
      <c r="I52" s="14">
        <v>55</v>
      </c>
      <c r="J52" s="14">
        <v>62.5</v>
      </c>
      <c r="K52" s="14">
        <v>71.25</v>
      </c>
      <c r="L52" s="14">
        <v>98.75</v>
      </c>
      <c r="M52" s="14">
        <v>106.25</v>
      </c>
      <c r="N52" s="14">
        <v>111.25</v>
      </c>
      <c r="O52" s="15" t="s">
        <v>61</v>
      </c>
      <c r="P52" s="15" t="s">
        <v>67</v>
      </c>
      <c r="Q52" s="16">
        <v>80</v>
      </c>
      <c r="R52" s="15" t="s">
        <v>25</v>
      </c>
      <c r="S52" s="3" t="s">
        <v>343</v>
      </c>
      <c r="T52" s="3" t="s">
        <v>344</v>
      </c>
    </row>
    <row r="53" spans="1:20" ht="15.75" customHeight="1" x14ac:dyDescent="0.3">
      <c r="A53" s="7" t="s">
        <v>336</v>
      </c>
      <c r="B53" s="8" t="s">
        <v>19</v>
      </c>
      <c r="C53" s="9" t="s">
        <v>91</v>
      </c>
      <c r="D53" s="10" t="s">
        <v>21</v>
      </c>
      <c r="E53" s="10" t="s">
        <v>21</v>
      </c>
      <c r="F53" s="10" t="s">
        <v>21</v>
      </c>
      <c r="G53" s="10" t="s">
        <v>21</v>
      </c>
      <c r="H53" s="10" t="s">
        <v>21</v>
      </c>
      <c r="I53" s="10" t="s">
        <v>21</v>
      </c>
      <c r="J53" s="10" t="s">
        <v>21</v>
      </c>
      <c r="K53" s="10" t="s">
        <v>21</v>
      </c>
      <c r="L53" s="10" t="s">
        <v>21</v>
      </c>
      <c r="M53" s="10" t="s">
        <v>21</v>
      </c>
      <c r="N53" s="10" t="s">
        <v>21</v>
      </c>
      <c r="O53" s="11"/>
      <c r="P53" s="11"/>
      <c r="Q53" s="11"/>
      <c r="R53" s="11"/>
      <c r="S53" s="3" t="s">
        <v>343</v>
      </c>
      <c r="T53" s="3" t="s">
        <v>344</v>
      </c>
    </row>
    <row r="54" spans="1:20" ht="15.75" customHeight="1" x14ac:dyDescent="0.3">
      <c r="A54" s="7" t="s">
        <v>336</v>
      </c>
      <c r="B54" s="8" t="s">
        <v>19</v>
      </c>
      <c r="C54" s="9" t="s">
        <v>92</v>
      </c>
      <c r="D54" s="5">
        <v>27.47</v>
      </c>
      <c r="E54" s="5">
        <v>36.125</v>
      </c>
      <c r="F54" s="5">
        <v>40.012499999999996</v>
      </c>
      <c r="G54" s="5">
        <v>55.987499999999997</v>
      </c>
      <c r="H54" s="5">
        <v>76.5</v>
      </c>
      <c r="I54" s="5">
        <v>178.27500000000001</v>
      </c>
      <c r="J54" s="10" t="s">
        <v>21</v>
      </c>
      <c r="K54" s="10" t="s">
        <v>21</v>
      </c>
      <c r="L54" s="10" t="s">
        <v>21</v>
      </c>
      <c r="M54" s="10" t="s">
        <v>21</v>
      </c>
      <c r="N54" s="10" t="s">
        <v>21</v>
      </c>
      <c r="O54" s="11" t="s">
        <v>41</v>
      </c>
      <c r="P54" s="11" t="s">
        <v>23</v>
      </c>
      <c r="Q54" s="12">
        <v>80</v>
      </c>
      <c r="R54" s="11" t="s">
        <v>25</v>
      </c>
      <c r="S54" s="3" t="s">
        <v>343</v>
      </c>
      <c r="T54" s="3" t="s">
        <v>344</v>
      </c>
    </row>
    <row r="55" spans="1:20" ht="15.75" customHeight="1" x14ac:dyDescent="0.3">
      <c r="A55" s="7" t="s">
        <v>336</v>
      </c>
      <c r="B55" s="8" t="s">
        <v>19</v>
      </c>
      <c r="C55" s="13" t="s">
        <v>93</v>
      </c>
      <c r="D55" s="14">
        <v>45</v>
      </c>
      <c r="E55" s="14">
        <v>55</v>
      </c>
      <c r="F55" s="14">
        <v>55</v>
      </c>
      <c r="G55" s="14">
        <v>61.25</v>
      </c>
      <c r="H55" s="14">
        <v>68.75</v>
      </c>
      <c r="I55" s="14">
        <v>82.5</v>
      </c>
      <c r="J55" s="14">
        <v>95</v>
      </c>
      <c r="K55" s="14">
        <v>106.25</v>
      </c>
      <c r="L55" s="14">
        <v>136.25</v>
      </c>
      <c r="M55" s="14">
        <v>146.25</v>
      </c>
      <c r="N55" s="14">
        <v>168.75</v>
      </c>
      <c r="O55" s="15" t="s">
        <v>61</v>
      </c>
      <c r="P55" s="15" t="s">
        <v>94</v>
      </c>
      <c r="Q55" s="16">
        <v>80</v>
      </c>
      <c r="R55" s="15" t="s">
        <v>25</v>
      </c>
      <c r="S55" s="3" t="s">
        <v>343</v>
      </c>
      <c r="T55" s="3" t="s">
        <v>344</v>
      </c>
    </row>
    <row r="56" spans="1:20" ht="15.75" customHeight="1" x14ac:dyDescent="0.3">
      <c r="A56" s="7" t="s">
        <v>336</v>
      </c>
      <c r="B56" s="8" t="s">
        <v>19</v>
      </c>
      <c r="C56" s="13" t="s">
        <v>95</v>
      </c>
      <c r="D56" s="14">
        <v>28</v>
      </c>
      <c r="E56" s="14">
        <v>33.75</v>
      </c>
      <c r="F56" s="14">
        <v>36.25</v>
      </c>
      <c r="G56" s="14">
        <v>38.75</v>
      </c>
      <c r="H56" s="14">
        <v>41.25</v>
      </c>
      <c r="I56" s="14">
        <v>55</v>
      </c>
      <c r="J56" s="14">
        <v>62.5</v>
      </c>
      <c r="K56" s="14">
        <v>71.25</v>
      </c>
      <c r="L56" s="14">
        <v>73.75</v>
      </c>
      <c r="M56" s="14">
        <v>81.25</v>
      </c>
      <c r="N56" s="14">
        <v>86.25</v>
      </c>
      <c r="O56" s="15" t="s">
        <v>61</v>
      </c>
      <c r="P56" s="15" t="s">
        <v>67</v>
      </c>
      <c r="Q56" s="16">
        <v>80</v>
      </c>
      <c r="R56" s="15" t="s">
        <v>25</v>
      </c>
      <c r="S56" s="3" t="s">
        <v>343</v>
      </c>
      <c r="T56" s="3" t="s">
        <v>344</v>
      </c>
    </row>
    <row r="57" spans="1:20" ht="15.75" customHeight="1" x14ac:dyDescent="0.3">
      <c r="A57" s="7" t="s">
        <v>336</v>
      </c>
      <c r="B57" s="8" t="s">
        <v>19</v>
      </c>
      <c r="C57" s="13" t="s">
        <v>96</v>
      </c>
      <c r="D57" s="14">
        <v>21.45</v>
      </c>
      <c r="E57" s="14">
        <v>24.512499999999999</v>
      </c>
      <c r="F57" s="14">
        <v>25</v>
      </c>
      <c r="G57" s="14">
        <v>27.5</v>
      </c>
      <c r="H57" s="14">
        <v>33.75</v>
      </c>
      <c r="I57" s="14">
        <v>40.4</v>
      </c>
      <c r="J57" s="14">
        <v>46.612499999999997</v>
      </c>
      <c r="K57" s="14">
        <v>52.824999999999996</v>
      </c>
      <c r="L57" s="14">
        <v>58.75</v>
      </c>
      <c r="M57" s="14">
        <v>71.612499999999997</v>
      </c>
      <c r="N57" s="14">
        <v>86.25</v>
      </c>
      <c r="O57" s="15" t="s">
        <v>29</v>
      </c>
      <c r="P57" s="15" t="s">
        <v>33</v>
      </c>
      <c r="Q57" s="16">
        <v>80</v>
      </c>
      <c r="R57" s="15" t="s">
        <v>25</v>
      </c>
      <c r="S57" s="3" t="s">
        <v>343</v>
      </c>
      <c r="T57" s="3" t="s">
        <v>344</v>
      </c>
    </row>
    <row r="58" spans="1:20" ht="15.75" customHeight="1" x14ac:dyDescent="0.3">
      <c r="A58" s="7" t="s">
        <v>336</v>
      </c>
      <c r="B58" s="8" t="s">
        <v>19</v>
      </c>
      <c r="C58" s="9" t="s">
        <v>97</v>
      </c>
      <c r="D58" s="5">
        <v>31.72</v>
      </c>
      <c r="E58" s="5">
        <v>42.1875</v>
      </c>
      <c r="F58" s="5">
        <v>47.375</v>
      </c>
      <c r="G58" s="5">
        <v>65.45</v>
      </c>
      <c r="H58" s="5">
        <v>93.375</v>
      </c>
      <c r="I58" s="5">
        <v>201.82500000000002</v>
      </c>
      <c r="J58" s="10" t="s">
        <v>21</v>
      </c>
      <c r="K58" s="10" t="s">
        <v>21</v>
      </c>
      <c r="L58" s="10" t="s">
        <v>21</v>
      </c>
      <c r="M58" s="10" t="s">
        <v>21</v>
      </c>
      <c r="N58" s="10" t="s">
        <v>21</v>
      </c>
      <c r="O58" s="11" t="s">
        <v>35</v>
      </c>
      <c r="P58" s="11" t="s">
        <v>36</v>
      </c>
      <c r="Q58" s="12">
        <v>80</v>
      </c>
      <c r="R58" s="11" t="s">
        <v>25</v>
      </c>
      <c r="S58" s="3" t="s">
        <v>343</v>
      </c>
      <c r="T58" s="3" t="s">
        <v>344</v>
      </c>
    </row>
    <row r="59" spans="1:20" ht="15.75" customHeight="1" x14ac:dyDescent="0.3">
      <c r="A59" s="7" t="s">
        <v>336</v>
      </c>
      <c r="B59" s="8" t="s">
        <v>19</v>
      </c>
      <c r="C59" s="9" t="s">
        <v>98</v>
      </c>
      <c r="D59" s="5">
        <v>27.47</v>
      </c>
      <c r="E59" s="5">
        <v>36.125</v>
      </c>
      <c r="F59" s="5">
        <v>40.012499999999996</v>
      </c>
      <c r="G59" s="5">
        <v>55.987499999999997</v>
      </c>
      <c r="H59" s="5">
        <v>76.5</v>
      </c>
      <c r="I59" s="5">
        <v>178.27500000000001</v>
      </c>
      <c r="J59" s="10" t="s">
        <v>21</v>
      </c>
      <c r="K59" s="10" t="s">
        <v>21</v>
      </c>
      <c r="L59" s="10" t="s">
        <v>21</v>
      </c>
      <c r="M59" s="10" t="s">
        <v>21</v>
      </c>
      <c r="N59" s="10" t="s">
        <v>21</v>
      </c>
      <c r="O59" s="11" t="s">
        <v>41</v>
      </c>
      <c r="P59" s="11" t="s">
        <v>23</v>
      </c>
      <c r="Q59" s="12">
        <v>80</v>
      </c>
      <c r="R59" s="11" t="s">
        <v>25</v>
      </c>
      <c r="S59" s="3" t="s">
        <v>343</v>
      </c>
      <c r="T59" s="3" t="s">
        <v>344</v>
      </c>
    </row>
    <row r="60" spans="1:20" ht="15.75" customHeight="1" x14ac:dyDescent="0.3">
      <c r="A60" s="7" t="s">
        <v>336</v>
      </c>
      <c r="B60" s="8" t="s">
        <v>19</v>
      </c>
      <c r="C60" s="9" t="s">
        <v>99</v>
      </c>
      <c r="D60" s="5">
        <v>27.47</v>
      </c>
      <c r="E60" s="5">
        <v>36.125</v>
      </c>
      <c r="F60" s="5">
        <v>40.012499999999996</v>
      </c>
      <c r="G60" s="5">
        <v>55.987499999999997</v>
      </c>
      <c r="H60" s="5">
        <v>76.5</v>
      </c>
      <c r="I60" s="5">
        <v>178.27500000000001</v>
      </c>
      <c r="J60" s="10" t="s">
        <v>21</v>
      </c>
      <c r="K60" s="10" t="s">
        <v>21</v>
      </c>
      <c r="L60" s="10" t="s">
        <v>21</v>
      </c>
      <c r="M60" s="10" t="s">
        <v>21</v>
      </c>
      <c r="N60" s="10" t="s">
        <v>21</v>
      </c>
      <c r="O60" s="11" t="s">
        <v>41</v>
      </c>
      <c r="P60" s="11" t="s">
        <v>23</v>
      </c>
      <c r="Q60" s="12">
        <v>80</v>
      </c>
      <c r="R60" s="11" t="s">
        <v>25</v>
      </c>
      <c r="S60" s="3" t="s">
        <v>343</v>
      </c>
      <c r="T60" s="3" t="s">
        <v>344</v>
      </c>
    </row>
    <row r="61" spans="1:20" ht="15.75" customHeight="1" x14ac:dyDescent="0.3">
      <c r="A61" s="7" t="s">
        <v>336</v>
      </c>
      <c r="B61" s="8" t="s">
        <v>19</v>
      </c>
      <c r="C61" s="9" t="s">
        <v>100</v>
      </c>
      <c r="D61" s="5">
        <v>31.72</v>
      </c>
      <c r="E61" s="5">
        <v>42.1875</v>
      </c>
      <c r="F61" s="5">
        <v>47.375</v>
      </c>
      <c r="G61" s="5">
        <v>65.45</v>
      </c>
      <c r="H61" s="5">
        <v>93.375</v>
      </c>
      <c r="I61" s="5">
        <v>201.82500000000002</v>
      </c>
      <c r="J61" s="10" t="s">
        <v>21</v>
      </c>
      <c r="K61" s="10" t="s">
        <v>21</v>
      </c>
      <c r="L61" s="10" t="s">
        <v>21</v>
      </c>
      <c r="M61" s="10" t="s">
        <v>21</v>
      </c>
      <c r="N61" s="10" t="s">
        <v>21</v>
      </c>
      <c r="O61" s="11" t="s">
        <v>35</v>
      </c>
      <c r="P61" s="11" t="s">
        <v>36</v>
      </c>
      <c r="Q61" s="12">
        <v>80</v>
      </c>
      <c r="R61" s="11" t="s">
        <v>25</v>
      </c>
      <c r="S61" s="3" t="s">
        <v>343</v>
      </c>
      <c r="T61" s="3" t="s">
        <v>344</v>
      </c>
    </row>
    <row r="62" spans="1:20" ht="15.75" customHeight="1" x14ac:dyDescent="0.3">
      <c r="A62" s="7" t="s">
        <v>336</v>
      </c>
      <c r="B62" s="8" t="s">
        <v>19</v>
      </c>
      <c r="C62" s="9" t="s">
        <v>101</v>
      </c>
      <c r="D62" s="10" t="s">
        <v>21</v>
      </c>
      <c r="E62" s="10" t="s">
        <v>21</v>
      </c>
      <c r="F62" s="10" t="s">
        <v>21</v>
      </c>
      <c r="G62" s="10" t="s">
        <v>21</v>
      </c>
      <c r="H62" s="10" t="s">
        <v>21</v>
      </c>
      <c r="I62" s="10" t="s">
        <v>21</v>
      </c>
      <c r="J62" s="10" t="s">
        <v>21</v>
      </c>
      <c r="K62" s="10" t="s">
        <v>21</v>
      </c>
      <c r="L62" s="10" t="s">
        <v>21</v>
      </c>
      <c r="M62" s="10" t="s">
        <v>21</v>
      </c>
      <c r="N62" s="10" t="s">
        <v>21</v>
      </c>
      <c r="O62" s="11"/>
      <c r="P62" s="11"/>
      <c r="Q62" s="11"/>
      <c r="R62" s="11"/>
      <c r="S62" s="3" t="s">
        <v>343</v>
      </c>
      <c r="T62" s="3" t="s">
        <v>344</v>
      </c>
    </row>
    <row r="63" spans="1:20" ht="15.75" customHeight="1" x14ac:dyDescent="0.3">
      <c r="A63" s="7" t="s">
        <v>336</v>
      </c>
      <c r="B63" s="8" t="s">
        <v>19</v>
      </c>
      <c r="C63" s="9" t="s">
        <v>102</v>
      </c>
      <c r="D63" s="10" t="s">
        <v>21</v>
      </c>
      <c r="E63" s="10" t="s">
        <v>21</v>
      </c>
      <c r="F63" s="10" t="s">
        <v>21</v>
      </c>
      <c r="G63" s="10" t="s">
        <v>21</v>
      </c>
      <c r="H63" s="10" t="s">
        <v>21</v>
      </c>
      <c r="I63" s="10" t="s">
        <v>21</v>
      </c>
      <c r="J63" s="10" t="s">
        <v>21</v>
      </c>
      <c r="K63" s="10" t="s">
        <v>21</v>
      </c>
      <c r="L63" s="10" t="s">
        <v>21</v>
      </c>
      <c r="M63" s="10" t="s">
        <v>21</v>
      </c>
      <c r="N63" s="10" t="s">
        <v>21</v>
      </c>
      <c r="O63" s="11"/>
      <c r="P63" s="11"/>
      <c r="Q63" s="11"/>
      <c r="R63" s="11"/>
      <c r="S63" s="3" t="s">
        <v>343</v>
      </c>
      <c r="T63" s="3" t="s">
        <v>344</v>
      </c>
    </row>
    <row r="64" spans="1:20" ht="15.75" customHeight="1" x14ac:dyDescent="0.3">
      <c r="A64" s="7" t="s">
        <v>336</v>
      </c>
      <c r="B64" s="8" t="s">
        <v>19</v>
      </c>
      <c r="C64" s="9" t="s">
        <v>103</v>
      </c>
      <c r="D64" s="5">
        <v>21.06</v>
      </c>
      <c r="E64" s="5">
        <v>28.075000000000003</v>
      </c>
      <c r="F64" s="5">
        <v>31.662499999999998</v>
      </c>
      <c r="G64" s="5">
        <v>45.05</v>
      </c>
      <c r="H64" s="5">
        <v>70.349999999999994</v>
      </c>
      <c r="I64" s="5">
        <v>133.22499999999999</v>
      </c>
      <c r="J64" s="10" t="s">
        <v>21</v>
      </c>
      <c r="K64" s="10" t="s">
        <v>21</v>
      </c>
      <c r="L64" s="10" t="s">
        <v>21</v>
      </c>
      <c r="M64" s="10" t="s">
        <v>21</v>
      </c>
      <c r="N64" s="10" t="s">
        <v>21</v>
      </c>
      <c r="O64" s="11" t="s">
        <v>29</v>
      </c>
      <c r="P64" s="11" t="s">
        <v>30</v>
      </c>
      <c r="Q64" s="12">
        <v>80</v>
      </c>
      <c r="R64" s="11" t="s">
        <v>25</v>
      </c>
      <c r="S64" s="3" t="s">
        <v>343</v>
      </c>
      <c r="T64" s="3" t="s">
        <v>344</v>
      </c>
    </row>
    <row r="65" spans="1:20" ht="15.75" customHeight="1" x14ac:dyDescent="0.3">
      <c r="A65" s="7" t="s">
        <v>336</v>
      </c>
      <c r="B65" s="8" t="s">
        <v>19</v>
      </c>
      <c r="C65" s="9" t="s">
        <v>104</v>
      </c>
      <c r="D65" s="5">
        <v>27.47</v>
      </c>
      <c r="E65" s="5">
        <v>36.125</v>
      </c>
      <c r="F65" s="5">
        <v>40.012499999999996</v>
      </c>
      <c r="G65" s="5">
        <v>55.987499999999997</v>
      </c>
      <c r="H65" s="5">
        <v>76.5</v>
      </c>
      <c r="I65" s="5">
        <v>178.27500000000001</v>
      </c>
      <c r="J65" s="10" t="s">
        <v>21</v>
      </c>
      <c r="K65" s="10" t="s">
        <v>21</v>
      </c>
      <c r="L65" s="10" t="s">
        <v>21</v>
      </c>
      <c r="M65" s="10" t="s">
        <v>21</v>
      </c>
      <c r="N65" s="10" t="s">
        <v>21</v>
      </c>
      <c r="O65" s="11" t="s">
        <v>41</v>
      </c>
      <c r="P65" s="11" t="s">
        <v>23</v>
      </c>
      <c r="Q65" s="12">
        <v>80</v>
      </c>
      <c r="R65" s="11" t="s">
        <v>25</v>
      </c>
      <c r="S65" s="3" t="s">
        <v>343</v>
      </c>
      <c r="T65" s="3" t="s">
        <v>344</v>
      </c>
    </row>
    <row r="66" spans="1:20" ht="15.75" customHeight="1" x14ac:dyDescent="0.3">
      <c r="A66" s="7" t="s">
        <v>336</v>
      </c>
      <c r="B66" s="8" t="s">
        <v>19</v>
      </c>
      <c r="C66" s="9" t="s">
        <v>105</v>
      </c>
      <c r="D66" s="10" t="s">
        <v>21</v>
      </c>
      <c r="E66" s="10" t="s">
        <v>21</v>
      </c>
      <c r="F66" s="10" t="s">
        <v>21</v>
      </c>
      <c r="G66" s="10" t="s">
        <v>21</v>
      </c>
      <c r="H66" s="10" t="s">
        <v>21</v>
      </c>
      <c r="I66" s="10" t="s">
        <v>21</v>
      </c>
      <c r="J66" s="10" t="s">
        <v>21</v>
      </c>
      <c r="K66" s="10" t="s">
        <v>21</v>
      </c>
      <c r="L66" s="10" t="s">
        <v>21</v>
      </c>
      <c r="M66" s="10" t="s">
        <v>21</v>
      </c>
      <c r="N66" s="10" t="s">
        <v>21</v>
      </c>
      <c r="O66" s="11"/>
      <c r="P66" s="11"/>
      <c r="Q66" s="11"/>
      <c r="R66" s="11"/>
      <c r="S66" s="3" t="s">
        <v>343</v>
      </c>
      <c r="T66" s="3" t="s">
        <v>344</v>
      </c>
    </row>
    <row r="67" spans="1:20" ht="15.75" customHeight="1" x14ac:dyDescent="0.3">
      <c r="A67" s="7" t="s">
        <v>336</v>
      </c>
      <c r="B67" s="8" t="s">
        <v>19</v>
      </c>
      <c r="C67" s="9" t="s">
        <v>106</v>
      </c>
      <c r="D67" s="5">
        <v>31.72</v>
      </c>
      <c r="E67" s="5">
        <v>42.1875</v>
      </c>
      <c r="F67" s="5">
        <v>47.375</v>
      </c>
      <c r="G67" s="5">
        <v>65.45</v>
      </c>
      <c r="H67" s="5">
        <v>93.375</v>
      </c>
      <c r="I67" s="5">
        <v>201.82500000000002</v>
      </c>
      <c r="J67" s="10" t="s">
        <v>21</v>
      </c>
      <c r="K67" s="10" t="s">
        <v>21</v>
      </c>
      <c r="L67" s="10" t="s">
        <v>21</v>
      </c>
      <c r="M67" s="10" t="s">
        <v>21</v>
      </c>
      <c r="N67" s="10" t="s">
        <v>21</v>
      </c>
      <c r="O67" s="11" t="s">
        <v>35</v>
      </c>
      <c r="P67" s="11" t="s">
        <v>36</v>
      </c>
      <c r="Q67" s="12">
        <v>80</v>
      </c>
      <c r="R67" s="11" t="s">
        <v>25</v>
      </c>
      <c r="S67" s="3" t="s">
        <v>343</v>
      </c>
      <c r="T67" s="3" t="s">
        <v>344</v>
      </c>
    </row>
    <row r="68" spans="1:20" ht="15.75" customHeight="1" x14ac:dyDescent="0.3">
      <c r="A68" s="7" t="s">
        <v>336</v>
      </c>
      <c r="B68" s="8" t="s">
        <v>19</v>
      </c>
      <c r="C68" s="13" t="s">
        <v>107</v>
      </c>
      <c r="D68" s="14">
        <v>26.62</v>
      </c>
      <c r="E68" s="14">
        <v>32.262499999999996</v>
      </c>
      <c r="F68" s="14">
        <v>32.5</v>
      </c>
      <c r="G68" s="14">
        <v>36.25</v>
      </c>
      <c r="H68" s="14">
        <v>38.174999999999997</v>
      </c>
      <c r="I68" s="14">
        <v>53.9</v>
      </c>
      <c r="J68" s="14">
        <v>62.25</v>
      </c>
      <c r="K68" s="14">
        <v>70.612499999999997</v>
      </c>
      <c r="L68" s="14">
        <v>63.174999999999997</v>
      </c>
      <c r="M68" s="14">
        <v>85.55</v>
      </c>
      <c r="N68" s="14">
        <v>105.42500000000001</v>
      </c>
      <c r="O68" s="15" t="s">
        <v>29</v>
      </c>
      <c r="P68" s="15" t="s">
        <v>69</v>
      </c>
      <c r="Q68" s="16">
        <v>80</v>
      </c>
      <c r="R68" s="15" t="s">
        <v>25</v>
      </c>
      <c r="S68" s="3" t="s">
        <v>343</v>
      </c>
      <c r="T68" s="3" t="s">
        <v>344</v>
      </c>
    </row>
    <row r="69" spans="1:20" ht="15.75" customHeight="1" x14ac:dyDescent="0.3">
      <c r="A69" s="7" t="s">
        <v>336</v>
      </c>
      <c r="B69" s="8" t="s">
        <v>19</v>
      </c>
      <c r="C69" s="9" t="s">
        <v>108</v>
      </c>
      <c r="D69" s="5">
        <v>31.72</v>
      </c>
      <c r="E69" s="5">
        <v>42.1875</v>
      </c>
      <c r="F69" s="5">
        <v>47.375</v>
      </c>
      <c r="G69" s="5">
        <v>65.45</v>
      </c>
      <c r="H69" s="5">
        <v>93.375</v>
      </c>
      <c r="I69" s="5">
        <v>201.82500000000002</v>
      </c>
      <c r="J69" s="10" t="s">
        <v>21</v>
      </c>
      <c r="K69" s="10" t="s">
        <v>21</v>
      </c>
      <c r="L69" s="10" t="s">
        <v>21</v>
      </c>
      <c r="M69" s="10" t="s">
        <v>21</v>
      </c>
      <c r="N69" s="10" t="s">
        <v>21</v>
      </c>
      <c r="O69" s="11" t="s">
        <v>35</v>
      </c>
      <c r="P69" s="11" t="s">
        <v>36</v>
      </c>
      <c r="Q69" s="12">
        <v>80</v>
      </c>
      <c r="R69" s="11" t="s">
        <v>25</v>
      </c>
      <c r="S69" s="3" t="s">
        <v>343</v>
      </c>
      <c r="T69" s="3" t="s">
        <v>344</v>
      </c>
    </row>
    <row r="70" spans="1:20" ht="15.75" customHeight="1" x14ac:dyDescent="0.3">
      <c r="A70" s="7" t="s">
        <v>336</v>
      </c>
      <c r="B70" s="8" t="s">
        <v>19</v>
      </c>
      <c r="C70" s="9" t="s">
        <v>109</v>
      </c>
      <c r="D70" s="5">
        <v>31.72</v>
      </c>
      <c r="E70" s="5">
        <v>42.1875</v>
      </c>
      <c r="F70" s="5">
        <v>47.375</v>
      </c>
      <c r="G70" s="5">
        <v>65.45</v>
      </c>
      <c r="H70" s="5">
        <v>93.375</v>
      </c>
      <c r="I70" s="5">
        <v>201.82500000000002</v>
      </c>
      <c r="J70" s="10" t="s">
        <v>21</v>
      </c>
      <c r="K70" s="10" t="s">
        <v>21</v>
      </c>
      <c r="L70" s="10" t="s">
        <v>21</v>
      </c>
      <c r="M70" s="10" t="s">
        <v>21</v>
      </c>
      <c r="N70" s="10" t="s">
        <v>21</v>
      </c>
      <c r="O70" s="11" t="s">
        <v>35</v>
      </c>
      <c r="P70" s="11" t="s">
        <v>36</v>
      </c>
      <c r="Q70" s="12">
        <v>80</v>
      </c>
      <c r="R70" s="11" t="s">
        <v>25</v>
      </c>
      <c r="S70" s="3" t="s">
        <v>343</v>
      </c>
      <c r="T70" s="3" t="s">
        <v>344</v>
      </c>
    </row>
    <row r="71" spans="1:20" ht="15.75" customHeight="1" x14ac:dyDescent="0.3">
      <c r="A71" s="7" t="s">
        <v>336</v>
      </c>
      <c r="B71" s="8" t="s">
        <v>19</v>
      </c>
      <c r="C71" s="9" t="s">
        <v>110</v>
      </c>
      <c r="D71" s="10" t="s">
        <v>21</v>
      </c>
      <c r="E71" s="10" t="s">
        <v>21</v>
      </c>
      <c r="F71" s="10" t="s">
        <v>21</v>
      </c>
      <c r="G71" s="10" t="s">
        <v>21</v>
      </c>
      <c r="H71" s="10" t="s">
        <v>21</v>
      </c>
      <c r="I71" s="10" t="s">
        <v>21</v>
      </c>
      <c r="J71" s="10" t="s">
        <v>21</v>
      </c>
      <c r="K71" s="10" t="s">
        <v>21</v>
      </c>
      <c r="L71" s="10" t="s">
        <v>21</v>
      </c>
      <c r="M71" s="10" t="s">
        <v>21</v>
      </c>
      <c r="N71" s="10" t="s">
        <v>21</v>
      </c>
      <c r="O71" s="11"/>
      <c r="P71" s="11"/>
      <c r="Q71" s="11"/>
      <c r="R71" s="11"/>
      <c r="S71" s="3" t="s">
        <v>343</v>
      </c>
      <c r="T71" s="3" t="s">
        <v>344</v>
      </c>
    </row>
    <row r="72" spans="1:20" ht="15.75" customHeight="1" x14ac:dyDescent="0.3">
      <c r="A72" s="7" t="s">
        <v>336</v>
      </c>
      <c r="B72" s="8" t="s">
        <v>19</v>
      </c>
      <c r="C72" s="13" t="s">
        <v>111</v>
      </c>
      <c r="D72" s="14">
        <v>17.440000000000001</v>
      </c>
      <c r="E72" s="14">
        <v>24.512499999999999</v>
      </c>
      <c r="F72" s="14">
        <v>25</v>
      </c>
      <c r="G72" s="14">
        <v>27.5</v>
      </c>
      <c r="H72" s="14">
        <v>33.75</v>
      </c>
      <c r="I72" s="14">
        <v>40.4</v>
      </c>
      <c r="J72" s="14">
        <v>46.612499999999997</v>
      </c>
      <c r="K72" s="14">
        <v>52.824999999999996</v>
      </c>
      <c r="L72" s="14">
        <v>58.75</v>
      </c>
      <c r="M72" s="14">
        <v>71.612499999999997</v>
      </c>
      <c r="N72" s="14">
        <v>86.25</v>
      </c>
      <c r="O72" s="15" t="s">
        <v>29</v>
      </c>
      <c r="P72" s="15" t="s">
        <v>33</v>
      </c>
      <c r="Q72" s="16">
        <v>80</v>
      </c>
      <c r="R72" s="15" t="s">
        <v>25</v>
      </c>
      <c r="S72" s="3" t="s">
        <v>343</v>
      </c>
      <c r="T72" s="3" t="s">
        <v>344</v>
      </c>
    </row>
    <row r="73" spans="1:20" ht="15.75" customHeight="1" x14ac:dyDescent="0.3">
      <c r="A73" s="7" t="s">
        <v>336</v>
      </c>
      <c r="B73" s="8" t="s">
        <v>19</v>
      </c>
      <c r="C73" s="9" t="s">
        <v>112</v>
      </c>
      <c r="D73" s="5">
        <v>31.72</v>
      </c>
      <c r="E73" s="5">
        <v>42.1875</v>
      </c>
      <c r="F73" s="5">
        <v>47.375</v>
      </c>
      <c r="G73" s="5">
        <v>65.45</v>
      </c>
      <c r="H73" s="5">
        <v>93.375</v>
      </c>
      <c r="I73" s="5">
        <v>201.82500000000002</v>
      </c>
      <c r="J73" s="10" t="s">
        <v>21</v>
      </c>
      <c r="K73" s="10" t="s">
        <v>21</v>
      </c>
      <c r="L73" s="10" t="s">
        <v>21</v>
      </c>
      <c r="M73" s="10" t="s">
        <v>21</v>
      </c>
      <c r="N73" s="10" t="s">
        <v>21</v>
      </c>
      <c r="O73" s="11" t="s">
        <v>35</v>
      </c>
      <c r="P73" s="11" t="s">
        <v>36</v>
      </c>
      <c r="Q73" s="12">
        <v>80</v>
      </c>
      <c r="R73" s="11" t="s">
        <v>25</v>
      </c>
      <c r="S73" s="3" t="s">
        <v>343</v>
      </c>
      <c r="T73" s="3" t="s">
        <v>344</v>
      </c>
    </row>
    <row r="74" spans="1:20" ht="15.75" customHeight="1" x14ac:dyDescent="0.3">
      <c r="A74" s="7" t="s">
        <v>336</v>
      </c>
      <c r="B74" s="8" t="s">
        <v>19</v>
      </c>
      <c r="C74" s="13" t="s">
        <v>113</v>
      </c>
      <c r="D74" s="14">
        <v>21.45</v>
      </c>
      <c r="E74" s="14">
        <v>24.512499999999999</v>
      </c>
      <c r="F74" s="14">
        <v>25</v>
      </c>
      <c r="G74" s="14">
        <v>27.5</v>
      </c>
      <c r="H74" s="14">
        <v>33.75</v>
      </c>
      <c r="I74" s="14">
        <v>40.4</v>
      </c>
      <c r="J74" s="14">
        <v>46.612499999999997</v>
      </c>
      <c r="K74" s="14">
        <v>52.824999999999996</v>
      </c>
      <c r="L74" s="14">
        <v>58.75</v>
      </c>
      <c r="M74" s="14">
        <v>71.612499999999997</v>
      </c>
      <c r="N74" s="14">
        <v>86.25</v>
      </c>
      <c r="O74" s="15" t="s">
        <v>29</v>
      </c>
      <c r="P74" s="15" t="s">
        <v>33</v>
      </c>
      <c r="Q74" s="16">
        <v>80</v>
      </c>
      <c r="R74" s="15" t="s">
        <v>25</v>
      </c>
      <c r="S74" s="3" t="s">
        <v>343</v>
      </c>
      <c r="T74" s="3" t="s">
        <v>344</v>
      </c>
    </row>
    <row r="75" spans="1:20" ht="15.75" customHeight="1" x14ac:dyDescent="0.3">
      <c r="A75" s="7" t="s">
        <v>336</v>
      </c>
      <c r="B75" s="8" t="s">
        <v>19</v>
      </c>
      <c r="C75" s="13" t="s">
        <v>114</v>
      </c>
      <c r="D75" s="14">
        <v>21.5</v>
      </c>
      <c r="E75" s="14">
        <v>23.875</v>
      </c>
      <c r="F75" s="14">
        <v>26.25</v>
      </c>
      <c r="G75" s="14">
        <v>28.75</v>
      </c>
      <c r="H75" s="14">
        <v>31.25</v>
      </c>
      <c r="I75" s="14">
        <v>36.25</v>
      </c>
      <c r="J75" s="14">
        <v>45</v>
      </c>
      <c r="K75" s="14">
        <v>51.25</v>
      </c>
      <c r="L75" s="14">
        <v>78.75</v>
      </c>
      <c r="M75" s="14">
        <v>86.25</v>
      </c>
      <c r="N75" s="14">
        <v>91.25</v>
      </c>
      <c r="O75" s="15" t="s">
        <v>29</v>
      </c>
      <c r="P75" s="15" t="s">
        <v>33</v>
      </c>
      <c r="Q75" s="16">
        <v>80</v>
      </c>
      <c r="R75" s="15" t="s">
        <v>25</v>
      </c>
      <c r="S75" s="3" t="s">
        <v>343</v>
      </c>
      <c r="T75" s="3" t="s">
        <v>344</v>
      </c>
    </row>
    <row r="76" spans="1:20" ht="15.75" customHeight="1" x14ac:dyDescent="0.3">
      <c r="A76" s="7" t="s">
        <v>336</v>
      </c>
      <c r="B76" s="8" t="s">
        <v>19</v>
      </c>
      <c r="C76" s="9" t="s">
        <v>115</v>
      </c>
      <c r="D76" s="5">
        <v>27.47</v>
      </c>
      <c r="E76" s="5">
        <v>36.125</v>
      </c>
      <c r="F76" s="5">
        <v>40.012499999999996</v>
      </c>
      <c r="G76" s="5">
        <v>55.987499999999997</v>
      </c>
      <c r="H76" s="5">
        <v>76.5</v>
      </c>
      <c r="I76" s="5">
        <v>178.27500000000001</v>
      </c>
      <c r="J76" s="10" t="s">
        <v>21</v>
      </c>
      <c r="K76" s="10" t="s">
        <v>21</v>
      </c>
      <c r="L76" s="10" t="s">
        <v>21</v>
      </c>
      <c r="M76" s="10" t="s">
        <v>21</v>
      </c>
      <c r="N76" s="10" t="s">
        <v>21</v>
      </c>
      <c r="O76" s="11" t="s">
        <v>41</v>
      </c>
      <c r="P76" s="11" t="s">
        <v>23</v>
      </c>
      <c r="Q76" s="12">
        <v>80</v>
      </c>
      <c r="R76" s="11" t="s">
        <v>25</v>
      </c>
      <c r="S76" s="3" t="s">
        <v>343</v>
      </c>
      <c r="T76" s="3" t="s">
        <v>344</v>
      </c>
    </row>
    <row r="77" spans="1:20" ht="15.75" customHeight="1" x14ac:dyDescent="0.3">
      <c r="A77" s="7" t="s">
        <v>336</v>
      </c>
      <c r="B77" s="8" t="s">
        <v>19</v>
      </c>
      <c r="C77" s="9" t="s">
        <v>116</v>
      </c>
      <c r="D77" s="5">
        <v>27.47</v>
      </c>
      <c r="E77" s="5">
        <v>36.125</v>
      </c>
      <c r="F77" s="5">
        <v>40.012499999999996</v>
      </c>
      <c r="G77" s="5">
        <v>55.987499999999997</v>
      </c>
      <c r="H77" s="5">
        <v>76.5</v>
      </c>
      <c r="I77" s="5">
        <v>178.27500000000001</v>
      </c>
      <c r="J77" s="10" t="s">
        <v>21</v>
      </c>
      <c r="K77" s="10" t="s">
        <v>21</v>
      </c>
      <c r="L77" s="10" t="s">
        <v>21</v>
      </c>
      <c r="M77" s="10" t="s">
        <v>21</v>
      </c>
      <c r="N77" s="10" t="s">
        <v>21</v>
      </c>
      <c r="O77" s="11" t="s">
        <v>41</v>
      </c>
      <c r="P77" s="11" t="s">
        <v>23</v>
      </c>
      <c r="Q77" s="12">
        <v>80</v>
      </c>
      <c r="R77" s="11" t="s">
        <v>25</v>
      </c>
      <c r="S77" s="3" t="s">
        <v>343</v>
      </c>
      <c r="T77" s="3" t="s">
        <v>344</v>
      </c>
    </row>
    <row r="78" spans="1:20" ht="15.75" customHeight="1" x14ac:dyDescent="0.3">
      <c r="A78" s="7" t="s">
        <v>336</v>
      </c>
      <c r="B78" s="8" t="s">
        <v>19</v>
      </c>
      <c r="C78" s="9" t="s">
        <v>117</v>
      </c>
      <c r="D78" s="5">
        <v>31.72</v>
      </c>
      <c r="E78" s="5">
        <v>42.1875</v>
      </c>
      <c r="F78" s="5">
        <v>47.375</v>
      </c>
      <c r="G78" s="5">
        <v>65.45</v>
      </c>
      <c r="H78" s="5">
        <v>93.375</v>
      </c>
      <c r="I78" s="5">
        <v>201.82500000000002</v>
      </c>
      <c r="J78" s="10" t="s">
        <v>21</v>
      </c>
      <c r="K78" s="10" t="s">
        <v>21</v>
      </c>
      <c r="L78" s="10" t="s">
        <v>21</v>
      </c>
      <c r="M78" s="10" t="s">
        <v>21</v>
      </c>
      <c r="N78" s="10" t="s">
        <v>21</v>
      </c>
      <c r="O78" s="11" t="s">
        <v>35</v>
      </c>
      <c r="P78" s="11" t="s">
        <v>36</v>
      </c>
      <c r="Q78" s="12">
        <v>80</v>
      </c>
      <c r="R78" s="11" t="s">
        <v>25</v>
      </c>
      <c r="S78" s="3" t="s">
        <v>343</v>
      </c>
      <c r="T78" s="3" t="s">
        <v>344</v>
      </c>
    </row>
    <row r="79" spans="1:20" ht="15.75" customHeight="1" x14ac:dyDescent="0.3">
      <c r="A79" s="7" t="s">
        <v>336</v>
      </c>
      <c r="B79" s="8" t="s">
        <v>19</v>
      </c>
      <c r="C79" s="9" t="s">
        <v>118</v>
      </c>
      <c r="D79" s="5">
        <v>31.72</v>
      </c>
      <c r="E79" s="5">
        <v>42.1875</v>
      </c>
      <c r="F79" s="5">
        <v>47.375</v>
      </c>
      <c r="G79" s="5">
        <v>65.45</v>
      </c>
      <c r="H79" s="5">
        <v>93.375</v>
      </c>
      <c r="I79" s="5">
        <v>201.82500000000002</v>
      </c>
      <c r="J79" s="10" t="s">
        <v>21</v>
      </c>
      <c r="K79" s="10" t="s">
        <v>21</v>
      </c>
      <c r="L79" s="10" t="s">
        <v>21</v>
      </c>
      <c r="M79" s="10" t="s">
        <v>21</v>
      </c>
      <c r="N79" s="10" t="s">
        <v>21</v>
      </c>
      <c r="O79" s="11" t="s">
        <v>24</v>
      </c>
      <c r="P79" s="11" t="s">
        <v>69</v>
      </c>
      <c r="Q79" s="12">
        <v>80</v>
      </c>
      <c r="R79" s="11" t="s">
        <v>25</v>
      </c>
      <c r="S79" s="3" t="s">
        <v>343</v>
      </c>
      <c r="T79" s="3" t="s">
        <v>344</v>
      </c>
    </row>
    <row r="80" spans="1:20" ht="15.75" customHeight="1" x14ac:dyDescent="0.3">
      <c r="A80" s="7" t="s">
        <v>336</v>
      </c>
      <c r="B80" s="8" t="s">
        <v>19</v>
      </c>
      <c r="C80" s="9" t="s">
        <v>119</v>
      </c>
      <c r="D80" s="5">
        <v>21.06</v>
      </c>
      <c r="E80" s="5">
        <v>28.075000000000003</v>
      </c>
      <c r="F80" s="5">
        <v>31.662499999999998</v>
      </c>
      <c r="G80" s="5">
        <v>45.05</v>
      </c>
      <c r="H80" s="5">
        <v>70.349999999999994</v>
      </c>
      <c r="I80" s="5">
        <v>133.22499999999999</v>
      </c>
      <c r="J80" s="10" t="s">
        <v>21</v>
      </c>
      <c r="K80" s="10" t="s">
        <v>21</v>
      </c>
      <c r="L80" s="10" t="s">
        <v>21</v>
      </c>
      <c r="M80" s="10" t="s">
        <v>21</v>
      </c>
      <c r="N80" s="10" t="s">
        <v>21</v>
      </c>
      <c r="O80" s="11" t="s">
        <v>29</v>
      </c>
      <c r="P80" s="11" t="s">
        <v>30</v>
      </c>
      <c r="Q80" s="12">
        <v>80</v>
      </c>
      <c r="R80" s="11" t="s">
        <v>25</v>
      </c>
      <c r="S80" s="3" t="s">
        <v>343</v>
      </c>
      <c r="T80" s="3" t="s">
        <v>344</v>
      </c>
    </row>
    <row r="81" spans="1:20" ht="15.75" customHeight="1" x14ac:dyDescent="0.3">
      <c r="A81" s="7" t="s">
        <v>336</v>
      </c>
      <c r="B81" s="8" t="s">
        <v>19</v>
      </c>
      <c r="C81" s="13" t="s">
        <v>120</v>
      </c>
      <c r="D81" s="14">
        <v>21.5</v>
      </c>
      <c r="E81" s="14">
        <v>23.875</v>
      </c>
      <c r="F81" s="14">
        <v>26.25</v>
      </c>
      <c r="G81" s="14">
        <v>28.75</v>
      </c>
      <c r="H81" s="14">
        <v>31.25</v>
      </c>
      <c r="I81" s="14">
        <v>36.25</v>
      </c>
      <c r="J81" s="14">
        <v>45</v>
      </c>
      <c r="K81" s="14">
        <v>51.25</v>
      </c>
      <c r="L81" s="14">
        <v>78.75</v>
      </c>
      <c r="M81" s="14">
        <v>86.25</v>
      </c>
      <c r="N81" s="14">
        <v>91.25</v>
      </c>
      <c r="O81" s="15" t="s">
        <v>29</v>
      </c>
      <c r="P81" s="15" t="s">
        <v>41</v>
      </c>
      <c r="Q81" s="16">
        <v>80</v>
      </c>
      <c r="R81" s="15" t="s">
        <v>25</v>
      </c>
      <c r="S81" s="3" t="s">
        <v>343</v>
      </c>
      <c r="T81" s="3" t="s">
        <v>344</v>
      </c>
    </row>
    <row r="82" spans="1:20" ht="15.75" customHeight="1" x14ac:dyDescent="0.3">
      <c r="A82" s="7" t="s">
        <v>336</v>
      </c>
      <c r="B82" s="8" t="s">
        <v>19</v>
      </c>
      <c r="C82" s="9" t="s">
        <v>121</v>
      </c>
      <c r="D82" s="5">
        <v>31.72</v>
      </c>
      <c r="E82" s="5">
        <v>42.1875</v>
      </c>
      <c r="F82" s="5">
        <v>47.375</v>
      </c>
      <c r="G82" s="5">
        <v>65.45</v>
      </c>
      <c r="H82" s="5">
        <v>93.375</v>
      </c>
      <c r="I82" s="5">
        <v>201.82500000000002</v>
      </c>
      <c r="J82" s="10" t="s">
        <v>21</v>
      </c>
      <c r="K82" s="10" t="s">
        <v>21</v>
      </c>
      <c r="L82" s="10" t="s">
        <v>21</v>
      </c>
      <c r="M82" s="10" t="s">
        <v>21</v>
      </c>
      <c r="N82" s="10" t="s">
        <v>21</v>
      </c>
      <c r="O82" s="11" t="s">
        <v>35</v>
      </c>
      <c r="P82" s="11" t="s">
        <v>36</v>
      </c>
      <c r="Q82" s="12">
        <v>80</v>
      </c>
      <c r="R82" s="11" t="s">
        <v>25</v>
      </c>
      <c r="S82" s="3" t="s">
        <v>343</v>
      </c>
      <c r="T82" s="3" t="s">
        <v>344</v>
      </c>
    </row>
    <row r="83" spans="1:20" ht="15.75" customHeight="1" x14ac:dyDescent="0.3">
      <c r="A83" s="7" t="s">
        <v>336</v>
      </c>
      <c r="B83" s="8" t="s">
        <v>19</v>
      </c>
      <c r="C83" s="9" t="s">
        <v>122</v>
      </c>
      <c r="D83" s="5">
        <v>17.440000000000001</v>
      </c>
      <c r="E83" s="5">
        <v>24.512499999999999</v>
      </c>
      <c r="F83" s="5">
        <v>25</v>
      </c>
      <c r="G83" s="5">
        <v>27.5</v>
      </c>
      <c r="H83" s="5">
        <v>33.75</v>
      </c>
      <c r="I83" s="5">
        <v>40.4</v>
      </c>
      <c r="J83" s="10" t="s">
        <v>21</v>
      </c>
      <c r="K83" s="10" t="s">
        <v>21</v>
      </c>
      <c r="L83" s="10" t="s">
        <v>21</v>
      </c>
      <c r="M83" s="10" t="s">
        <v>21</v>
      </c>
      <c r="N83" s="10" t="s">
        <v>21</v>
      </c>
      <c r="O83" s="11" t="s">
        <v>29</v>
      </c>
      <c r="P83" s="11" t="s">
        <v>33</v>
      </c>
      <c r="Q83" s="12">
        <v>80</v>
      </c>
      <c r="R83" s="11" t="s">
        <v>25</v>
      </c>
      <c r="S83" s="3" t="s">
        <v>343</v>
      </c>
      <c r="T83" s="3" t="s">
        <v>344</v>
      </c>
    </row>
    <row r="84" spans="1:20" ht="15.75" customHeight="1" x14ac:dyDescent="0.3">
      <c r="A84" s="7" t="s">
        <v>336</v>
      </c>
      <c r="B84" s="8" t="s">
        <v>19</v>
      </c>
      <c r="C84" s="13" t="s">
        <v>123</v>
      </c>
      <c r="D84" s="14">
        <v>22</v>
      </c>
      <c r="E84" s="14">
        <v>27.5</v>
      </c>
      <c r="F84" s="14">
        <v>35</v>
      </c>
      <c r="G84" s="14">
        <v>37.5</v>
      </c>
      <c r="H84" s="14">
        <v>40</v>
      </c>
      <c r="I84" s="14">
        <v>42.5</v>
      </c>
      <c r="J84" s="14">
        <v>48.75</v>
      </c>
      <c r="K84" s="14">
        <v>55</v>
      </c>
      <c r="L84" s="14">
        <v>65</v>
      </c>
      <c r="M84" s="14">
        <v>112.5</v>
      </c>
      <c r="N84" s="14">
        <v>136.25</v>
      </c>
      <c r="O84" s="15" t="s">
        <v>61</v>
      </c>
      <c r="P84" s="15" t="s">
        <v>124</v>
      </c>
      <c r="Q84" s="16">
        <v>80</v>
      </c>
      <c r="R84" s="15" t="s">
        <v>25</v>
      </c>
      <c r="S84" s="3" t="s">
        <v>343</v>
      </c>
      <c r="T84" s="3" t="s">
        <v>344</v>
      </c>
    </row>
    <row r="85" spans="1:20" ht="15.75" customHeight="1" x14ac:dyDescent="0.3">
      <c r="A85" s="7" t="s">
        <v>336</v>
      </c>
      <c r="B85" s="8" t="s">
        <v>19</v>
      </c>
      <c r="C85" s="13" t="s">
        <v>125</v>
      </c>
      <c r="D85" s="14">
        <v>57</v>
      </c>
      <c r="E85" s="14">
        <v>71.25</v>
      </c>
      <c r="F85" s="14">
        <v>71.25</v>
      </c>
      <c r="G85" s="14">
        <v>66.25</v>
      </c>
      <c r="H85" s="14">
        <v>78.75</v>
      </c>
      <c r="I85" s="14">
        <v>87.5</v>
      </c>
      <c r="J85" s="14">
        <v>87.5</v>
      </c>
      <c r="K85" s="14">
        <v>96.25</v>
      </c>
      <c r="L85" s="14">
        <v>103.75</v>
      </c>
      <c r="M85" s="14">
        <v>145</v>
      </c>
      <c r="N85" s="14">
        <v>152.5</v>
      </c>
      <c r="O85" s="15" t="s">
        <v>33</v>
      </c>
      <c r="P85" s="15" t="s">
        <v>126</v>
      </c>
      <c r="Q85" s="16">
        <v>80</v>
      </c>
      <c r="R85" s="15" t="s">
        <v>25</v>
      </c>
      <c r="S85" s="3" t="s">
        <v>343</v>
      </c>
      <c r="T85" s="3" t="s">
        <v>344</v>
      </c>
    </row>
    <row r="86" spans="1:20" ht="15.75" customHeight="1" x14ac:dyDescent="0.3">
      <c r="A86" s="7" t="s">
        <v>336</v>
      </c>
      <c r="B86" s="8" t="s">
        <v>19</v>
      </c>
      <c r="C86" s="13" t="s">
        <v>127</v>
      </c>
      <c r="D86" s="14">
        <v>17.440000000000001</v>
      </c>
      <c r="E86" s="14">
        <v>24.512499999999999</v>
      </c>
      <c r="F86" s="14">
        <v>25</v>
      </c>
      <c r="G86" s="14">
        <v>27.5</v>
      </c>
      <c r="H86" s="14">
        <v>33.75</v>
      </c>
      <c r="I86" s="14">
        <v>40.4</v>
      </c>
      <c r="J86" s="14">
        <v>46.612499999999997</v>
      </c>
      <c r="K86" s="14">
        <v>52.824999999999996</v>
      </c>
      <c r="L86" s="14">
        <v>58.75</v>
      </c>
      <c r="M86" s="14">
        <v>71.612499999999997</v>
      </c>
      <c r="N86" s="14">
        <v>86.25</v>
      </c>
      <c r="O86" s="15" t="s">
        <v>29</v>
      </c>
      <c r="P86" s="15" t="s">
        <v>33</v>
      </c>
      <c r="Q86" s="16">
        <v>80</v>
      </c>
      <c r="R86" s="15" t="s">
        <v>25</v>
      </c>
      <c r="S86" s="3" t="s">
        <v>343</v>
      </c>
      <c r="T86" s="3" t="s">
        <v>344</v>
      </c>
    </row>
    <row r="87" spans="1:20" ht="15.75" customHeight="1" x14ac:dyDescent="0.3">
      <c r="A87" s="7" t="s">
        <v>336</v>
      </c>
      <c r="B87" s="8" t="s">
        <v>19</v>
      </c>
      <c r="C87" s="9" t="s">
        <v>128</v>
      </c>
      <c r="D87" s="5">
        <v>27.47</v>
      </c>
      <c r="E87" s="5">
        <v>36.125</v>
      </c>
      <c r="F87" s="5">
        <v>40.012499999999996</v>
      </c>
      <c r="G87" s="5">
        <v>55.987499999999997</v>
      </c>
      <c r="H87" s="5">
        <v>76.5</v>
      </c>
      <c r="I87" s="5">
        <v>178.27500000000001</v>
      </c>
      <c r="J87" s="10" t="s">
        <v>21</v>
      </c>
      <c r="K87" s="10" t="s">
        <v>21</v>
      </c>
      <c r="L87" s="10" t="s">
        <v>21</v>
      </c>
      <c r="M87" s="10" t="s">
        <v>21</v>
      </c>
      <c r="N87" s="10" t="s">
        <v>21</v>
      </c>
      <c r="O87" s="11" t="s">
        <v>41</v>
      </c>
      <c r="P87" s="11" t="s">
        <v>23</v>
      </c>
      <c r="Q87" s="12">
        <v>80</v>
      </c>
      <c r="R87" s="11" t="s">
        <v>25</v>
      </c>
      <c r="S87" s="3" t="s">
        <v>343</v>
      </c>
      <c r="T87" s="3" t="s">
        <v>344</v>
      </c>
    </row>
    <row r="88" spans="1:20" ht="15.75" customHeight="1" x14ac:dyDescent="0.3">
      <c r="A88" s="7" t="s">
        <v>336</v>
      </c>
      <c r="B88" s="8" t="s">
        <v>19</v>
      </c>
      <c r="C88" s="9" t="s">
        <v>129</v>
      </c>
      <c r="D88" s="5">
        <v>27.47</v>
      </c>
      <c r="E88" s="5">
        <v>36.125</v>
      </c>
      <c r="F88" s="5">
        <v>40.012499999999996</v>
      </c>
      <c r="G88" s="5">
        <v>55.987499999999997</v>
      </c>
      <c r="H88" s="5">
        <v>76.5</v>
      </c>
      <c r="I88" s="5">
        <v>178.27500000000001</v>
      </c>
      <c r="J88" s="10" t="s">
        <v>21</v>
      </c>
      <c r="K88" s="10" t="s">
        <v>21</v>
      </c>
      <c r="L88" s="10" t="s">
        <v>21</v>
      </c>
      <c r="M88" s="10" t="s">
        <v>21</v>
      </c>
      <c r="N88" s="10" t="s">
        <v>21</v>
      </c>
      <c r="O88" s="11" t="s">
        <v>41</v>
      </c>
      <c r="P88" s="11" t="s">
        <v>23</v>
      </c>
      <c r="Q88" s="12">
        <v>80</v>
      </c>
      <c r="R88" s="11" t="s">
        <v>25</v>
      </c>
      <c r="S88" s="3" t="s">
        <v>343</v>
      </c>
      <c r="T88" s="3" t="s">
        <v>344</v>
      </c>
    </row>
    <row r="89" spans="1:20" ht="15.75" customHeight="1" x14ac:dyDescent="0.3">
      <c r="A89" s="7" t="s">
        <v>336</v>
      </c>
      <c r="B89" s="8" t="s">
        <v>19</v>
      </c>
      <c r="C89" s="9" t="s">
        <v>130</v>
      </c>
      <c r="D89" s="5">
        <v>31.72</v>
      </c>
      <c r="E89" s="5">
        <v>42.1875</v>
      </c>
      <c r="F89" s="5">
        <v>47.375</v>
      </c>
      <c r="G89" s="5">
        <v>65.45</v>
      </c>
      <c r="H89" s="5">
        <v>93.375</v>
      </c>
      <c r="I89" s="5">
        <v>201.82500000000002</v>
      </c>
      <c r="J89" s="10" t="s">
        <v>21</v>
      </c>
      <c r="K89" s="10" t="s">
        <v>21</v>
      </c>
      <c r="L89" s="10" t="s">
        <v>21</v>
      </c>
      <c r="M89" s="10" t="s">
        <v>21</v>
      </c>
      <c r="N89" s="10" t="s">
        <v>21</v>
      </c>
      <c r="O89" s="11" t="s">
        <v>35</v>
      </c>
      <c r="P89" s="11" t="s">
        <v>36</v>
      </c>
      <c r="Q89" s="12">
        <v>80</v>
      </c>
      <c r="R89" s="11" t="s">
        <v>25</v>
      </c>
      <c r="S89" s="3" t="s">
        <v>343</v>
      </c>
      <c r="T89" s="3" t="s">
        <v>344</v>
      </c>
    </row>
    <row r="90" spans="1:20" ht="15.75" customHeight="1" x14ac:dyDescent="0.3">
      <c r="A90" s="7" t="s">
        <v>336</v>
      </c>
      <c r="B90" s="8" t="s">
        <v>19</v>
      </c>
      <c r="C90" s="9" t="s">
        <v>131</v>
      </c>
      <c r="D90" s="5">
        <v>27.47</v>
      </c>
      <c r="E90" s="5">
        <v>36.125</v>
      </c>
      <c r="F90" s="5">
        <v>40.012499999999996</v>
      </c>
      <c r="G90" s="5">
        <v>55.987499999999997</v>
      </c>
      <c r="H90" s="5">
        <v>76.5</v>
      </c>
      <c r="I90" s="5">
        <v>178.27500000000001</v>
      </c>
      <c r="J90" s="10" t="s">
        <v>21</v>
      </c>
      <c r="K90" s="10" t="s">
        <v>21</v>
      </c>
      <c r="L90" s="10" t="s">
        <v>21</v>
      </c>
      <c r="M90" s="10" t="s">
        <v>21</v>
      </c>
      <c r="N90" s="10" t="s">
        <v>21</v>
      </c>
      <c r="O90" s="11" t="s">
        <v>41</v>
      </c>
      <c r="P90" s="11" t="s">
        <v>23</v>
      </c>
      <c r="Q90" s="12">
        <v>80</v>
      </c>
      <c r="R90" s="11" t="s">
        <v>25</v>
      </c>
      <c r="S90" s="3" t="s">
        <v>343</v>
      </c>
      <c r="T90" s="3" t="s">
        <v>344</v>
      </c>
    </row>
    <row r="91" spans="1:20" ht="15.75" customHeight="1" x14ac:dyDescent="0.3">
      <c r="A91" s="7" t="s">
        <v>336</v>
      </c>
      <c r="B91" s="8" t="s">
        <v>19</v>
      </c>
      <c r="C91" s="9" t="s">
        <v>132</v>
      </c>
      <c r="D91" s="10" t="s">
        <v>21</v>
      </c>
      <c r="E91" s="10" t="s">
        <v>21</v>
      </c>
      <c r="F91" s="10" t="s">
        <v>21</v>
      </c>
      <c r="G91" s="10" t="s">
        <v>21</v>
      </c>
      <c r="H91" s="10" t="s">
        <v>21</v>
      </c>
      <c r="I91" s="10" t="s">
        <v>21</v>
      </c>
      <c r="J91" s="10" t="s">
        <v>21</v>
      </c>
      <c r="K91" s="10" t="s">
        <v>21</v>
      </c>
      <c r="L91" s="10" t="s">
        <v>21</v>
      </c>
      <c r="M91" s="10" t="s">
        <v>21</v>
      </c>
      <c r="N91" s="10" t="s">
        <v>21</v>
      </c>
      <c r="O91" s="11"/>
      <c r="P91" s="11"/>
      <c r="Q91" s="11"/>
      <c r="R91" s="11"/>
      <c r="S91" s="3" t="s">
        <v>343</v>
      </c>
      <c r="T91" s="3" t="s">
        <v>344</v>
      </c>
    </row>
    <row r="92" spans="1:20" ht="15.75" customHeight="1" x14ac:dyDescent="0.3">
      <c r="A92" s="7" t="s">
        <v>336</v>
      </c>
      <c r="B92" s="8" t="s">
        <v>19</v>
      </c>
      <c r="C92" s="9" t="s">
        <v>133</v>
      </c>
      <c r="D92" s="5">
        <v>31.72</v>
      </c>
      <c r="E92" s="5">
        <v>42.1875</v>
      </c>
      <c r="F92" s="5">
        <v>47.375</v>
      </c>
      <c r="G92" s="5">
        <v>65.45</v>
      </c>
      <c r="H92" s="5">
        <v>93.375</v>
      </c>
      <c r="I92" s="5">
        <v>201.82500000000002</v>
      </c>
      <c r="J92" s="10" t="s">
        <v>21</v>
      </c>
      <c r="K92" s="10" t="s">
        <v>21</v>
      </c>
      <c r="L92" s="10" t="s">
        <v>21</v>
      </c>
      <c r="M92" s="10" t="s">
        <v>21</v>
      </c>
      <c r="N92" s="10" t="s">
        <v>21</v>
      </c>
      <c r="O92" s="11" t="s">
        <v>35</v>
      </c>
      <c r="P92" s="11" t="s">
        <v>36</v>
      </c>
      <c r="Q92" s="12">
        <v>80</v>
      </c>
      <c r="R92" s="11" t="s">
        <v>25</v>
      </c>
      <c r="S92" s="3" t="s">
        <v>343</v>
      </c>
      <c r="T92" s="3" t="s">
        <v>344</v>
      </c>
    </row>
    <row r="93" spans="1:20" ht="15.75" customHeight="1" x14ac:dyDescent="0.3">
      <c r="A93" s="7" t="s">
        <v>336</v>
      </c>
      <c r="B93" s="8" t="s">
        <v>19</v>
      </c>
      <c r="C93" s="9" t="s">
        <v>134</v>
      </c>
      <c r="D93" s="10" t="s">
        <v>21</v>
      </c>
      <c r="E93" s="10" t="s">
        <v>21</v>
      </c>
      <c r="F93" s="10" t="s">
        <v>21</v>
      </c>
      <c r="G93" s="10" t="s">
        <v>21</v>
      </c>
      <c r="H93" s="10" t="s">
        <v>21</v>
      </c>
      <c r="I93" s="10" t="s">
        <v>21</v>
      </c>
      <c r="J93" s="10" t="s">
        <v>21</v>
      </c>
      <c r="K93" s="10" t="s">
        <v>21</v>
      </c>
      <c r="L93" s="10" t="s">
        <v>21</v>
      </c>
      <c r="M93" s="10" t="s">
        <v>21</v>
      </c>
      <c r="N93" s="10" t="s">
        <v>21</v>
      </c>
      <c r="O93" s="11"/>
      <c r="P93" s="11"/>
      <c r="Q93" s="11"/>
      <c r="R93" s="11"/>
      <c r="S93" s="3" t="s">
        <v>343</v>
      </c>
      <c r="T93" s="3" t="s">
        <v>344</v>
      </c>
    </row>
    <row r="94" spans="1:20" ht="15.75" customHeight="1" x14ac:dyDescent="0.3">
      <c r="A94" s="7" t="s">
        <v>336</v>
      </c>
      <c r="B94" s="8" t="s">
        <v>19</v>
      </c>
      <c r="C94" s="9" t="s">
        <v>135</v>
      </c>
      <c r="D94" s="5">
        <v>27.47</v>
      </c>
      <c r="E94" s="5">
        <v>36.125</v>
      </c>
      <c r="F94" s="5">
        <v>40.012499999999996</v>
      </c>
      <c r="G94" s="5">
        <v>55.987499999999997</v>
      </c>
      <c r="H94" s="5">
        <v>76.5</v>
      </c>
      <c r="I94" s="5">
        <v>178.27500000000001</v>
      </c>
      <c r="J94" s="10" t="s">
        <v>21</v>
      </c>
      <c r="K94" s="10" t="s">
        <v>21</v>
      </c>
      <c r="L94" s="10" t="s">
        <v>21</v>
      </c>
      <c r="M94" s="10" t="s">
        <v>21</v>
      </c>
      <c r="N94" s="10" t="s">
        <v>21</v>
      </c>
      <c r="O94" s="11" t="s">
        <v>41</v>
      </c>
      <c r="P94" s="11" t="s">
        <v>23</v>
      </c>
      <c r="Q94" s="12">
        <v>80</v>
      </c>
      <c r="R94" s="11" t="s">
        <v>25</v>
      </c>
      <c r="S94" s="3" t="s">
        <v>343</v>
      </c>
      <c r="T94" s="3" t="s">
        <v>344</v>
      </c>
    </row>
    <row r="95" spans="1:20" ht="15.75" customHeight="1" x14ac:dyDescent="0.3">
      <c r="A95" s="7" t="s">
        <v>336</v>
      </c>
      <c r="B95" s="8" t="s">
        <v>19</v>
      </c>
      <c r="C95" s="9" t="s">
        <v>136</v>
      </c>
      <c r="D95" s="5">
        <v>27.47</v>
      </c>
      <c r="E95" s="5">
        <v>36.125</v>
      </c>
      <c r="F95" s="5">
        <v>40.012499999999996</v>
      </c>
      <c r="G95" s="5">
        <v>55.987499999999997</v>
      </c>
      <c r="H95" s="5">
        <v>76.5</v>
      </c>
      <c r="I95" s="5">
        <v>178.27500000000001</v>
      </c>
      <c r="J95" s="10" t="s">
        <v>21</v>
      </c>
      <c r="K95" s="10" t="s">
        <v>21</v>
      </c>
      <c r="L95" s="10" t="s">
        <v>21</v>
      </c>
      <c r="M95" s="10" t="s">
        <v>21</v>
      </c>
      <c r="N95" s="10" t="s">
        <v>21</v>
      </c>
      <c r="O95" s="11" t="s">
        <v>41</v>
      </c>
      <c r="P95" s="11" t="s">
        <v>23</v>
      </c>
      <c r="Q95" s="12">
        <v>80</v>
      </c>
      <c r="R95" s="11" t="s">
        <v>25</v>
      </c>
      <c r="S95" s="3" t="s">
        <v>343</v>
      </c>
      <c r="T95" s="3" t="s">
        <v>344</v>
      </c>
    </row>
    <row r="96" spans="1:20" ht="15.75" customHeight="1" x14ac:dyDescent="0.3">
      <c r="A96" s="7" t="s">
        <v>336</v>
      </c>
      <c r="B96" s="8" t="s">
        <v>19</v>
      </c>
      <c r="C96" s="9" t="s">
        <v>137</v>
      </c>
      <c r="D96" s="5">
        <v>27.47</v>
      </c>
      <c r="E96" s="5">
        <v>36.125</v>
      </c>
      <c r="F96" s="5">
        <v>40.012499999999996</v>
      </c>
      <c r="G96" s="5">
        <v>55.987499999999997</v>
      </c>
      <c r="H96" s="5">
        <v>76.5</v>
      </c>
      <c r="I96" s="5">
        <v>178.27500000000001</v>
      </c>
      <c r="J96" s="10" t="s">
        <v>21</v>
      </c>
      <c r="K96" s="10" t="s">
        <v>21</v>
      </c>
      <c r="L96" s="10" t="s">
        <v>21</v>
      </c>
      <c r="M96" s="10" t="s">
        <v>21</v>
      </c>
      <c r="N96" s="10" t="s">
        <v>21</v>
      </c>
      <c r="O96" s="11" t="s">
        <v>41</v>
      </c>
      <c r="P96" s="11" t="s">
        <v>23</v>
      </c>
      <c r="Q96" s="12">
        <v>80</v>
      </c>
      <c r="R96" s="11" t="s">
        <v>25</v>
      </c>
      <c r="S96" s="3" t="s">
        <v>343</v>
      </c>
      <c r="T96" s="3" t="s">
        <v>344</v>
      </c>
    </row>
    <row r="97" spans="1:20" ht="15.75" customHeight="1" x14ac:dyDescent="0.3">
      <c r="A97" s="7" t="s">
        <v>336</v>
      </c>
      <c r="B97" s="8" t="s">
        <v>19</v>
      </c>
      <c r="C97" s="9" t="s">
        <v>138</v>
      </c>
      <c r="D97" s="5">
        <v>18.61</v>
      </c>
      <c r="E97" s="5">
        <v>60.425000000000004</v>
      </c>
      <c r="F97" s="5">
        <v>63.612499999999997</v>
      </c>
      <c r="G97" s="5">
        <v>76.55</v>
      </c>
      <c r="H97" s="5">
        <v>90.525000000000006</v>
      </c>
      <c r="I97" s="5">
        <v>155.6</v>
      </c>
      <c r="J97" s="10" t="s">
        <v>21</v>
      </c>
      <c r="K97" s="10" t="s">
        <v>21</v>
      </c>
      <c r="L97" s="10" t="s">
        <v>21</v>
      </c>
      <c r="M97" s="10" t="s">
        <v>21</v>
      </c>
      <c r="N97" s="10" t="s">
        <v>21</v>
      </c>
      <c r="O97" s="11" t="s">
        <v>30</v>
      </c>
      <c r="P97" s="11" t="s">
        <v>82</v>
      </c>
      <c r="Q97" s="12">
        <v>80</v>
      </c>
      <c r="R97" s="11" t="s">
        <v>25</v>
      </c>
      <c r="S97" s="3" t="s">
        <v>343</v>
      </c>
      <c r="T97" s="3" t="s">
        <v>344</v>
      </c>
    </row>
    <row r="98" spans="1:20" ht="15.75" customHeight="1" x14ac:dyDescent="0.3">
      <c r="A98" s="7" t="s">
        <v>336</v>
      </c>
      <c r="B98" s="8" t="s">
        <v>19</v>
      </c>
      <c r="C98" s="13" t="s">
        <v>139</v>
      </c>
      <c r="D98" s="14">
        <v>27</v>
      </c>
      <c r="E98" s="14">
        <v>33.75</v>
      </c>
      <c r="F98" s="14">
        <v>36.25</v>
      </c>
      <c r="G98" s="14">
        <v>38.75</v>
      </c>
      <c r="H98" s="14">
        <v>41.25</v>
      </c>
      <c r="I98" s="14">
        <v>55</v>
      </c>
      <c r="J98" s="14">
        <v>62.5</v>
      </c>
      <c r="K98" s="14">
        <v>71.25</v>
      </c>
      <c r="L98" s="14">
        <v>98.75</v>
      </c>
      <c r="M98" s="14">
        <v>106.25</v>
      </c>
      <c r="N98" s="14">
        <v>111.25</v>
      </c>
      <c r="O98" s="15" t="s">
        <v>29</v>
      </c>
      <c r="P98" s="15" t="s">
        <v>94</v>
      </c>
      <c r="Q98" s="16">
        <v>80</v>
      </c>
      <c r="R98" s="15" t="s">
        <v>25</v>
      </c>
      <c r="S98" s="3" t="s">
        <v>343</v>
      </c>
      <c r="T98" s="3" t="s">
        <v>344</v>
      </c>
    </row>
    <row r="99" spans="1:20" ht="15.75" customHeight="1" x14ac:dyDescent="0.3">
      <c r="A99" s="7" t="s">
        <v>336</v>
      </c>
      <c r="B99" s="8" t="s">
        <v>19</v>
      </c>
      <c r="C99" s="13" t="s">
        <v>140</v>
      </c>
      <c r="D99" s="14">
        <v>35.64</v>
      </c>
      <c r="E99" s="14">
        <v>60</v>
      </c>
      <c r="F99" s="14">
        <v>60</v>
      </c>
      <c r="G99" s="14">
        <v>64.125</v>
      </c>
      <c r="H99" s="14">
        <v>76.25</v>
      </c>
      <c r="I99" s="14">
        <v>83.75</v>
      </c>
      <c r="J99" s="14">
        <v>92.5</v>
      </c>
      <c r="K99" s="14">
        <v>101.25</v>
      </c>
      <c r="L99" s="14">
        <v>101.25</v>
      </c>
      <c r="M99" s="14">
        <v>117.5</v>
      </c>
      <c r="N99" s="14">
        <v>135</v>
      </c>
      <c r="O99" s="15" t="s">
        <v>61</v>
      </c>
      <c r="P99" s="15" t="s">
        <v>24</v>
      </c>
      <c r="Q99" s="16">
        <v>80</v>
      </c>
      <c r="R99" s="15" t="s">
        <v>25</v>
      </c>
      <c r="S99" s="3" t="s">
        <v>343</v>
      </c>
      <c r="T99" s="3" t="s">
        <v>344</v>
      </c>
    </row>
    <row r="100" spans="1:20" ht="15.75" customHeight="1" x14ac:dyDescent="0.3">
      <c r="A100" s="7" t="s">
        <v>336</v>
      </c>
      <c r="B100" s="8" t="s">
        <v>19</v>
      </c>
      <c r="C100" s="9" t="s">
        <v>141</v>
      </c>
      <c r="D100" s="5">
        <v>21.06</v>
      </c>
      <c r="E100" s="5">
        <v>28.075000000000003</v>
      </c>
      <c r="F100" s="5">
        <v>31.662499999999998</v>
      </c>
      <c r="G100" s="5">
        <v>45.05</v>
      </c>
      <c r="H100" s="5">
        <v>70.349999999999994</v>
      </c>
      <c r="I100" s="5">
        <v>133.22499999999999</v>
      </c>
      <c r="J100" s="10" t="s">
        <v>21</v>
      </c>
      <c r="K100" s="10" t="s">
        <v>21</v>
      </c>
      <c r="L100" s="10" t="s">
        <v>21</v>
      </c>
      <c r="M100" s="10" t="s">
        <v>21</v>
      </c>
      <c r="N100" s="10" t="s">
        <v>21</v>
      </c>
      <c r="O100" s="11" t="s">
        <v>61</v>
      </c>
      <c r="P100" s="11" t="s">
        <v>94</v>
      </c>
      <c r="Q100" s="12">
        <v>80</v>
      </c>
      <c r="R100" s="11" t="s">
        <v>25</v>
      </c>
      <c r="S100" s="3" t="s">
        <v>343</v>
      </c>
      <c r="T100" s="3" t="s">
        <v>344</v>
      </c>
    </row>
    <row r="101" spans="1:20" ht="15.75" customHeight="1" x14ac:dyDescent="0.3">
      <c r="A101" s="7" t="s">
        <v>336</v>
      </c>
      <c r="B101" s="8" t="s">
        <v>19</v>
      </c>
      <c r="C101" s="9" t="s">
        <v>142</v>
      </c>
      <c r="D101" s="5">
        <v>29</v>
      </c>
      <c r="E101" s="5">
        <v>33.050000000000004</v>
      </c>
      <c r="F101" s="5">
        <v>38.75</v>
      </c>
      <c r="G101" s="5">
        <v>54.875</v>
      </c>
      <c r="H101" s="5">
        <v>78.75</v>
      </c>
      <c r="I101" s="5">
        <v>138.75</v>
      </c>
      <c r="J101" s="10" t="s">
        <v>21</v>
      </c>
      <c r="K101" s="10" t="s">
        <v>21</v>
      </c>
      <c r="L101" s="10" t="s">
        <v>21</v>
      </c>
      <c r="M101" s="10" t="s">
        <v>21</v>
      </c>
      <c r="N101" s="10" t="s">
        <v>21</v>
      </c>
      <c r="O101" s="11" t="s">
        <v>41</v>
      </c>
      <c r="P101" s="11" t="s">
        <v>143</v>
      </c>
      <c r="Q101" s="12">
        <v>80</v>
      </c>
      <c r="R101" s="11" t="s">
        <v>25</v>
      </c>
      <c r="S101" s="3" t="s">
        <v>343</v>
      </c>
      <c r="T101" s="3" t="s">
        <v>344</v>
      </c>
    </row>
    <row r="102" spans="1:20" ht="15.75" customHeight="1" x14ac:dyDescent="0.3">
      <c r="A102" s="7" t="s">
        <v>336</v>
      </c>
      <c r="B102" s="8" t="s">
        <v>19</v>
      </c>
      <c r="C102" s="9" t="s">
        <v>144</v>
      </c>
      <c r="D102" s="10" t="s">
        <v>21</v>
      </c>
      <c r="E102" s="10" t="s">
        <v>21</v>
      </c>
      <c r="F102" s="10" t="s">
        <v>21</v>
      </c>
      <c r="G102" s="10" t="s">
        <v>21</v>
      </c>
      <c r="H102" s="10" t="s">
        <v>21</v>
      </c>
      <c r="I102" s="10" t="s">
        <v>21</v>
      </c>
      <c r="J102" s="10" t="s">
        <v>21</v>
      </c>
      <c r="K102" s="10" t="s">
        <v>21</v>
      </c>
      <c r="L102" s="10" t="s">
        <v>21</v>
      </c>
      <c r="M102" s="10" t="s">
        <v>21</v>
      </c>
      <c r="N102" s="10" t="s">
        <v>21</v>
      </c>
      <c r="O102" s="11"/>
      <c r="P102" s="11"/>
      <c r="Q102" s="11"/>
      <c r="R102" s="11"/>
      <c r="S102" s="3" t="s">
        <v>343</v>
      </c>
      <c r="T102" s="3" t="s">
        <v>344</v>
      </c>
    </row>
    <row r="103" spans="1:20" ht="15.75" customHeight="1" x14ac:dyDescent="0.3">
      <c r="A103" s="7" t="s">
        <v>337</v>
      </c>
      <c r="B103" s="8" t="s">
        <v>19</v>
      </c>
      <c r="C103" s="18" t="s">
        <v>19</v>
      </c>
      <c r="D103" s="19">
        <v>23</v>
      </c>
      <c r="E103" s="19">
        <v>20</v>
      </c>
      <c r="F103" s="19">
        <v>20</v>
      </c>
      <c r="G103" s="19">
        <v>20</v>
      </c>
      <c r="H103" s="19">
        <v>20</v>
      </c>
      <c r="I103" s="19">
        <v>20</v>
      </c>
      <c r="J103" s="20" t="s">
        <v>21</v>
      </c>
      <c r="K103" s="20" t="s">
        <v>21</v>
      </c>
      <c r="L103" s="20" t="s">
        <v>21</v>
      </c>
      <c r="M103" s="20" t="s">
        <v>21</v>
      </c>
      <c r="N103" s="20" t="s">
        <v>21</v>
      </c>
      <c r="O103" s="21" t="s">
        <v>145</v>
      </c>
      <c r="P103" s="21" t="s">
        <v>145</v>
      </c>
      <c r="Q103" s="22">
        <v>80</v>
      </c>
      <c r="R103" s="21" t="s">
        <v>25</v>
      </c>
      <c r="S103" s="3" t="s">
        <v>343</v>
      </c>
      <c r="T103" s="3" t="s">
        <v>344</v>
      </c>
    </row>
    <row r="104" spans="1:20" ht="15.75" customHeight="1" x14ac:dyDescent="0.3">
      <c r="A104" s="7" t="s">
        <v>336</v>
      </c>
      <c r="B104" s="8" t="s">
        <v>19</v>
      </c>
      <c r="C104" s="9" t="s">
        <v>146</v>
      </c>
      <c r="D104" s="5">
        <v>31.72</v>
      </c>
      <c r="E104" s="5">
        <v>42.1875</v>
      </c>
      <c r="F104" s="5">
        <v>47.375</v>
      </c>
      <c r="G104" s="5">
        <v>65.45</v>
      </c>
      <c r="H104" s="5">
        <v>93.375</v>
      </c>
      <c r="I104" s="5">
        <v>201.82500000000002</v>
      </c>
      <c r="J104" s="10" t="s">
        <v>21</v>
      </c>
      <c r="K104" s="10" t="s">
        <v>21</v>
      </c>
      <c r="L104" s="10" t="s">
        <v>21</v>
      </c>
      <c r="M104" s="10" t="s">
        <v>21</v>
      </c>
      <c r="N104" s="10" t="s">
        <v>21</v>
      </c>
      <c r="O104" s="11" t="s">
        <v>35</v>
      </c>
      <c r="P104" s="11" t="s">
        <v>36</v>
      </c>
      <c r="Q104" s="12">
        <v>80</v>
      </c>
      <c r="R104" s="11" t="s">
        <v>25</v>
      </c>
      <c r="S104" s="3" t="s">
        <v>343</v>
      </c>
      <c r="T104" s="3" t="s">
        <v>344</v>
      </c>
    </row>
    <row r="105" spans="1:20" ht="15.75" customHeight="1" x14ac:dyDescent="0.3">
      <c r="A105" s="7" t="s">
        <v>336</v>
      </c>
      <c r="B105" s="8" t="s">
        <v>19</v>
      </c>
      <c r="C105" s="9" t="s">
        <v>147</v>
      </c>
      <c r="D105" s="10" t="s">
        <v>21</v>
      </c>
      <c r="E105" s="10" t="s">
        <v>21</v>
      </c>
      <c r="F105" s="10" t="s">
        <v>21</v>
      </c>
      <c r="G105" s="10" t="s">
        <v>21</v>
      </c>
      <c r="H105" s="10" t="s">
        <v>21</v>
      </c>
      <c r="I105" s="10" t="s">
        <v>21</v>
      </c>
      <c r="J105" s="10" t="s">
        <v>21</v>
      </c>
      <c r="K105" s="10" t="s">
        <v>21</v>
      </c>
      <c r="L105" s="10" t="s">
        <v>21</v>
      </c>
      <c r="M105" s="10" t="s">
        <v>21</v>
      </c>
      <c r="N105" s="10" t="s">
        <v>21</v>
      </c>
      <c r="O105" s="11"/>
      <c r="P105" s="11"/>
      <c r="Q105" s="11"/>
      <c r="R105" s="11" t="s">
        <v>25</v>
      </c>
      <c r="S105" s="3" t="s">
        <v>343</v>
      </c>
      <c r="T105" s="3" t="s">
        <v>344</v>
      </c>
    </row>
    <row r="106" spans="1:20" ht="15.75" customHeight="1" x14ac:dyDescent="0.3">
      <c r="A106" s="7" t="s">
        <v>336</v>
      </c>
      <c r="B106" s="8" t="s">
        <v>19</v>
      </c>
      <c r="C106" s="9" t="s">
        <v>148</v>
      </c>
      <c r="D106" s="5">
        <v>21.06</v>
      </c>
      <c r="E106" s="5">
        <v>28.075000000000003</v>
      </c>
      <c r="F106" s="5">
        <v>31.662499999999998</v>
      </c>
      <c r="G106" s="5">
        <v>45.05</v>
      </c>
      <c r="H106" s="5">
        <v>70.349999999999994</v>
      </c>
      <c r="I106" s="5">
        <v>133.22499999999999</v>
      </c>
      <c r="J106" s="10" t="s">
        <v>21</v>
      </c>
      <c r="K106" s="10" t="s">
        <v>21</v>
      </c>
      <c r="L106" s="10" t="s">
        <v>21</v>
      </c>
      <c r="M106" s="10" t="s">
        <v>21</v>
      </c>
      <c r="N106" s="10" t="s">
        <v>21</v>
      </c>
      <c r="O106" s="11" t="s">
        <v>29</v>
      </c>
      <c r="P106" s="11" t="s">
        <v>30</v>
      </c>
      <c r="Q106" s="12">
        <v>80</v>
      </c>
      <c r="R106" s="11" t="s">
        <v>25</v>
      </c>
      <c r="S106" s="3" t="s">
        <v>343</v>
      </c>
      <c r="T106" s="3" t="s">
        <v>344</v>
      </c>
    </row>
    <row r="107" spans="1:20" ht="15.75" customHeight="1" x14ac:dyDescent="0.3">
      <c r="A107" s="7" t="s">
        <v>336</v>
      </c>
      <c r="B107" s="8" t="s">
        <v>19</v>
      </c>
      <c r="C107" s="13" t="s">
        <v>149</v>
      </c>
      <c r="D107" s="14">
        <v>22.28</v>
      </c>
      <c r="E107" s="14">
        <v>24.512499999999999</v>
      </c>
      <c r="F107" s="14">
        <v>25</v>
      </c>
      <c r="G107" s="14">
        <v>27.5</v>
      </c>
      <c r="H107" s="14">
        <v>33.75</v>
      </c>
      <c r="I107" s="14">
        <v>40.4</v>
      </c>
      <c r="J107" s="14">
        <v>46.612499999999997</v>
      </c>
      <c r="K107" s="14">
        <v>52.824999999999996</v>
      </c>
      <c r="L107" s="14">
        <v>58.75</v>
      </c>
      <c r="M107" s="14">
        <v>71.612499999999997</v>
      </c>
      <c r="N107" s="14">
        <v>86.25</v>
      </c>
      <c r="O107" s="15" t="s">
        <v>29</v>
      </c>
      <c r="P107" s="15" t="s">
        <v>38</v>
      </c>
      <c r="Q107" s="16">
        <v>80</v>
      </c>
      <c r="R107" s="15" t="s">
        <v>25</v>
      </c>
      <c r="S107" s="3" t="s">
        <v>343</v>
      </c>
      <c r="T107" s="3" t="s">
        <v>344</v>
      </c>
    </row>
    <row r="108" spans="1:20" ht="15.75" customHeight="1" x14ac:dyDescent="0.3">
      <c r="A108" s="7" t="s">
        <v>336</v>
      </c>
      <c r="B108" s="8" t="s">
        <v>19</v>
      </c>
      <c r="C108" s="13" t="s">
        <v>150</v>
      </c>
      <c r="D108" s="14">
        <v>39.5</v>
      </c>
      <c r="E108" s="14">
        <v>63.912500000000001</v>
      </c>
      <c r="F108" s="14">
        <v>65</v>
      </c>
      <c r="G108" s="14">
        <v>71.25</v>
      </c>
      <c r="H108" s="14">
        <v>77.5</v>
      </c>
      <c r="I108" s="14">
        <v>81.25</v>
      </c>
      <c r="J108" s="14">
        <v>88.75</v>
      </c>
      <c r="K108" s="14">
        <v>103.75</v>
      </c>
      <c r="L108" s="14">
        <v>102.5</v>
      </c>
      <c r="M108" s="14">
        <v>113.75</v>
      </c>
      <c r="N108" s="14">
        <v>130</v>
      </c>
      <c r="O108" s="15" t="s">
        <v>23</v>
      </c>
      <c r="P108" s="15" t="s">
        <v>39</v>
      </c>
      <c r="Q108" s="16">
        <v>80</v>
      </c>
      <c r="R108" s="15" t="s">
        <v>25</v>
      </c>
      <c r="S108" s="3" t="s">
        <v>343</v>
      </c>
      <c r="T108" s="3" t="s">
        <v>344</v>
      </c>
    </row>
    <row r="109" spans="1:20" ht="15.75" customHeight="1" x14ac:dyDescent="0.3">
      <c r="A109" s="7" t="s">
        <v>336</v>
      </c>
      <c r="B109" s="8" t="s">
        <v>19</v>
      </c>
      <c r="C109" s="9" t="s">
        <v>151</v>
      </c>
      <c r="D109" s="5">
        <v>31.72</v>
      </c>
      <c r="E109" s="5">
        <v>42.1875</v>
      </c>
      <c r="F109" s="5">
        <v>47.375</v>
      </c>
      <c r="G109" s="5">
        <v>65.45</v>
      </c>
      <c r="H109" s="5">
        <v>93.375</v>
      </c>
      <c r="I109" s="5">
        <v>201.82500000000002</v>
      </c>
      <c r="J109" s="10" t="s">
        <v>21</v>
      </c>
      <c r="K109" s="10" t="s">
        <v>21</v>
      </c>
      <c r="L109" s="10" t="s">
        <v>21</v>
      </c>
      <c r="M109" s="10" t="s">
        <v>21</v>
      </c>
      <c r="N109" s="10" t="s">
        <v>21</v>
      </c>
      <c r="O109" s="11" t="s">
        <v>35</v>
      </c>
      <c r="P109" s="11" t="s">
        <v>36</v>
      </c>
      <c r="Q109" s="12">
        <v>80</v>
      </c>
      <c r="R109" s="11" t="s">
        <v>25</v>
      </c>
      <c r="S109" s="3" t="s">
        <v>343</v>
      </c>
      <c r="T109" s="3" t="s">
        <v>344</v>
      </c>
    </row>
    <row r="110" spans="1:20" ht="15.75" customHeight="1" x14ac:dyDescent="0.3">
      <c r="A110" s="7" t="s">
        <v>336</v>
      </c>
      <c r="B110" s="8" t="s">
        <v>19</v>
      </c>
      <c r="C110" s="9" t="s">
        <v>152</v>
      </c>
      <c r="D110" s="5">
        <v>27.47</v>
      </c>
      <c r="E110" s="5">
        <v>36.125</v>
      </c>
      <c r="F110" s="5">
        <v>40.012499999999996</v>
      </c>
      <c r="G110" s="5">
        <v>55.987499999999997</v>
      </c>
      <c r="H110" s="5">
        <v>76.5</v>
      </c>
      <c r="I110" s="5">
        <v>178.27500000000001</v>
      </c>
      <c r="J110" s="10" t="s">
        <v>21</v>
      </c>
      <c r="K110" s="10" t="s">
        <v>21</v>
      </c>
      <c r="L110" s="10" t="s">
        <v>21</v>
      </c>
      <c r="M110" s="10" t="s">
        <v>21</v>
      </c>
      <c r="N110" s="10" t="s">
        <v>21</v>
      </c>
      <c r="O110" s="11" t="s">
        <v>41</v>
      </c>
      <c r="P110" s="11" t="s">
        <v>23</v>
      </c>
      <c r="Q110" s="12">
        <v>80</v>
      </c>
      <c r="R110" s="11" t="s">
        <v>25</v>
      </c>
      <c r="S110" s="3" t="s">
        <v>343</v>
      </c>
      <c r="T110" s="3" t="s">
        <v>344</v>
      </c>
    </row>
    <row r="111" spans="1:20" ht="15.75" customHeight="1" x14ac:dyDescent="0.3">
      <c r="A111" s="7" t="s">
        <v>336</v>
      </c>
      <c r="B111" s="8" t="s">
        <v>19</v>
      </c>
      <c r="C111" s="9" t="s">
        <v>153</v>
      </c>
      <c r="D111" s="5">
        <v>24.68</v>
      </c>
      <c r="E111" s="5">
        <v>68.75</v>
      </c>
      <c r="F111" s="5">
        <v>73.75</v>
      </c>
      <c r="G111" s="5">
        <v>90.625</v>
      </c>
      <c r="H111" s="5">
        <v>113.75</v>
      </c>
      <c r="I111" s="5">
        <v>173.75</v>
      </c>
      <c r="J111" s="10" t="s">
        <v>21</v>
      </c>
      <c r="K111" s="10" t="s">
        <v>21</v>
      </c>
      <c r="L111" s="10" t="s">
        <v>21</v>
      </c>
      <c r="M111" s="10" t="s">
        <v>21</v>
      </c>
      <c r="N111" s="10" t="s">
        <v>21</v>
      </c>
      <c r="O111" s="11" t="s">
        <v>24</v>
      </c>
      <c r="P111" s="11" t="s">
        <v>69</v>
      </c>
      <c r="Q111" s="12">
        <v>80</v>
      </c>
      <c r="R111" s="11" t="s">
        <v>25</v>
      </c>
      <c r="S111" s="3" t="s">
        <v>343</v>
      </c>
      <c r="T111" s="3" t="s">
        <v>344</v>
      </c>
    </row>
    <row r="112" spans="1:20" ht="15.75" customHeight="1" x14ac:dyDescent="0.3">
      <c r="A112" s="7" t="s">
        <v>336</v>
      </c>
      <c r="B112" s="8" t="s">
        <v>19</v>
      </c>
      <c r="C112" s="9" t="s">
        <v>154</v>
      </c>
      <c r="D112" s="5">
        <v>21.06</v>
      </c>
      <c r="E112" s="5">
        <v>28.075000000000003</v>
      </c>
      <c r="F112" s="5">
        <v>31.662499999999998</v>
      </c>
      <c r="G112" s="5">
        <v>45.05</v>
      </c>
      <c r="H112" s="5">
        <v>70.349999999999994</v>
      </c>
      <c r="I112" s="5">
        <v>133.22499999999999</v>
      </c>
      <c r="J112" s="10" t="s">
        <v>21</v>
      </c>
      <c r="K112" s="10" t="s">
        <v>21</v>
      </c>
      <c r="L112" s="10" t="s">
        <v>21</v>
      </c>
      <c r="M112" s="10" t="s">
        <v>21</v>
      </c>
      <c r="N112" s="10" t="s">
        <v>21</v>
      </c>
      <c r="O112" s="11" t="s">
        <v>29</v>
      </c>
      <c r="P112" s="11" t="s">
        <v>33</v>
      </c>
      <c r="Q112" s="12">
        <v>80</v>
      </c>
      <c r="R112" s="11" t="s">
        <v>25</v>
      </c>
      <c r="S112" s="3" t="s">
        <v>343</v>
      </c>
      <c r="T112" s="3" t="s">
        <v>344</v>
      </c>
    </row>
    <row r="113" spans="1:20" ht="15.75" customHeight="1" x14ac:dyDescent="0.3">
      <c r="A113" s="7" t="s">
        <v>336</v>
      </c>
      <c r="B113" s="8" t="s">
        <v>19</v>
      </c>
      <c r="C113" s="9" t="s">
        <v>155</v>
      </c>
      <c r="D113" s="5">
        <v>21.06</v>
      </c>
      <c r="E113" s="5">
        <v>28.075000000000003</v>
      </c>
      <c r="F113" s="5">
        <v>31.662499999999998</v>
      </c>
      <c r="G113" s="5">
        <v>45.05</v>
      </c>
      <c r="H113" s="5">
        <v>70.349999999999994</v>
      </c>
      <c r="I113" s="5">
        <v>133.22499999999999</v>
      </c>
      <c r="J113" s="10" t="s">
        <v>21</v>
      </c>
      <c r="K113" s="10" t="s">
        <v>21</v>
      </c>
      <c r="L113" s="10" t="s">
        <v>21</v>
      </c>
      <c r="M113" s="10" t="s">
        <v>21</v>
      </c>
      <c r="N113" s="10" t="s">
        <v>21</v>
      </c>
      <c r="O113" s="11" t="s">
        <v>29</v>
      </c>
      <c r="P113" s="11" t="s">
        <v>30</v>
      </c>
      <c r="Q113" s="12">
        <v>80</v>
      </c>
      <c r="R113" s="11" t="s">
        <v>25</v>
      </c>
      <c r="S113" s="3" t="s">
        <v>343</v>
      </c>
      <c r="T113" s="3" t="s">
        <v>344</v>
      </c>
    </row>
    <row r="114" spans="1:20" ht="15.75" customHeight="1" x14ac:dyDescent="0.3">
      <c r="A114" s="7" t="s">
        <v>336</v>
      </c>
      <c r="B114" s="8" t="s">
        <v>19</v>
      </c>
      <c r="C114" s="9" t="s">
        <v>156</v>
      </c>
      <c r="D114" s="5">
        <v>31.72</v>
      </c>
      <c r="E114" s="5">
        <v>42.1875</v>
      </c>
      <c r="F114" s="5">
        <v>47.375</v>
      </c>
      <c r="G114" s="5">
        <v>65.45</v>
      </c>
      <c r="H114" s="5">
        <v>93.375</v>
      </c>
      <c r="I114" s="5">
        <v>201.82500000000002</v>
      </c>
      <c r="J114" s="10" t="s">
        <v>21</v>
      </c>
      <c r="K114" s="10" t="s">
        <v>21</v>
      </c>
      <c r="L114" s="10" t="s">
        <v>21</v>
      </c>
      <c r="M114" s="10" t="s">
        <v>21</v>
      </c>
      <c r="N114" s="10" t="s">
        <v>21</v>
      </c>
      <c r="O114" s="11" t="s">
        <v>35</v>
      </c>
      <c r="P114" s="11" t="s">
        <v>36</v>
      </c>
      <c r="Q114" s="12">
        <v>80</v>
      </c>
      <c r="R114" s="11" t="s">
        <v>25</v>
      </c>
      <c r="S114" s="3" t="s">
        <v>343</v>
      </c>
      <c r="T114" s="3" t="s">
        <v>344</v>
      </c>
    </row>
    <row r="115" spans="1:20" ht="15.75" customHeight="1" x14ac:dyDescent="0.3">
      <c r="A115" s="7" t="s">
        <v>336</v>
      </c>
      <c r="B115" s="8" t="s">
        <v>19</v>
      </c>
      <c r="C115" s="9" t="s">
        <v>157</v>
      </c>
      <c r="D115" s="5">
        <v>31.72</v>
      </c>
      <c r="E115" s="5">
        <v>42.1875</v>
      </c>
      <c r="F115" s="5">
        <v>47.375</v>
      </c>
      <c r="G115" s="5">
        <v>65.45</v>
      </c>
      <c r="H115" s="5">
        <v>93.375</v>
      </c>
      <c r="I115" s="5">
        <v>201.82500000000002</v>
      </c>
      <c r="J115" s="10" t="s">
        <v>21</v>
      </c>
      <c r="K115" s="10" t="s">
        <v>21</v>
      </c>
      <c r="L115" s="10" t="s">
        <v>21</v>
      </c>
      <c r="M115" s="10" t="s">
        <v>21</v>
      </c>
      <c r="N115" s="10" t="s">
        <v>21</v>
      </c>
      <c r="O115" s="11" t="s">
        <v>35</v>
      </c>
      <c r="P115" s="11" t="s">
        <v>36</v>
      </c>
      <c r="Q115" s="12">
        <v>80</v>
      </c>
      <c r="R115" s="11" t="s">
        <v>25</v>
      </c>
      <c r="S115" s="3" t="s">
        <v>343</v>
      </c>
      <c r="T115" s="3" t="s">
        <v>344</v>
      </c>
    </row>
    <row r="116" spans="1:20" ht="15.75" customHeight="1" x14ac:dyDescent="0.3">
      <c r="A116" s="7" t="s">
        <v>336</v>
      </c>
      <c r="B116" s="8" t="s">
        <v>19</v>
      </c>
      <c r="C116" s="9" t="s">
        <v>158</v>
      </c>
      <c r="D116" s="10" t="s">
        <v>21</v>
      </c>
      <c r="E116" s="10" t="s">
        <v>21</v>
      </c>
      <c r="F116" s="10" t="s">
        <v>21</v>
      </c>
      <c r="G116" s="10" t="s">
        <v>21</v>
      </c>
      <c r="H116" s="10" t="s">
        <v>21</v>
      </c>
      <c r="I116" s="10" t="s">
        <v>21</v>
      </c>
      <c r="J116" s="10" t="s">
        <v>21</v>
      </c>
      <c r="K116" s="10" t="s">
        <v>21</v>
      </c>
      <c r="L116" s="10" t="s">
        <v>21</v>
      </c>
      <c r="M116" s="10" t="s">
        <v>21</v>
      </c>
      <c r="N116" s="10" t="s">
        <v>21</v>
      </c>
      <c r="O116" s="11"/>
      <c r="P116" s="11"/>
      <c r="Q116" s="11"/>
      <c r="R116" s="11"/>
      <c r="S116" s="3" t="s">
        <v>343</v>
      </c>
      <c r="T116" s="3" t="s">
        <v>344</v>
      </c>
    </row>
    <row r="117" spans="1:20" ht="15.75" customHeight="1" x14ac:dyDescent="0.3">
      <c r="A117" s="7" t="s">
        <v>336</v>
      </c>
      <c r="B117" s="8" t="s">
        <v>19</v>
      </c>
      <c r="C117" s="9" t="s">
        <v>159</v>
      </c>
      <c r="D117" s="10" t="s">
        <v>21</v>
      </c>
      <c r="E117" s="10" t="s">
        <v>21</v>
      </c>
      <c r="F117" s="10" t="s">
        <v>21</v>
      </c>
      <c r="G117" s="10" t="s">
        <v>21</v>
      </c>
      <c r="H117" s="10" t="s">
        <v>21</v>
      </c>
      <c r="I117" s="10" t="s">
        <v>21</v>
      </c>
      <c r="J117" s="10" t="s">
        <v>21</v>
      </c>
      <c r="K117" s="10" t="s">
        <v>21</v>
      </c>
      <c r="L117" s="10" t="s">
        <v>21</v>
      </c>
      <c r="M117" s="10" t="s">
        <v>21</v>
      </c>
      <c r="N117" s="10" t="s">
        <v>21</v>
      </c>
      <c r="O117" s="11"/>
      <c r="P117" s="11"/>
      <c r="Q117" s="11"/>
      <c r="R117" s="11"/>
      <c r="S117" s="3" t="s">
        <v>343</v>
      </c>
      <c r="T117" s="3" t="s">
        <v>344</v>
      </c>
    </row>
    <row r="118" spans="1:20" ht="15.75" customHeight="1" x14ac:dyDescent="0.3">
      <c r="A118" s="7" t="s">
        <v>336</v>
      </c>
      <c r="B118" s="8" t="s">
        <v>19</v>
      </c>
      <c r="C118" s="9" t="s">
        <v>160</v>
      </c>
      <c r="D118" s="5">
        <v>21.06</v>
      </c>
      <c r="E118" s="5">
        <v>28.075000000000003</v>
      </c>
      <c r="F118" s="5">
        <v>31.662499999999998</v>
      </c>
      <c r="G118" s="5">
        <v>45.05</v>
      </c>
      <c r="H118" s="5">
        <v>70.349999999999994</v>
      </c>
      <c r="I118" s="5">
        <v>133.22499999999999</v>
      </c>
      <c r="J118" s="10" t="s">
        <v>21</v>
      </c>
      <c r="K118" s="10" t="s">
        <v>21</v>
      </c>
      <c r="L118" s="10" t="s">
        <v>21</v>
      </c>
      <c r="M118" s="10" t="s">
        <v>21</v>
      </c>
      <c r="N118" s="10" t="s">
        <v>21</v>
      </c>
      <c r="O118" s="11" t="s">
        <v>29</v>
      </c>
      <c r="P118" s="11" t="s">
        <v>30</v>
      </c>
      <c r="Q118" s="12">
        <v>80</v>
      </c>
      <c r="R118" s="11" t="s">
        <v>25</v>
      </c>
      <c r="S118" s="3" t="s">
        <v>343</v>
      </c>
      <c r="T118" s="3" t="s">
        <v>344</v>
      </c>
    </row>
    <row r="119" spans="1:20" ht="15.75" customHeight="1" x14ac:dyDescent="0.3">
      <c r="A119" s="7" t="s">
        <v>336</v>
      </c>
      <c r="B119" s="8" t="s">
        <v>19</v>
      </c>
      <c r="C119" s="9" t="s">
        <v>161</v>
      </c>
      <c r="D119" s="5">
        <v>31.72</v>
      </c>
      <c r="E119" s="5">
        <v>42.1875</v>
      </c>
      <c r="F119" s="5">
        <v>47.375</v>
      </c>
      <c r="G119" s="5">
        <v>65.45</v>
      </c>
      <c r="H119" s="5">
        <v>93.375</v>
      </c>
      <c r="I119" s="5">
        <v>201.82500000000002</v>
      </c>
      <c r="J119" s="10" t="s">
        <v>21</v>
      </c>
      <c r="K119" s="10" t="s">
        <v>21</v>
      </c>
      <c r="L119" s="10" t="s">
        <v>21</v>
      </c>
      <c r="M119" s="10" t="s">
        <v>21</v>
      </c>
      <c r="N119" s="10" t="s">
        <v>21</v>
      </c>
      <c r="O119" s="11" t="s">
        <v>35</v>
      </c>
      <c r="P119" s="11" t="s">
        <v>36</v>
      </c>
      <c r="Q119" s="12">
        <v>80</v>
      </c>
      <c r="R119" s="11" t="s">
        <v>25</v>
      </c>
      <c r="S119" s="3" t="s">
        <v>343</v>
      </c>
      <c r="T119" s="3" t="s">
        <v>344</v>
      </c>
    </row>
    <row r="120" spans="1:20" ht="15.75" customHeight="1" x14ac:dyDescent="0.3">
      <c r="A120" s="7" t="s">
        <v>336</v>
      </c>
      <c r="B120" s="8" t="s">
        <v>19</v>
      </c>
      <c r="C120" s="9" t="s">
        <v>162</v>
      </c>
      <c r="D120" s="5">
        <v>29</v>
      </c>
      <c r="E120" s="5">
        <v>33.050000000000004</v>
      </c>
      <c r="F120" s="5">
        <v>38.75</v>
      </c>
      <c r="G120" s="5">
        <v>54.875</v>
      </c>
      <c r="H120" s="5">
        <v>78.75</v>
      </c>
      <c r="I120" s="5">
        <v>138.75</v>
      </c>
      <c r="J120" s="10" t="s">
        <v>21</v>
      </c>
      <c r="K120" s="10" t="s">
        <v>21</v>
      </c>
      <c r="L120" s="10" t="s">
        <v>21</v>
      </c>
      <c r="M120" s="10" t="s">
        <v>21</v>
      </c>
      <c r="N120" s="10" t="s">
        <v>21</v>
      </c>
      <c r="O120" s="11" t="s">
        <v>41</v>
      </c>
      <c r="P120" s="11" t="s">
        <v>143</v>
      </c>
      <c r="Q120" s="12">
        <v>80</v>
      </c>
      <c r="R120" s="11" t="s">
        <v>25</v>
      </c>
      <c r="S120" s="3" t="s">
        <v>343</v>
      </c>
      <c r="T120" s="3" t="s">
        <v>344</v>
      </c>
    </row>
    <row r="121" spans="1:20" ht="15.75" customHeight="1" x14ac:dyDescent="0.3">
      <c r="A121" s="7" t="s">
        <v>336</v>
      </c>
      <c r="B121" s="8" t="s">
        <v>19</v>
      </c>
      <c r="C121" s="13" t="s">
        <v>163</v>
      </c>
      <c r="D121" s="14">
        <v>28</v>
      </c>
      <c r="E121" s="14">
        <v>33.75</v>
      </c>
      <c r="F121" s="14">
        <v>36.25</v>
      </c>
      <c r="G121" s="14">
        <v>38.75</v>
      </c>
      <c r="H121" s="14">
        <v>41.25</v>
      </c>
      <c r="I121" s="14">
        <v>55</v>
      </c>
      <c r="J121" s="14">
        <v>62.5</v>
      </c>
      <c r="K121" s="14">
        <v>71.25</v>
      </c>
      <c r="L121" s="14">
        <v>98.75</v>
      </c>
      <c r="M121" s="14">
        <v>107.5</v>
      </c>
      <c r="N121" s="14">
        <v>111.25</v>
      </c>
      <c r="O121" s="15" t="s">
        <v>61</v>
      </c>
      <c r="P121" s="15" t="s">
        <v>23</v>
      </c>
      <c r="Q121" s="16">
        <v>80</v>
      </c>
      <c r="R121" s="15" t="s">
        <v>25</v>
      </c>
      <c r="S121" s="3" t="s">
        <v>343</v>
      </c>
      <c r="T121" s="3" t="s">
        <v>344</v>
      </c>
    </row>
    <row r="122" spans="1:20" ht="15.75" customHeight="1" x14ac:dyDescent="0.3">
      <c r="A122" s="7" t="s">
        <v>336</v>
      </c>
      <c r="B122" s="8" t="s">
        <v>19</v>
      </c>
      <c r="C122" s="9" t="s">
        <v>164</v>
      </c>
      <c r="D122" s="5">
        <v>21.06</v>
      </c>
      <c r="E122" s="5">
        <v>28.075000000000003</v>
      </c>
      <c r="F122" s="5">
        <v>31.662499999999998</v>
      </c>
      <c r="G122" s="5">
        <v>45.05</v>
      </c>
      <c r="H122" s="5">
        <v>70.349999999999994</v>
      </c>
      <c r="I122" s="5">
        <v>133.22499999999999</v>
      </c>
      <c r="J122" s="10" t="s">
        <v>21</v>
      </c>
      <c r="K122" s="10" t="s">
        <v>21</v>
      </c>
      <c r="L122" s="10" t="s">
        <v>21</v>
      </c>
      <c r="M122" s="10" t="s">
        <v>21</v>
      </c>
      <c r="N122" s="10" t="s">
        <v>21</v>
      </c>
      <c r="O122" s="11" t="s">
        <v>29</v>
      </c>
      <c r="P122" s="11" t="s">
        <v>30</v>
      </c>
      <c r="Q122" s="12">
        <v>80</v>
      </c>
      <c r="R122" s="11" t="s">
        <v>25</v>
      </c>
      <c r="S122" s="3" t="s">
        <v>343</v>
      </c>
      <c r="T122" s="3" t="s">
        <v>344</v>
      </c>
    </row>
    <row r="123" spans="1:20" ht="15.75" customHeight="1" x14ac:dyDescent="0.3">
      <c r="A123" s="7" t="s">
        <v>336</v>
      </c>
      <c r="B123" s="8" t="s">
        <v>19</v>
      </c>
      <c r="C123" s="9" t="s">
        <v>165</v>
      </c>
      <c r="D123" s="5">
        <v>31.72</v>
      </c>
      <c r="E123" s="5">
        <v>42.1875</v>
      </c>
      <c r="F123" s="5">
        <v>47.375</v>
      </c>
      <c r="G123" s="5">
        <v>65.45</v>
      </c>
      <c r="H123" s="5">
        <v>93.375</v>
      </c>
      <c r="I123" s="5">
        <v>201.82500000000002</v>
      </c>
      <c r="J123" s="10" t="s">
        <v>21</v>
      </c>
      <c r="K123" s="10" t="s">
        <v>21</v>
      </c>
      <c r="L123" s="10" t="s">
        <v>21</v>
      </c>
      <c r="M123" s="10" t="s">
        <v>21</v>
      </c>
      <c r="N123" s="10" t="s">
        <v>21</v>
      </c>
      <c r="O123" s="11" t="s">
        <v>35</v>
      </c>
      <c r="P123" s="11" t="s">
        <v>36</v>
      </c>
      <c r="Q123" s="12">
        <v>80</v>
      </c>
      <c r="R123" s="11" t="s">
        <v>25</v>
      </c>
      <c r="S123" s="3" t="s">
        <v>343</v>
      </c>
      <c r="T123" s="3" t="s">
        <v>344</v>
      </c>
    </row>
    <row r="124" spans="1:20" ht="15.75" customHeight="1" x14ac:dyDescent="0.3">
      <c r="A124" s="7" t="s">
        <v>336</v>
      </c>
      <c r="B124" s="8" t="s">
        <v>19</v>
      </c>
      <c r="C124" s="9" t="s">
        <v>166</v>
      </c>
      <c r="D124" s="5">
        <v>31.72</v>
      </c>
      <c r="E124" s="5">
        <v>42.1875</v>
      </c>
      <c r="F124" s="5">
        <v>47.375</v>
      </c>
      <c r="G124" s="5">
        <v>65.45</v>
      </c>
      <c r="H124" s="5">
        <v>93.375</v>
      </c>
      <c r="I124" s="5">
        <v>201.82500000000002</v>
      </c>
      <c r="J124" s="10" t="s">
        <v>21</v>
      </c>
      <c r="K124" s="10" t="s">
        <v>21</v>
      </c>
      <c r="L124" s="10" t="s">
        <v>21</v>
      </c>
      <c r="M124" s="10" t="s">
        <v>21</v>
      </c>
      <c r="N124" s="10" t="s">
        <v>21</v>
      </c>
      <c r="O124" s="11" t="s">
        <v>35</v>
      </c>
      <c r="P124" s="11" t="s">
        <v>36</v>
      </c>
      <c r="Q124" s="12">
        <v>80</v>
      </c>
      <c r="R124" s="11" t="s">
        <v>25</v>
      </c>
      <c r="S124" s="3" t="s">
        <v>343</v>
      </c>
      <c r="T124" s="3" t="s">
        <v>344</v>
      </c>
    </row>
    <row r="125" spans="1:20" ht="15.75" customHeight="1" x14ac:dyDescent="0.3">
      <c r="A125" s="7" t="s">
        <v>336</v>
      </c>
      <c r="B125" s="8" t="s">
        <v>19</v>
      </c>
      <c r="C125" s="9" t="s">
        <v>167</v>
      </c>
      <c r="D125" s="5">
        <v>21.06</v>
      </c>
      <c r="E125" s="5">
        <v>28.075000000000003</v>
      </c>
      <c r="F125" s="5">
        <v>31.662499999999998</v>
      </c>
      <c r="G125" s="5">
        <v>45.05</v>
      </c>
      <c r="H125" s="5">
        <v>70.349999999999994</v>
      </c>
      <c r="I125" s="5">
        <v>133.22499999999999</v>
      </c>
      <c r="J125" s="10" t="s">
        <v>21</v>
      </c>
      <c r="K125" s="10" t="s">
        <v>21</v>
      </c>
      <c r="L125" s="10" t="s">
        <v>21</v>
      </c>
      <c r="M125" s="10" t="s">
        <v>21</v>
      </c>
      <c r="N125" s="10" t="s">
        <v>21</v>
      </c>
      <c r="O125" s="11" t="s">
        <v>29</v>
      </c>
      <c r="P125" s="11" t="s">
        <v>30</v>
      </c>
      <c r="Q125" s="12">
        <v>80</v>
      </c>
      <c r="R125" s="11" t="s">
        <v>25</v>
      </c>
      <c r="S125" s="3" t="s">
        <v>343</v>
      </c>
      <c r="T125" s="3" t="s">
        <v>344</v>
      </c>
    </row>
    <row r="126" spans="1:20" ht="15.75" customHeight="1" x14ac:dyDescent="0.3">
      <c r="A126" s="7" t="s">
        <v>336</v>
      </c>
      <c r="B126" s="8" t="s">
        <v>19</v>
      </c>
      <c r="C126" s="13" t="s">
        <v>168</v>
      </c>
      <c r="D126" s="14">
        <v>23.17</v>
      </c>
      <c r="E126" s="14">
        <v>60</v>
      </c>
      <c r="F126" s="14">
        <v>60</v>
      </c>
      <c r="G126" s="14">
        <v>64.125</v>
      </c>
      <c r="H126" s="14">
        <v>76.25</v>
      </c>
      <c r="I126" s="14">
        <v>83.75</v>
      </c>
      <c r="J126" s="14">
        <v>92.5</v>
      </c>
      <c r="K126" s="14">
        <v>101.25</v>
      </c>
      <c r="L126" s="14">
        <v>101.25</v>
      </c>
      <c r="M126" s="14">
        <v>117.5</v>
      </c>
      <c r="N126" s="14">
        <v>135</v>
      </c>
      <c r="O126" s="15" t="s">
        <v>29</v>
      </c>
      <c r="P126" s="15" t="s">
        <v>69</v>
      </c>
      <c r="Q126" s="16">
        <v>80</v>
      </c>
      <c r="R126" s="15" t="s">
        <v>25</v>
      </c>
      <c r="S126" s="3" t="s">
        <v>343</v>
      </c>
      <c r="T126" s="3" t="s">
        <v>344</v>
      </c>
    </row>
    <row r="127" spans="1:20" ht="15.75" customHeight="1" x14ac:dyDescent="0.3">
      <c r="A127" s="7" t="s">
        <v>336</v>
      </c>
      <c r="B127" s="8" t="s">
        <v>19</v>
      </c>
      <c r="C127" s="13" t="s">
        <v>169</v>
      </c>
      <c r="D127" s="14">
        <v>28</v>
      </c>
      <c r="E127" s="14">
        <v>33.75</v>
      </c>
      <c r="F127" s="14">
        <v>36.25</v>
      </c>
      <c r="G127" s="14">
        <v>38.75</v>
      </c>
      <c r="H127" s="14">
        <v>41.25</v>
      </c>
      <c r="I127" s="14">
        <v>55</v>
      </c>
      <c r="J127" s="14">
        <v>62.5</v>
      </c>
      <c r="K127" s="14">
        <v>71.25</v>
      </c>
      <c r="L127" s="14">
        <v>73.75</v>
      </c>
      <c r="M127" s="14">
        <v>81.25</v>
      </c>
      <c r="N127" s="14">
        <v>86.25</v>
      </c>
      <c r="O127" s="15" t="s">
        <v>29</v>
      </c>
      <c r="P127" s="15" t="s">
        <v>33</v>
      </c>
      <c r="Q127" s="16">
        <v>80</v>
      </c>
      <c r="R127" s="15" t="s">
        <v>25</v>
      </c>
      <c r="S127" s="3" t="s">
        <v>343</v>
      </c>
      <c r="T127" s="3" t="s">
        <v>344</v>
      </c>
    </row>
    <row r="128" spans="1:20" ht="15.75" customHeight="1" x14ac:dyDescent="0.3">
      <c r="A128" s="7" t="s">
        <v>336</v>
      </c>
      <c r="B128" s="8" t="s">
        <v>19</v>
      </c>
      <c r="C128" s="13" t="s">
        <v>170</v>
      </c>
      <c r="D128" s="14">
        <v>24</v>
      </c>
      <c r="E128" s="14">
        <v>33.75</v>
      </c>
      <c r="F128" s="14">
        <v>36.25</v>
      </c>
      <c r="G128" s="14">
        <v>41.25</v>
      </c>
      <c r="H128" s="14">
        <v>43.75</v>
      </c>
      <c r="I128" s="14">
        <v>46.25</v>
      </c>
      <c r="J128" s="14">
        <v>58.75</v>
      </c>
      <c r="K128" s="14">
        <v>65.625</v>
      </c>
      <c r="L128" s="14">
        <v>92.5</v>
      </c>
      <c r="M128" s="14">
        <v>98.75</v>
      </c>
      <c r="N128" s="14">
        <v>140</v>
      </c>
      <c r="O128" s="15" t="s">
        <v>29</v>
      </c>
      <c r="P128" s="15" t="s">
        <v>33</v>
      </c>
      <c r="Q128" s="16">
        <v>80</v>
      </c>
      <c r="R128" s="15" t="s">
        <v>25</v>
      </c>
      <c r="S128" s="3" t="s">
        <v>343</v>
      </c>
      <c r="T128" s="3" t="s">
        <v>344</v>
      </c>
    </row>
    <row r="129" spans="1:20" ht="15.75" customHeight="1" x14ac:dyDescent="0.3">
      <c r="A129" s="7" t="s">
        <v>336</v>
      </c>
      <c r="B129" s="8" t="s">
        <v>19</v>
      </c>
      <c r="C129" s="9" t="s">
        <v>171</v>
      </c>
      <c r="D129" s="5">
        <v>29</v>
      </c>
      <c r="E129" s="5">
        <v>33.050000000000004</v>
      </c>
      <c r="F129" s="5">
        <v>38.75</v>
      </c>
      <c r="G129" s="5">
        <v>54.875</v>
      </c>
      <c r="H129" s="5">
        <v>78.75</v>
      </c>
      <c r="I129" s="5">
        <v>138.75</v>
      </c>
      <c r="J129" s="10" t="s">
        <v>21</v>
      </c>
      <c r="K129" s="10" t="s">
        <v>21</v>
      </c>
      <c r="L129" s="10" t="s">
        <v>21</v>
      </c>
      <c r="M129" s="10" t="s">
        <v>21</v>
      </c>
      <c r="N129" s="10" t="s">
        <v>21</v>
      </c>
      <c r="O129" s="11" t="s">
        <v>41</v>
      </c>
      <c r="P129" s="11" t="s">
        <v>143</v>
      </c>
      <c r="Q129" s="12">
        <v>80</v>
      </c>
      <c r="R129" s="11" t="s">
        <v>25</v>
      </c>
      <c r="S129" s="3" t="s">
        <v>343</v>
      </c>
      <c r="T129" s="3" t="s">
        <v>344</v>
      </c>
    </row>
    <row r="130" spans="1:20" ht="15.75" customHeight="1" x14ac:dyDescent="0.3">
      <c r="A130" s="7" t="s">
        <v>336</v>
      </c>
      <c r="B130" s="8" t="s">
        <v>19</v>
      </c>
      <c r="C130" s="9" t="s">
        <v>172</v>
      </c>
      <c r="D130" s="5">
        <v>31.72</v>
      </c>
      <c r="E130" s="5">
        <v>42.1875</v>
      </c>
      <c r="F130" s="5">
        <v>47.375</v>
      </c>
      <c r="G130" s="5">
        <v>65.45</v>
      </c>
      <c r="H130" s="5">
        <v>93.375</v>
      </c>
      <c r="I130" s="5">
        <v>201.82500000000002</v>
      </c>
      <c r="J130" s="10" t="s">
        <v>21</v>
      </c>
      <c r="K130" s="10" t="s">
        <v>21</v>
      </c>
      <c r="L130" s="10" t="s">
        <v>21</v>
      </c>
      <c r="M130" s="10" t="s">
        <v>21</v>
      </c>
      <c r="N130" s="10" t="s">
        <v>21</v>
      </c>
      <c r="O130" s="11" t="s">
        <v>35</v>
      </c>
      <c r="P130" s="11" t="s">
        <v>36</v>
      </c>
      <c r="Q130" s="12">
        <v>80</v>
      </c>
      <c r="R130" s="11" t="s">
        <v>25</v>
      </c>
      <c r="S130" s="3" t="s">
        <v>343</v>
      </c>
      <c r="T130" s="3" t="s">
        <v>344</v>
      </c>
    </row>
    <row r="131" spans="1:20" ht="15.75" customHeight="1" x14ac:dyDescent="0.3">
      <c r="A131" s="7" t="s">
        <v>336</v>
      </c>
      <c r="B131" s="8" t="s">
        <v>19</v>
      </c>
      <c r="C131" s="9" t="s">
        <v>173</v>
      </c>
      <c r="D131" s="5">
        <v>31.72</v>
      </c>
      <c r="E131" s="5">
        <v>42.1875</v>
      </c>
      <c r="F131" s="5">
        <v>47.375</v>
      </c>
      <c r="G131" s="5">
        <v>65.45</v>
      </c>
      <c r="H131" s="5">
        <v>93.375</v>
      </c>
      <c r="I131" s="5">
        <v>201.82500000000002</v>
      </c>
      <c r="J131" s="10" t="s">
        <v>21</v>
      </c>
      <c r="K131" s="10" t="s">
        <v>21</v>
      </c>
      <c r="L131" s="10" t="s">
        <v>21</v>
      </c>
      <c r="M131" s="10" t="s">
        <v>21</v>
      </c>
      <c r="N131" s="10" t="s">
        <v>21</v>
      </c>
      <c r="O131" s="11" t="s">
        <v>35</v>
      </c>
      <c r="P131" s="11" t="s">
        <v>36</v>
      </c>
      <c r="Q131" s="12">
        <v>80</v>
      </c>
      <c r="R131" s="11" t="s">
        <v>25</v>
      </c>
      <c r="S131" s="3" t="s">
        <v>343</v>
      </c>
      <c r="T131" s="3" t="s">
        <v>344</v>
      </c>
    </row>
    <row r="132" spans="1:20" ht="15.75" customHeight="1" x14ac:dyDescent="0.3">
      <c r="A132" s="7" t="s">
        <v>336</v>
      </c>
      <c r="B132" s="8" t="s">
        <v>19</v>
      </c>
      <c r="C132" s="9" t="s">
        <v>174</v>
      </c>
      <c r="D132" s="5">
        <v>24.68</v>
      </c>
      <c r="E132" s="5">
        <v>33.050000000000004</v>
      </c>
      <c r="F132" s="5">
        <v>38.75</v>
      </c>
      <c r="G132" s="5">
        <v>54.875</v>
      </c>
      <c r="H132" s="5">
        <v>78.75</v>
      </c>
      <c r="I132" s="5">
        <v>138.75</v>
      </c>
      <c r="J132" s="10" t="s">
        <v>21</v>
      </c>
      <c r="K132" s="10" t="s">
        <v>21</v>
      </c>
      <c r="L132" s="10" t="s">
        <v>21</v>
      </c>
      <c r="M132" s="10" t="s">
        <v>21</v>
      </c>
      <c r="N132" s="10" t="s">
        <v>21</v>
      </c>
      <c r="O132" s="11" t="s">
        <v>61</v>
      </c>
      <c r="P132" s="11" t="s">
        <v>23</v>
      </c>
      <c r="Q132" s="12">
        <v>80</v>
      </c>
      <c r="R132" s="11" t="s">
        <v>25</v>
      </c>
      <c r="S132" s="3" t="s">
        <v>343</v>
      </c>
      <c r="T132" s="3" t="s">
        <v>344</v>
      </c>
    </row>
    <row r="133" spans="1:20" ht="15.75" customHeight="1" x14ac:dyDescent="0.3">
      <c r="A133" s="7" t="s">
        <v>336</v>
      </c>
      <c r="B133" s="8" t="s">
        <v>19</v>
      </c>
      <c r="C133" s="9" t="s">
        <v>175</v>
      </c>
      <c r="D133" s="5">
        <v>31.72</v>
      </c>
      <c r="E133" s="5">
        <v>42.1875</v>
      </c>
      <c r="F133" s="5">
        <v>47.375</v>
      </c>
      <c r="G133" s="5">
        <v>65.45</v>
      </c>
      <c r="H133" s="5">
        <v>93.375</v>
      </c>
      <c r="I133" s="5">
        <v>201.82500000000002</v>
      </c>
      <c r="J133" s="10" t="s">
        <v>21</v>
      </c>
      <c r="K133" s="10" t="s">
        <v>21</v>
      </c>
      <c r="L133" s="10" t="s">
        <v>21</v>
      </c>
      <c r="M133" s="10" t="s">
        <v>21</v>
      </c>
      <c r="N133" s="10" t="s">
        <v>21</v>
      </c>
      <c r="O133" s="11" t="s">
        <v>35</v>
      </c>
      <c r="P133" s="11" t="s">
        <v>36</v>
      </c>
      <c r="Q133" s="12">
        <v>80</v>
      </c>
      <c r="R133" s="11" t="s">
        <v>25</v>
      </c>
      <c r="S133" s="3" t="s">
        <v>343</v>
      </c>
      <c r="T133" s="3" t="s">
        <v>344</v>
      </c>
    </row>
    <row r="134" spans="1:20" ht="15.75" customHeight="1" x14ac:dyDescent="0.3">
      <c r="A134" s="7" t="s">
        <v>336</v>
      </c>
      <c r="B134" s="8" t="s">
        <v>19</v>
      </c>
      <c r="C134" s="9" t="s">
        <v>176</v>
      </c>
      <c r="D134" s="5">
        <v>31.72</v>
      </c>
      <c r="E134" s="5">
        <v>42.1875</v>
      </c>
      <c r="F134" s="5">
        <v>47.375</v>
      </c>
      <c r="G134" s="5">
        <v>65.45</v>
      </c>
      <c r="H134" s="5">
        <v>93.375</v>
      </c>
      <c r="I134" s="5">
        <v>201.82500000000002</v>
      </c>
      <c r="J134" s="10" t="s">
        <v>21</v>
      </c>
      <c r="K134" s="10" t="s">
        <v>21</v>
      </c>
      <c r="L134" s="10" t="s">
        <v>21</v>
      </c>
      <c r="M134" s="10" t="s">
        <v>21</v>
      </c>
      <c r="N134" s="10" t="s">
        <v>21</v>
      </c>
      <c r="O134" s="11" t="s">
        <v>35</v>
      </c>
      <c r="P134" s="11" t="s">
        <v>36</v>
      </c>
      <c r="Q134" s="12">
        <v>80</v>
      </c>
      <c r="R134" s="11" t="s">
        <v>25</v>
      </c>
      <c r="S134" s="3" t="s">
        <v>343</v>
      </c>
      <c r="T134" s="3" t="s">
        <v>344</v>
      </c>
    </row>
    <row r="135" spans="1:20" ht="15.75" customHeight="1" x14ac:dyDescent="0.3">
      <c r="A135" s="7" t="s">
        <v>336</v>
      </c>
      <c r="B135" s="8" t="s">
        <v>19</v>
      </c>
      <c r="C135" s="13" t="s">
        <v>177</v>
      </c>
      <c r="D135" s="14">
        <v>46.6</v>
      </c>
      <c r="E135" s="14">
        <v>54.625</v>
      </c>
      <c r="F135" s="14">
        <v>54.625</v>
      </c>
      <c r="G135" s="14">
        <v>66.125</v>
      </c>
      <c r="H135" s="14">
        <v>69.875</v>
      </c>
      <c r="I135" s="14">
        <v>81.875</v>
      </c>
      <c r="J135" s="14">
        <v>94.125</v>
      </c>
      <c r="K135" s="14">
        <v>103.75</v>
      </c>
      <c r="L135" s="14">
        <v>94.875</v>
      </c>
      <c r="M135" s="14">
        <v>119.125</v>
      </c>
      <c r="N135" s="14">
        <v>145.875</v>
      </c>
      <c r="O135" s="15" t="s">
        <v>178</v>
      </c>
      <c r="P135" s="15" t="s">
        <v>124</v>
      </c>
      <c r="Q135" s="16">
        <v>80</v>
      </c>
      <c r="R135" s="15" t="s">
        <v>25</v>
      </c>
      <c r="S135" s="3" t="s">
        <v>343</v>
      </c>
      <c r="T135" s="3" t="s">
        <v>344</v>
      </c>
    </row>
    <row r="136" spans="1:20" ht="15.75" customHeight="1" x14ac:dyDescent="0.3">
      <c r="A136" s="7" t="s">
        <v>336</v>
      </c>
      <c r="B136" s="8" t="s">
        <v>19</v>
      </c>
      <c r="C136" s="9" t="s">
        <v>179</v>
      </c>
      <c r="D136" s="5">
        <v>31.72</v>
      </c>
      <c r="E136" s="5">
        <v>42.1875</v>
      </c>
      <c r="F136" s="5">
        <v>47.375</v>
      </c>
      <c r="G136" s="5">
        <v>65.45</v>
      </c>
      <c r="H136" s="5">
        <v>93.375</v>
      </c>
      <c r="I136" s="5">
        <v>201.82500000000002</v>
      </c>
      <c r="J136" s="10" t="s">
        <v>21</v>
      </c>
      <c r="K136" s="10" t="s">
        <v>21</v>
      </c>
      <c r="L136" s="10" t="s">
        <v>21</v>
      </c>
      <c r="M136" s="10" t="s">
        <v>21</v>
      </c>
      <c r="N136" s="10" t="s">
        <v>21</v>
      </c>
      <c r="O136" s="11" t="s">
        <v>35</v>
      </c>
      <c r="P136" s="11" t="s">
        <v>36</v>
      </c>
      <c r="Q136" s="12">
        <v>80</v>
      </c>
      <c r="R136" s="11" t="s">
        <v>25</v>
      </c>
      <c r="S136" s="3" t="s">
        <v>343</v>
      </c>
      <c r="T136" s="3" t="s">
        <v>344</v>
      </c>
    </row>
    <row r="137" spans="1:20" ht="15.75" customHeight="1" x14ac:dyDescent="0.3">
      <c r="A137" s="7" t="s">
        <v>336</v>
      </c>
      <c r="B137" s="8" t="s">
        <v>19</v>
      </c>
      <c r="C137" s="9" t="s">
        <v>180</v>
      </c>
      <c r="D137" s="5">
        <v>27.47</v>
      </c>
      <c r="E137" s="5">
        <v>36.125</v>
      </c>
      <c r="F137" s="5">
        <v>40.012499999999996</v>
      </c>
      <c r="G137" s="5">
        <v>55.987499999999997</v>
      </c>
      <c r="H137" s="5">
        <v>76.5</v>
      </c>
      <c r="I137" s="5">
        <v>178.27500000000001</v>
      </c>
      <c r="J137" s="10" t="s">
        <v>21</v>
      </c>
      <c r="K137" s="10" t="s">
        <v>21</v>
      </c>
      <c r="L137" s="10" t="s">
        <v>21</v>
      </c>
      <c r="M137" s="10" t="s">
        <v>21</v>
      </c>
      <c r="N137" s="10" t="s">
        <v>21</v>
      </c>
      <c r="O137" s="11" t="s">
        <v>41</v>
      </c>
      <c r="P137" s="11" t="s">
        <v>23</v>
      </c>
      <c r="Q137" s="12">
        <v>80</v>
      </c>
      <c r="R137" s="11" t="s">
        <v>25</v>
      </c>
      <c r="S137" s="3" t="s">
        <v>343</v>
      </c>
      <c r="T137" s="3" t="s">
        <v>344</v>
      </c>
    </row>
    <row r="138" spans="1:20" ht="15.75" customHeight="1" x14ac:dyDescent="0.3">
      <c r="A138" s="7" t="s">
        <v>336</v>
      </c>
      <c r="B138" s="8" t="s">
        <v>19</v>
      </c>
      <c r="C138" s="9" t="s">
        <v>181</v>
      </c>
      <c r="D138" s="5">
        <v>31.72</v>
      </c>
      <c r="E138" s="5">
        <v>42.1875</v>
      </c>
      <c r="F138" s="5">
        <v>47.375</v>
      </c>
      <c r="G138" s="5">
        <v>65.45</v>
      </c>
      <c r="H138" s="5">
        <v>93.375</v>
      </c>
      <c r="I138" s="5">
        <v>201.82500000000002</v>
      </c>
      <c r="J138" s="10" t="s">
        <v>21</v>
      </c>
      <c r="K138" s="10" t="s">
        <v>21</v>
      </c>
      <c r="L138" s="10" t="s">
        <v>21</v>
      </c>
      <c r="M138" s="10" t="s">
        <v>21</v>
      </c>
      <c r="N138" s="10" t="s">
        <v>21</v>
      </c>
      <c r="O138" s="11" t="s">
        <v>35</v>
      </c>
      <c r="P138" s="11" t="s">
        <v>36</v>
      </c>
      <c r="Q138" s="12">
        <v>80</v>
      </c>
      <c r="R138" s="11" t="s">
        <v>25</v>
      </c>
      <c r="S138" s="3" t="s">
        <v>343</v>
      </c>
      <c r="T138" s="3" t="s">
        <v>344</v>
      </c>
    </row>
    <row r="139" spans="1:20" ht="15.75" customHeight="1" x14ac:dyDescent="0.3">
      <c r="A139" s="7" t="s">
        <v>336</v>
      </c>
      <c r="B139" s="8" t="s">
        <v>19</v>
      </c>
      <c r="C139" s="9" t="s">
        <v>182</v>
      </c>
      <c r="D139" s="5">
        <v>31.72</v>
      </c>
      <c r="E139" s="5">
        <v>42.1875</v>
      </c>
      <c r="F139" s="5">
        <v>47.375</v>
      </c>
      <c r="G139" s="5">
        <v>65.45</v>
      </c>
      <c r="H139" s="5">
        <v>93.375</v>
      </c>
      <c r="I139" s="5">
        <v>201.82500000000002</v>
      </c>
      <c r="J139" s="10" t="s">
        <v>21</v>
      </c>
      <c r="K139" s="10" t="s">
        <v>21</v>
      </c>
      <c r="L139" s="10" t="s">
        <v>21</v>
      </c>
      <c r="M139" s="10" t="s">
        <v>21</v>
      </c>
      <c r="N139" s="10" t="s">
        <v>21</v>
      </c>
      <c r="O139" s="11" t="s">
        <v>35</v>
      </c>
      <c r="P139" s="11" t="s">
        <v>36</v>
      </c>
      <c r="Q139" s="12">
        <v>80</v>
      </c>
      <c r="R139" s="11" t="s">
        <v>25</v>
      </c>
      <c r="S139" s="3" t="s">
        <v>343</v>
      </c>
      <c r="T139" s="3" t="s">
        <v>344</v>
      </c>
    </row>
    <row r="140" spans="1:20" ht="15.75" customHeight="1" x14ac:dyDescent="0.3">
      <c r="A140" s="7" t="s">
        <v>336</v>
      </c>
      <c r="B140" s="8" t="s">
        <v>19</v>
      </c>
      <c r="C140" s="9" t="s">
        <v>183</v>
      </c>
      <c r="D140" s="10" t="s">
        <v>21</v>
      </c>
      <c r="E140" s="10" t="s">
        <v>21</v>
      </c>
      <c r="F140" s="10" t="s">
        <v>21</v>
      </c>
      <c r="G140" s="10" t="s">
        <v>21</v>
      </c>
      <c r="H140" s="10" t="s">
        <v>21</v>
      </c>
      <c r="I140" s="10" t="s">
        <v>21</v>
      </c>
      <c r="J140" s="10" t="s">
        <v>21</v>
      </c>
      <c r="K140" s="10" t="s">
        <v>21</v>
      </c>
      <c r="L140" s="10" t="s">
        <v>21</v>
      </c>
      <c r="M140" s="10" t="s">
        <v>21</v>
      </c>
      <c r="N140" s="10" t="s">
        <v>21</v>
      </c>
      <c r="O140" s="11"/>
      <c r="P140" s="11"/>
      <c r="Q140" s="11"/>
      <c r="R140" s="11"/>
      <c r="S140" s="3" t="s">
        <v>343</v>
      </c>
      <c r="T140" s="3" t="s">
        <v>344</v>
      </c>
    </row>
    <row r="141" spans="1:20" ht="15.75" customHeight="1" x14ac:dyDescent="0.3">
      <c r="A141" s="7" t="s">
        <v>336</v>
      </c>
      <c r="B141" s="8" t="s">
        <v>19</v>
      </c>
      <c r="C141" s="9" t="s">
        <v>184</v>
      </c>
      <c r="D141" s="5">
        <v>27.4</v>
      </c>
      <c r="E141" s="5">
        <v>36.125</v>
      </c>
      <c r="F141" s="5">
        <v>40.012499999999996</v>
      </c>
      <c r="G141" s="5">
        <v>55.987499999999997</v>
      </c>
      <c r="H141" s="5">
        <v>76.5</v>
      </c>
      <c r="I141" s="5">
        <v>178.27500000000001</v>
      </c>
      <c r="J141" s="10" t="s">
        <v>21</v>
      </c>
      <c r="K141" s="10" t="s">
        <v>21</v>
      </c>
      <c r="L141" s="10" t="s">
        <v>21</v>
      </c>
      <c r="M141" s="10" t="s">
        <v>21</v>
      </c>
      <c r="N141" s="10" t="s">
        <v>21</v>
      </c>
      <c r="O141" s="11" t="s">
        <v>61</v>
      </c>
      <c r="P141" s="11" t="s">
        <v>23</v>
      </c>
      <c r="Q141" s="12">
        <v>80</v>
      </c>
      <c r="R141" s="11"/>
      <c r="S141" s="3" t="s">
        <v>343</v>
      </c>
      <c r="T141" s="3" t="s">
        <v>344</v>
      </c>
    </row>
    <row r="142" spans="1:20" ht="15.75" customHeight="1" x14ac:dyDescent="0.3">
      <c r="A142" s="7" t="s">
        <v>336</v>
      </c>
      <c r="B142" s="8" t="s">
        <v>19</v>
      </c>
      <c r="C142" s="9" t="s">
        <v>185</v>
      </c>
      <c r="D142" s="5">
        <v>31.72</v>
      </c>
      <c r="E142" s="5">
        <v>42.1875</v>
      </c>
      <c r="F142" s="5">
        <v>47.375</v>
      </c>
      <c r="G142" s="5">
        <v>65.45</v>
      </c>
      <c r="H142" s="5">
        <v>93.375</v>
      </c>
      <c r="I142" s="5">
        <v>201.82500000000002</v>
      </c>
      <c r="J142" s="10" t="s">
        <v>21</v>
      </c>
      <c r="K142" s="10" t="s">
        <v>21</v>
      </c>
      <c r="L142" s="10" t="s">
        <v>21</v>
      </c>
      <c r="M142" s="10" t="s">
        <v>21</v>
      </c>
      <c r="N142" s="10" t="s">
        <v>21</v>
      </c>
      <c r="O142" s="11" t="s">
        <v>35</v>
      </c>
      <c r="P142" s="11" t="s">
        <v>36</v>
      </c>
      <c r="Q142" s="12">
        <v>80</v>
      </c>
      <c r="R142" s="11" t="s">
        <v>25</v>
      </c>
      <c r="S142" s="3" t="s">
        <v>343</v>
      </c>
      <c r="T142" s="3" t="s">
        <v>344</v>
      </c>
    </row>
    <row r="143" spans="1:20" ht="15.75" customHeight="1" x14ac:dyDescent="0.3">
      <c r="A143" s="7" t="s">
        <v>336</v>
      </c>
      <c r="B143" s="8" t="s">
        <v>19</v>
      </c>
      <c r="C143" s="9" t="s">
        <v>186</v>
      </c>
      <c r="D143" s="5">
        <v>35.64</v>
      </c>
      <c r="E143" s="5">
        <v>45.75</v>
      </c>
      <c r="F143" s="5">
        <v>44.5</v>
      </c>
      <c r="G143" s="5">
        <v>53.75</v>
      </c>
      <c r="H143" s="5">
        <v>56.75</v>
      </c>
      <c r="I143" s="5">
        <v>66.625</v>
      </c>
      <c r="J143" s="10" t="s">
        <v>21</v>
      </c>
      <c r="K143" s="10" t="s">
        <v>21</v>
      </c>
      <c r="L143" s="10" t="s">
        <v>21</v>
      </c>
      <c r="M143" s="10" t="s">
        <v>21</v>
      </c>
      <c r="N143" s="10" t="s">
        <v>21</v>
      </c>
      <c r="O143" s="11" t="s">
        <v>61</v>
      </c>
      <c r="P143" s="11" t="s">
        <v>187</v>
      </c>
      <c r="Q143" s="12">
        <v>80</v>
      </c>
      <c r="R143" s="11" t="s">
        <v>25</v>
      </c>
      <c r="S143" s="3" t="s">
        <v>343</v>
      </c>
      <c r="T143" s="3" t="s">
        <v>344</v>
      </c>
    </row>
    <row r="144" spans="1:20" ht="15.75" customHeight="1" x14ac:dyDescent="0.3">
      <c r="A144" s="7" t="s">
        <v>336</v>
      </c>
      <c r="B144" s="8" t="s">
        <v>19</v>
      </c>
      <c r="C144" s="13" t="s">
        <v>188</v>
      </c>
      <c r="D144" s="14">
        <v>17.399999999999999</v>
      </c>
      <c r="E144" s="14">
        <v>19.25</v>
      </c>
      <c r="F144" s="14">
        <v>20</v>
      </c>
      <c r="G144" s="14">
        <v>21.5</v>
      </c>
      <c r="H144" s="14">
        <v>25.625</v>
      </c>
      <c r="I144" s="14">
        <v>31.875</v>
      </c>
      <c r="J144" s="14">
        <v>36.875</v>
      </c>
      <c r="K144" s="14">
        <v>41.5</v>
      </c>
      <c r="L144" s="14">
        <v>50.625</v>
      </c>
      <c r="M144" s="14">
        <v>61.875</v>
      </c>
      <c r="N144" s="14">
        <v>72.125</v>
      </c>
      <c r="O144" s="15" t="s">
        <v>189</v>
      </c>
      <c r="P144" s="15" t="s">
        <v>61</v>
      </c>
      <c r="Q144" s="16">
        <v>80</v>
      </c>
      <c r="R144" s="15" t="s">
        <v>25</v>
      </c>
      <c r="S144" s="3" t="s">
        <v>343</v>
      </c>
      <c r="T144" s="3" t="s">
        <v>344</v>
      </c>
    </row>
    <row r="145" spans="1:20" ht="15.75" customHeight="1" x14ac:dyDescent="0.3">
      <c r="A145" s="7" t="s">
        <v>336</v>
      </c>
      <c r="B145" s="8" t="s">
        <v>19</v>
      </c>
      <c r="C145" s="9" t="s">
        <v>190</v>
      </c>
      <c r="D145" s="5">
        <v>31.72</v>
      </c>
      <c r="E145" s="5">
        <v>42.1875</v>
      </c>
      <c r="F145" s="5">
        <v>47.375</v>
      </c>
      <c r="G145" s="5">
        <v>65.45</v>
      </c>
      <c r="H145" s="5">
        <v>93.375</v>
      </c>
      <c r="I145" s="5">
        <v>201.82500000000002</v>
      </c>
      <c r="J145" s="10" t="s">
        <v>21</v>
      </c>
      <c r="K145" s="10" t="s">
        <v>21</v>
      </c>
      <c r="L145" s="10" t="s">
        <v>21</v>
      </c>
      <c r="M145" s="10" t="s">
        <v>21</v>
      </c>
      <c r="N145" s="10" t="s">
        <v>21</v>
      </c>
      <c r="O145" s="11" t="s">
        <v>35</v>
      </c>
      <c r="P145" s="11" t="s">
        <v>36</v>
      </c>
      <c r="Q145" s="12">
        <v>80</v>
      </c>
      <c r="R145" s="11" t="s">
        <v>25</v>
      </c>
      <c r="S145" s="3" t="s">
        <v>343</v>
      </c>
      <c r="T145" s="3" t="s">
        <v>344</v>
      </c>
    </row>
    <row r="146" spans="1:20" ht="15.75" customHeight="1" x14ac:dyDescent="0.3">
      <c r="A146" s="7" t="s">
        <v>336</v>
      </c>
      <c r="B146" s="8" t="s">
        <v>19</v>
      </c>
      <c r="C146" s="9" t="s">
        <v>191</v>
      </c>
      <c r="D146" s="5">
        <v>35.64</v>
      </c>
      <c r="E146" s="5">
        <v>44.375</v>
      </c>
      <c r="F146" s="5">
        <v>47.375</v>
      </c>
      <c r="G146" s="5">
        <v>56.875</v>
      </c>
      <c r="H146" s="5">
        <v>61.25</v>
      </c>
      <c r="I146" s="5">
        <v>68.75</v>
      </c>
      <c r="J146" s="10" t="s">
        <v>21</v>
      </c>
      <c r="K146" s="10" t="s">
        <v>21</v>
      </c>
      <c r="L146" s="10" t="s">
        <v>21</v>
      </c>
      <c r="M146" s="10" t="s">
        <v>21</v>
      </c>
      <c r="N146" s="10" t="s">
        <v>21</v>
      </c>
      <c r="O146" s="11" t="s">
        <v>41</v>
      </c>
      <c r="P146" s="11" t="s">
        <v>192</v>
      </c>
      <c r="Q146" s="12">
        <v>80</v>
      </c>
      <c r="R146" s="11" t="s">
        <v>25</v>
      </c>
      <c r="S146" s="3" t="s">
        <v>343</v>
      </c>
      <c r="T146" s="3" t="s">
        <v>344</v>
      </c>
    </row>
    <row r="147" spans="1:20" ht="15.75" customHeight="1" x14ac:dyDescent="0.3">
      <c r="A147" s="7" t="s">
        <v>336</v>
      </c>
      <c r="B147" s="8" t="s">
        <v>19</v>
      </c>
      <c r="C147" s="9" t="s">
        <v>193</v>
      </c>
      <c r="D147" s="5">
        <v>27.47</v>
      </c>
      <c r="E147" s="5">
        <v>36.125</v>
      </c>
      <c r="F147" s="5">
        <v>40.012499999999996</v>
      </c>
      <c r="G147" s="5">
        <v>55.987499999999997</v>
      </c>
      <c r="H147" s="5">
        <v>76.5</v>
      </c>
      <c r="I147" s="5">
        <v>178.27500000000001</v>
      </c>
      <c r="J147" s="10" t="s">
        <v>21</v>
      </c>
      <c r="K147" s="10" t="s">
        <v>21</v>
      </c>
      <c r="L147" s="10" t="s">
        <v>21</v>
      </c>
      <c r="M147" s="10" t="s">
        <v>21</v>
      </c>
      <c r="N147" s="10" t="s">
        <v>21</v>
      </c>
      <c r="O147" s="11" t="s">
        <v>41</v>
      </c>
      <c r="P147" s="11" t="s">
        <v>23</v>
      </c>
      <c r="Q147" s="12">
        <v>80</v>
      </c>
      <c r="R147" s="11" t="s">
        <v>25</v>
      </c>
      <c r="S147" s="3" t="s">
        <v>343</v>
      </c>
      <c r="T147" s="3" t="s">
        <v>344</v>
      </c>
    </row>
    <row r="148" spans="1:20" ht="15.75" customHeight="1" x14ac:dyDescent="0.3">
      <c r="A148" s="7" t="s">
        <v>336</v>
      </c>
      <c r="B148" s="8" t="s">
        <v>19</v>
      </c>
      <c r="C148" s="9" t="s">
        <v>194</v>
      </c>
      <c r="D148" s="5">
        <v>21.06</v>
      </c>
      <c r="E148" s="5">
        <v>28.075000000000003</v>
      </c>
      <c r="F148" s="5">
        <v>31.662499999999998</v>
      </c>
      <c r="G148" s="5">
        <v>45.05</v>
      </c>
      <c r="H148" s="5">
        <v>70.349999999999994</v>
      </c>
      <c r="I148" s="5">
        <v>133.22499999999999</v>
      </c>
      <c r="J148" s="10" t="s">
        <v>21</v>
      </c>
      <c r="K148" s="10" t="s">
        <v>21</v>
      </c>
      <c r="L148" s="10" t="s">
        <v>21</v>
      </c>
      <c r="M148" s="10" t="s">
        <v>21</v>
      </c>
      <c r="N148" s="10" t="s">
        <v>21</v>
      </c>
      <c r="O148" s="11" t="s">
        <v>29</v>
      </c>
      <c r="P148" s="11" t="s">
        <v>30</v>
      </c>
      <c r="Q148" s="12">
        <v>80</v>
      </c>
      <c r="R148" s="11" t="s">
        <v>25</v>
      </c>
      <c r="S148" s="3" t="s">
        <v>343</v>
      </c>
      <c r="T148" s="3" t="s">
        <v>344</v>
      </c>
    </row>
    <row r="149" spans="1:20" ht="15.75" customHeight="1" x14ac:dyDescent="0.3">
      <c r="A149" s="7" t="s">
        <v>336</v>
      </c>
      <c r="B149" s="8" t="s">
        <v>19</v>
      </c>
      <c r="C149" s="9" t="s">
        <v>195</v>
      </c>
      <c r="D149" s="5">
        <v>31.72</v>
      </c>
      <c r="E149" s="5">
        <v>42.1875</v>
      </c>
      <c r="F149" s="5">
        <v>47.375</v>
      </c>
      <c r="G149" s="5">
        <v>65.45</v>
      </c>
      <c r="H149" s="5">
        <v>93.375</v>
      </c>
      <c r="I149" s="5">
        <v>201.82500000000002</v>
      </c>
      <c r="J149" s="10" t="s">
        <v>21</v>
      </c>
      <c r="K149" s="10" t="s">
        <v>21</v>
      </c>
      <c r="L149" s="10" t="s">
        <v>21</v>
      </c>
      <c r="M149" s="10" t="s">
        <v>21</v>
      </c>
      <c r="N149" s="10" t="s">
        <v>21</v>
      </c>
      <c r="O149" s="11" t="s">
        <v>35</v>
      </c>
      <c r="P149" s="11" t="s">
        <v>36</v>
      </c>
      <c r="Q149" s="12">
        <v>80</v>
      </c>
      <c r="R149" s="11" t="s">
        <v>25</v>
      </c>
      <c r="S149" s="3" t="s">
        <v>343</v>
      </c>
      <c r="T149" s="3" t="s">
        <v>344</v>
      </c>
    </row>
    <row r="150" spans="1:20" ht="15.75" customHeight="1" x14ac:dyDescent="0.3">
      <c r="A150" s="7" t="s">
        <v>336</v>
      </c>
      <c r="B150" s="8" t="s">
        <v>19</v>
      </c>
      <c r="C150" s="9" t="s">
        <v>196</v>
      </c>
      <c r="D150" s="10" t="s">
        <v>21</v>
      </c>
      <c r="E150" s="10" t="s">
        <v>21</v>
      </c>
      <c r="F150" s="10" t="s">
        <v>21</v>
      </c>
      <c r="G150" s="10" t="s">
        <v>21</v>
      </c>
      <c r="H150" s="10" t="s">
        <v>21</v>
      </c>
      <c r="I150" s="10" t="s">
        <v>21</v>
      </c>
      <c r="J150" s="10" t="s">
        <v>21</v>
      </c>
      <c r="K150" s="10" t="s">
        <v>21</v>
      </c>
      <c r="L150" s="10" t="s">
        <v>21</v>
      </c>
      <c r="M150" s="10" t="s">
        <v>21</v>
      </c>
      <c r="N150" s="10" t="s">
        <v>21</v>
      </c>
      <c r="O150" s="11"/>
      <c r="P150" s="11"/>
      <c r="Q150" s="11"/>
      <c r="R150" s="11"/>
      <c r="S150" s="3" t="s">
        <v>343</v>
      </c>
      <c r="T150" s="3" t="s">
        <v>344</v>
      </c>
    </row>
    <row r="151" spans="1:20" ht="15.75" customHeight="1" x14ac:dyDescent="0.3">
      <c r="A151" s="7" t="s">
        <v>336</v>
      </c>
      <c r="B151" s="8" t="s">
        <v>19</v>
      </c>
      <c r="C151" s="9" t="s">
        <v>197</v>
      </c>
      <c r="D151" s="5">
        <v>31.72</v>
      </c>
      <c r="E151" s="5">
        <v>42.1875</v>
      </c>
      <c r="F151" s="5">
        <v>47.375</v>
      </c>
      <c r="G151" s="5">
        <v>65.45</v>
      </c>
      <c r="H151" s="5">
        <v>93.375</v>
      </c>
      <c r="I151" s="5">
        <v>201.82500000000002</v>
      </c>
      <c r="J151" s="10" t="s">
        <v>21</v>
      </c>
      <c r="K151" s="10" t="s">
        <v>21</v>
      </c>
      <c r="L151" s="10" t="s">
        <v>21</v>
      </c>
      <c r="M151" s="10" t="s">
        <v>21</v>
      </c>
      <c r="N151" s="10" t="s">
        <v>21</v>
      </c>
      <c r="O151" s="11" t="s">
        <v>35</v>
      </c>
      <c r="P151" s="11" t="s">
        <v>36</v>
      </c>
      <c r="Q151" s="12">
        <v>80</v>
      </c>
      <c r="R151" s="11" t="s">
        <v>25</v>
      </c>
      <c r="S151" s="3" t="s">
        <v>343</v>
      </c>
      <c r="T151" s="3" t="s">
        <v>344</v>
      </c>
    </row>
    <row r="152" spans="1:20" ht="15.75" customHeight="1" x14ac:dyDescent="0.3">
      <c r="A152" s="7" t="s">
        <v>336</v>
      </c>
      <c r="B152" s="8" t="s">
        <v>19</v>
      </c>
      <c r="C152" s="9" t="s">
        <v>198</v>
      </c>
      <c r="D152" s="10" t="s">
        <v>21</v>
      </c>
      <c r="E152" s="10" t="s">
        <v>21</v>
      </c>
      <c r="F152" s="10" t="s">
        <v>21</v>
      </c>
      <c r="G152" s="10" t="s">
        <v>21</v>
      </c>
      <c r="H152" s="10" t="s">
        <v>21</v>
      </c>
      <c r="I152" s="10" t="s">
        <v>21</v>
      </c>
      <c r="J152" s="10" t="s">
        <v>21</v>
      </c>
      <c r="K152" s="10" t="s">
        <v>21</v>
      </c>
      <c r="L152" s="10" t="s">
        <v>21</v>
      </c>
      <c r="M152" s="10" t="s">
        <v>21</v>
      </c>
      <c r="N152" s="10" t="s">
        <v>21</v>
      </c>
      <c r="O152" s="11"/>
      <c r="P152" s="11"/>
      <c r="Q152" s="11"/>
      <c r="R152" s="11"/>
      <c r="S152" s="3" t="s">
        <v>343</v>
      </c>
      <c r="T152" s="3" t="s">
        <v>344</v>
      </c>
    </row>
    <row r="153" spans="1:20" ht="15.75" customHeight="1" x14ac:dyDescent="0.3">
      <c r="A153" s="7" t="s">
        <v>336</v>
      </c>
      <c r="B153" s="8" t="s">
        <v>19</v>
      </c>
      <c r="C153" s="9" t="s">
        <v>199</v>
      </c>
      <c r="D153" s="5">
        <v>21.06</v>
      </c>
      <c r="E153" s="5">
        <v>28.075000000000003</v>
      </c>
      <c r="F153" s="5">
        <v>31.662499999999998</v>
      </c>
      <c r="G153" s="5">
        <v>45.05</v>
      </c>
      <c r="H153" s="5">
        <v>70.349999999999994</v>
      </c>
      <c r="I153" s="5">
        <v>133.22499999999999</v>
      </c>
      <c r="J153" s="10" t="s">
        <v>21</v>
      </c>
      <c r="K153" s="10" t="s">
        <v>21</v>
      </c>
      <c r="L153" s="10" t="s">
        <v>21</v>
      </c>
      <c r="M153" s="10" t="s">
        <v>21</v>
      </c>
      <c r="N153" s="10" t="s">
        <v>21</v>
      </c>
      <c r="O153" s="11" t="s">
        <v>29</v>
      </c>
      <c r="P153" s="11" t="s">
        <v>30</v>
      </c>
      <c r="Q153" s="12">
        <v>80</v>
      </c>
      <c r="R153" s="11" t="s">
        <v>25</v>
      </c>
      <c r="S153" s="3" t="s">
        <v>343</v>
      </c>
      <c r="T153" s="3" t="s">
        <v>344</v>
      </c>
    </row>
    <row r="154" spans="1:20" ht="15.75" customHeight="1" x14ac:dyDescent="0.3">
      <c r="A154" s="7" t="s">
        <v>336</v>
      </c>
      <c r="B154" s="8" t="s">
        <v>19</v>
      </c>
      <c r="C154" s="13" t="s">
        <v>200</v>
      </c>
      <c r="D154" s="14">
        <v>21.4</v>
      </c>
      <c r="E154" s="14">
        <v>23.875</v>
      </c>
      <c r="F154" s="14">
        <v>26.25</v>
      </c>
      <c r="G154" s="14">
        <v>28.75</v>
      </c>
      <c r="H154" s="14">
        <v>31.25</v>
      </c>
      <c r="I154" s="14">
        <v>36.25</v>
      </c>
      <c r="J154" s="14">
        <v>45</v>
      </c>
      <c r="K154" s="14">
        <v>51.25</v>
      </c>
      <c r="L154" s="14">
        <v>78.75</v>
      </c>
      <c r="M154" s="14">
        <v>86.25</v>
      </c>
      <c r="N154" s="14">
        <v>91.25</v>
      </c>
      <c r="O154" s="15" t="s">
        <v>178</v>
      </c>
      <c r="P154" s="15" t="s">
        <v>201</v>
      </c>
      <c r="Q154" s="16">
        <v>80</v>
      </c>
      <c r="R154" s="15" t="s">
        <v>25</v>
      </c>
      <c r="S154" s="3" t="s">
        <v>343</v>
      </c>
      <c r="T154" s="3" t="s">
        <v>344</v>
      </c>
    </row>
    <row r="155" spans="1:20" ht="15.75" customHeight="1" x14ac:dyDescent="0.3">
      <c r="A155" s="7" t="s">
        <v>336</v>
      </c>
      <c r="B155" s="8" t="s">
        <v>19</v>
      </c>
      <c r="C155" s="9" t="s">
        <v>202</v>
      </c>
      <c r="D155" s="5">
        <v>31.72</v>
      </c>
      <c r="E155" s="5">
        <v>42.1875</v>
      </c>
      <c r="F155" s="5">
        <v>47.375</v>
      </c>
      <c r="G155" s="5">
        <v>65.45</v>
      </c>
      <c r="H155" s="5">
        <v>93.375</v>
      </c>
      <c r="I155" s="5">
        <v>201.82500000000002</v>
      </c>
      <c r="J155" s="10" t="s">
        <v>21</v>
      </c>
      <c r="K155" s="10" t="s">
        <v>21</v>
      </c>
      <c r="L155" s="10" t="s">
        <v>21</v>
      </c>
      <c r="M155" s="10" t="s">
        <v>21</v>
      </c>
      <c r="N155" s="10" t="s">
        <v>21</v>
      </c>
      <c r="O155" s="11" t="s">
        <v>35</v>
      </c>
      <c r="P155" s="11" t="s">
        <v>36</v>
      </c>
      <c r="Q155" s="12">
        <v>80</v>
      </c>
      <c r="R155" s="11" t="s">
        <v>25</v>
      </c>
      <c r="S155" s="3" t="s">
        <v>343</v>
      </c>
      <c r="T155" s="3" t="s">
        <v>344</v>
      </c>
    </row>
    <row r="156" spans="1:20" ht="15.75" customHeight="1" x14ac:dyDescent="0.3">
      <c r="A156" s="7" t="s">
        <v>336</v>
      </c>
      <c r="B156" s="8" t="s">
        <v>19</v>
      </c>
      <c r="C156" s="9" t="s">
        <v>203</v>
      </c>
      <c r="D156" s="5">
        <v>47.67</v>
      </c>
      <c r="E156" s="5">
        <v>63.75</v>
      </c>
      <c r="F156" s="5">
        <v>72.325000000000003</v>
      </c>
      <c r="G156" s="5">
        <v>107.77500000000001</v>
      </c>
      <c r="H156" s="5">
        <v>153.15</v>
      </c>
      <c r="I156" s="5">
        <v>235</v>
      </c>
      <c r="J156" s="10" t="s">
        <v>21</v>
      </c>
      <c r="K156" s="10" t="s">
        <v>21</v>
      </c>
      <c r="L156" s="10" t="s">
        <v>21</v>
      </c>
      <c r="M156" s="10" t="s">
        <v>21</v>
      </c>
      <c r="N156" s="10" t="s">
        <v>21</v>
      </c>
      <c r="O156" s="11" t="s">
        <v>41</v>
      </c>
      <c r="P156" s="11" t="s">
        <v>23</v>
      </c>
      <c r="Q156" s="12">
        <v>80</v>
      </c>
      <c r="R156" s="11" t="s">
        <v>25</v>
      </c>
      <c r="S156" s="3" t="s">
        <v>343</v>
      </c>
      <c r="T156" s="3" t="s">
        <v>344</v>
      </c>
    </row>
    <row r="157" spans="1:20" ht="15.75" customHeight="1" x14ac:dyDescent="0.3">
      <c r="A157" s="7" t="s">
        <v>336</v>
      </c>
      <c r="B157" s="8" t="s">
        <v>19</v>
      </c>
      <c r="C157" s="9" t="s">
        <v>204</v>
      </c>
      <c r="D157" s="5">
        <v>27.47</v>
      </c>
      <c r="E157" s="5">
        <v>36.125</v>
      </c>
      <c r="F157" s="5">
        <v>40.012499999999996</v>
      </c>
      <c r="G157" s="5">
        <v>55.987499999999997</v>
      </c>
      <c r="H157" s="5">
        <v>76.5</v>
      </c>
      <c r="I157" s="5">
        <v>178.27500000000001</v>
      </c>
      <c r="J157" s="10" t="s">
        <v>21</v>
      </c>
      <c r="K157" s="10" t="s">
        <v>21</v>
      </c>
      <c r="L157" s="10" t="s">
        <v>21</v>
      </c>
      <c r="M157" s="10" t="s">
        <v>21</v>
      </c>
      <c r="N157" s="10" t="s">
        <v>21</v>
      </c>
      <c r="O157" s="11" t="s">
        <v>41</v>
      </c>
      <c r="P157" s="11" t="s">
        <v>23</v>
      </c>
      <c r="Q157" s="12">
        <v>80</v>
      </c>
      <c r="R157" s="11" t="s">
        <v>25</v>
      </c>
      <c r="S157" s="3" t="s">
        <v>343</v>
      </c>
      <c r="T157" s="3" t="s">
        <v>344</v>
      </c>
    </row>
    <row r="158" spans="1:20" ht="15.75" customHeight="1" x14ac:dyDescent="0.3">
      <c r="A158" s="7" t="s">
        <v>336</v>
      </c>
      <c r="B158" s="8" t="s">
        <v>19</v>
      </c>
      <c r="C158" s="9" t="s">
        <v>205</v>
      </c>
      <c r="D158" s="5">
        <v>31.72</v>
      </c>
      <c r="E158" s="5">
        <v>42.1875</v>
      </c>
      <c r="F158" s="5">
        <v>47.375</v>
      </c>
      <c r="G158" s="5">
        <v>65.45</v>
      </c>
      <c r="H158" s="5">
        <v>93.375</v>
      </c>
      <c r="I158" s="5">
        <v>201.82500000000002</v>
      </c>
      <c r="J158" s="10" t="s">
        <v>21</v>
      </c>
      <c r="K158" s="10" t="s">
        <v>21</v>
      </c>
      <c r="L158" s="10" t="s">
        <v>21</v>
      </c>
      <c r="M158" s="10" t="s">
        <v>21</v>
      </c>
      <c r="N158" s="10" t="s">
        <v>21</v>
      </c>
      <c r="O158" s="11" t="s">
        <v>35</v>
      </c>
      <c r="P158" s="11" t="s">
        <v>36</v>
      </c>
      <c r="Q158" s="12">
        <v>80</v>
      </c>
      <c r="R158" s="11" t="s">
        <v>25</v>
      </c>
      <c r="S158" s="3" t="s">
        <v>343</v>
      </c>
      <c r="T158" s="3" t="s">
        <v>344</v>
      </c>
    </row>
    <row r="159" spans="1:20" ht="15.75" customHeight="1" x14ac:dyDescent="0.3">
      <c r="A159" s="7" t="s">
        <v>336</v>
      </c>
      <c r="B159" s="8" t="s">
        <v>19</v>
      </c>
      <c r="C159" s="9" t="s">
        <v>206</v>
      </c>
      <c r="D159" s="5">
        <v>31.72</v>
      </c>
      <c r="E159" s="5">
        <v>42.1875</v>
      </c>
      <c r="F159" s="5">
        <v>47.375</v>
      </c>
      <c r="G159" s="5">
        <v>65.45</v>
      </c>
      <c r="H159" s="5">
        <v>93.375</v>
      </c>
      <c r="I159" s="5">
        <v>201.82500000000002</v>
      </c>
      <c r="J159" s="10" t="s">
        <v>21</v>
      </c>
      <c r="K159" s="10" t="s">
        <v>21</v>
      </c>
      <c r="L159" s="10" t="s">
        <v>21</v>
      </c>
      <c r="M159" s="10" t="s">
        <v>21</v>
      </c>
      <c r="N159" s="10" t="s">
        <v>21</v>
      </c>
      <c r="O159" s="11" t="s">
        <v>35</v>
      </c>
      <c r="P159" s="11" t="s">
        <v>36</v>
      </c>
      <c r="Q159" s="12">
        <v>80</v>
      </c>
      <c r="R159" s="11" t="s">
        <v>25</v>
      </c>
      <c r="S159" s="3" t="s">
        <v>343</v>
      </c>
      <c r="T159" s="3" t="s">
        <v>344</v>
      </c>
    </row>
    <row r="160" spans="1:20" ht="15.75" customHeight="1" x14ac:dyDescent="0.3">
      <c r="A160" s="7" t="s">
        <v>336</v>
      </c>
      <c r="B160" s="8" t="s">
        <v>19</v>
      </c>
      <c r="C160" s="9" t="s">
        <v>207</v>
      </c>
      <c r="D160" s="10" t="s">
        <v>21</v>
      </c>
      <c r="E160" s="10" t="s">
        <v>21</v>
      </c>
      <c r="F160" s="10" t="s">
        <v>21</v>
      </c>
      <c r="G160" s="10" t="s">
        <v>21</v>
      </c>
      <c r="H160" s="10" t="s">
        <v>21</v>
      </c>
      <c r="I160" s="10" t="s">
        <v>21</v>
      </c>
      <c r="J160" s="10" t="s">
        <v>21</v>
      </c>
      <c r="K160" s="10" t="s">
        <v>21</v>
      </c>
      <c r="L160" s="10" t="s">
        <v>21</v>
      </c>
      <c r="M160" s="10" t="s">
        <v>21</v>
      </c>
      <c r="N160" s="10" t="s">
        <v>21</v>
      </c>
      <c r="O160" s="11"/>
      <c r="P160" s="11"/>
      <c r="Q160" s="11"/>
      <c r="R160" s="11"/>
      <c r="S160" s="3" t="s">
        <v>343</v>
      </c>
      <c r="T160" s="3" t="s">
        <v>344</v>
      </c>
    </row>
    <row r="161" spans="1:20" ht="15.75" customHeight="1" x14ac:dyDescent="0.3">
      <c r="A161" s="7" t="s">
        <v>336</v>
      </c>
      <c r="B161" s="8" t="s">
        <v>19</v>
      </c>
      <c r="C161" s="9" t="s">
        <v>208</v>
      </c>
      <c r="D161" s="10" t="s">
        <v>21</v>
      </c>
      <c r="E161" s="10" t="s">
        <v>21</v>
      </c>
      <c r="F161" s="10" t="s">
        <v>21</v>
      </c>
      <c r="G161" s="10" t="s">
        <v>21</v>
      </c>
      <c r="H161" s="10" t="s">
        <v>21</v>
      </c>
      <c r="I161" s="10" t="s">
        <v>21</v>
      </c>
      <c r="J161" s="10" t="s">
        <v>21</v>
      </c>
      <c r="K161" s="10" t="s">
        <v>21</v>
      </c>
      <c r="L161" s="10" t="s">
        <v>21</v>
      </c>
      <c r="M161" s="10" t="s">
        <v>21</v>
      </c>
      <c r="N161" s="10" t="s">
        <v>21</v>
      </c>
      <c r="O161" s="11"/>
      <c r="P161" s="11"/>
      <c r="Q161" s="11"/>
      <c r="R161" s="11"/>
      <c r="S161" s="3" t="s">
        <v>343</v>
      </c>
      <c r="T161" s="3" t="s">
        <v>344</v>
      </c>
    </row>
    <row r="162" spans="1:20" ht="15.75" customHeight="1" x14ac:dyDescent="0.3">
      <c r="A162" s="7" t="s">
        <v>336</v>
      </c>
      <c r="B162" s="8" t="s">
        <v>19</v>
      </c>
      <c r="C162" s="9" t="s">
        <v>209</v>
      </c>
      <c r="D162" s="10" t="s">
        <v>21</v>
      </c>
      <c r="E162" s="10" t="s">
        <v>21</v>
      </c>
      <c r="F162" s="10" t="s">
        <v>21</v>
      </c>
      <c r="G162" s="10" t="s">
        <v>21</v>
      </c>
      <c r="H162" s="10" t="s">
        <v>21</v>
      </c>
      <c r="I162" s="10" t="s">
        <v>21</v>
      </c>
      <c r="J162" s="10" t="s">
        <v>21</v>
      </c>
      <c r="K162" s="10" t="s">
        <v>21</v>
      </c>
      <c r="L162" s="10" t="s">
        <v>21</v>
      </c>
      <c r="M162" s="10" t="s">
        <v>21</v>
      </c>
      <c r="N162" s="10" t="s">
        <v>21</v>
      </c>
      <c r="O162" s="11"/>
      <c r="P162" s="11"/>
      <c r="Q162" s="11"/>
      <c r="R162" s="11"/>
      <c r="S162" s="3" t="s">
        <v>343</v>
      </c>
      <c r="T162" s="3" t="s">
        <v>344</v>
      </c>
    </row>
    <row r="163" spans="1:20" ht="15.75" customHeight="1" x14ac:dyDescent="0.3">
      <c r="A163" s="7" t="s">
        <v>336</v>
      </c>
      <c r="B163" s="8" t="s">
        <v>19</v>
      </c>
      <c r="C163" s="9" t="s">
        <v>210</v>
      </c>
      <c r="D163" s="5">
        <v>35.700000000000003</v>
      </c>
      <c r="E163" s="5">
        <v>44.375</v>
      </c>
      <c r="F163" s="5">
        <v>47.375</v>
      </c>
      <c r="G163" s="5">
        <v>56.875</v>
      </c>
      <c r="H163" s="5">
        <v>61.25</v>
      </c>
      <c r="I163" s="5">
        <v>68.75</v>
      </c>
      <c r="J163" s="10" t="s">
        <v>21</v>
      </c>
      <c r="K163" s="10" t="s">
        <v>21</v>
      </c>
      <c r="L163" s="10" t="s">
        <v>21</v>
      </c>
      <c r="M163" s="10" t="s">
        <v>21</v>
      </c>
      <c r="N163" s="10" t="s">
        <v>21</v>
      </c>
      <c r="O163" s="11" t="s">
        <v>61</v>
      </c>
      <c r="P163" s="11" t="s">
        <v>211</v>
      </c>
      <c r="Q163" s="12">
        <v>80</v>
      </c>
      <c r="R163" s="11" t="s">
        <v>25</v>
      </c>
      <c r="S163" s="3" t="s">
        <v>343</v>
      </c>
      <c r="T163" s="3" t="s">
        <v>344</v>
      </c>
    </row>
    <row r="164" spans="1:20" ht="15.75" customHeight="1" x14ac:dyDescent="0.3">
      <c r="A164" s="7" t="s">
        <v>336</v>
      </c>
      <c r="B164" s="8" t="s">
        <v>19</v>
      </c>
      <c r="C164" s="9" t="s">
        <v>212</v>
      </c>
      <c r="D164" s="5">
        <v>35.700000000000003</v>
      </c>
      <c r="E164" s="5">
        <v>44.375</v>
      </c>
      <c r="F164" s="5">
        <v>47.375</v>
      </c>
      <c r="G164" s="5">
        <v>56.875</v>
      </c>
      <c r="H164" s="5">
        <v>61.25</v>
      </c>
      <c r="I164" s="5">
        <v>68.75</v>
      </c>
      <c r="J164" s="10" t="s">
        <v>21</v>
      </c>
      <c r="K164" s="10" t="s">
        <v>21</v>
      </c>
      <c r="L164" s="10" t="s">
        <v>21</v>
      </c>
      <c r="M164" s="10" t="s">
        <v>21</v>
      </c>
      <c r="N164" s="10" t="s">
        <v>21</v>
      </c>
      <c r="O164" s="11" t="s">
        <v>61</v>
      </c>
      <c r="P164" s="11" t="s">
        <v>211</v>
      </c>
      <c r="Q164" s="12">
        <v>80</v>
      </c>
      <c r="R164" s="11" t="s">
        <v>25</v>
      </c>
      <c r="S164" s="3" t="s">
        <v>343</v>
      </c>
      <c r="T164" s="3" t="s">
        <v>344</v>
      </c>
    </row>
    <row r="165" spans="1:20" ht="15.75" customHeight="1" x14ac:dyDescent="0.3">
      <c r="A165" s="7" t="s">
        <v>336</v>
      </c>
      <c r="B165" s="8" t="s">
        <v>19</v>
      </c>
      <c r="C165" s="9" t="s">
        <v>213</v>
      </c>
      <c r="D165" s="5">
        <v>31.72</v>
      </c>
      <c r="E165" s="5">
        <v>42.1875</v>
      </c>
      <c r="F165" s="5">
        <v>47.375</v>
      </c>
      <c r="G165" s="5">
        <v>65.45</v>
      </c>
      <c r="H165" s="5">
        <v>93.375</v>
      </c>
      <c r="I165" s="5">
        <v>201.82500000000002</v>
      </c>
      <c r="J165" s="10" t="s">
        <v>21</v>
      </c>
      <c r="K165" s="10" t="s">
        <v>21</v>
      </c>
      <c r="L165" s="10" t="s">
        <v>21</v>
      </c>
      <c r="M165" s="10" t="s">
        <v>21</v>
      </c>
      <c r="N165" s="10" t="s">
        <v>21</v>
      </c>
      <c r="O165" s="11" t="s">
        <v>35</v>
      </c>
      <c r="P165" s="11" t="s">
        <v>36</v>
      </c>
      <c r="Q165" s="12">
        <v>80</v>
      </c>
      <c r="R165" s="11" t="s">
        <v>25</v>
      </c>
      <c r="S165" s="3" t="s">
        <v>343</v>
      </c>
      <c r="T165" s="3" t="s">
        <v>344</v>
      </c>
    </row>
    <row r="166" spans="1:20" ht="15.75" customHeight="1" x14ac:dyDescent="0.3">
      <c r="A166" s="7" t="s">
        <v>336</v>
      </c>
      <c r="B166" s="8" t="s">
        <v>19</v>
      </c>
      <c r="C166" s="9" t="s">
        <v>214</v>
      </c>
      <c r="D166" s="5">
        <v>23.17</v>
      </c>
      <c r="E166" s="5">
        <v>60</v>
      </c>
      <c r="F166" s="5">
        <v>60</v>
      </c>
      <c r="G166" s="5">
        <v>64.125</v>
      </c>
      <c r="H166" s="5">
        <v>76.25</v>
      </c>
      <c r="I166" s="5">
        <v>83.75</v>
      </c>
      <c r="J166" s="10" t="s">
        <v>21</v>
      </c>
      <c r="K166" s="10" t="s">
        <v>21</v>
      </c>
      <c r="L166" s="10" t="s">
        <v>21</v>
      </c>
      <c r="M166" s="10" t="s">
        <v>21</v>
      </c>
      <c r="N166" s="10" t="s">
        <v>21</v>
      </c>
      <c r="O166" s="11" t="s">
        <v>29</v>
      </c>
      <c r="P166" s="11" t="s">
        <v>69</v>
      </c>
      <c r="Q166" s="12">
        <v>80</v>
      </c>
      <c r="R166" s="11" t="s">
        <v>25</v>
      </c>
      <c r="S166" s="3" t="s">
        <v>343</v>
      </c>
      <c r="T166" s="3" t="s">
        <v>344</v>
      </c>
    </row>
    <row r="167" spans="1:20" ht="15.75" customHeight="1" x14ac:dyDescent="0.3">
      <c r="A167" s="7" t="s">
        <v>336</v>
      </c>
      <c r="B167" s="8" t="s">
        <v>19</v>
      </c>
      <c r="C167" s="9" t="s">
        <v>215</v>
      </c>
      <c r="D167" s="5">
        <v>21.06</v>
      </c>
      <c r="E167" s="5">
        <v>28.075000000000003</v>
      </c>
      <c r="F167" s="5">
        <v>31.662499999999998</v>
      </c>
      <c r="G167" s="5">
        <v>45.05</v>
      </c>
      <c r="H167" s="5">
        <v>70.349999999999994</v>
      </c>
      <c r="I167" s="5">
        <v>133.22499999999999</v>
      </c>
      <c r="J167" s="10" t="s">
        <v>21</v>
      </c>
      <c r="K167" s="10" t="s">
        <v>21</v>
      </c>
      <c r="L167" s="10" t="s">
        <v>21</v>
      </c>
      <c r="M167" s="10" t="s">
        <v>21</v>
      </c>
      <c r="N167" s="10" t="s">
        <v>21</v>
      </c>
      <c r="O167" s="11" t="s">
        <v>29</v>
      </c>
      <c r="P167" s="11" t="s">
        <v>30</v>
      </c>
      <c r="Q167" s="12">
        <v>80</v>
      </c>
      <c r="R167" s="11" t="s">
        <v>25</v>
      </c>
      <c r="S167" s="3" t="s">
        <v>343</v>
      </c>
      <c r="T167" s="3" t="s">
        <v>344</v>
      </c>
    </row>
    <row r="168" spans="1:20" ht="15.75" customHeight="1" x14ac:dyDescent="0.3">
      <c r="A168" s="7" t="s">
        <v>336</v>
      </c>
      <c r="B168" s="8" t="s">
        <v>19</v>
      </c>
      <c r="C168" s="9" t="s">
        <v>216</v>
      </c>
      <c r="D168" s="5">
        <v>21.06</v>
      </c>
      <c r="E168" s="5">
        <v>28.075000000000003</v>
      </c>
      <c r="F168" s="5">
        <v>31.662499999999998</v>
      </c>
      <c r="G168" s="5">
        <v>45.05</v>
      </c>
      <c r="H168" s="5">
        <v>70.349999999999994</v>
      </c>
      <c r="I168" s="5">
        <v>133.22499999999999</v>
      </c>
      <c r="J168" s="10" t="s">
        <v>21</v>
      </c>
      <c r="K168" s="10" t="s">
        <v>21</v>
      </c>
      <c r="L168" s="10" t="s">
        <v>21</v>
      </c>
      <c r="M168" s="10" t="s">
        <v>21</v>
      </c>
      <c r="N168" s="10" t="s">
        <v>21</v>
      </c>
      <c r="O168" s="11" t="s">
        <v>29</v>
      </c>
      <c r="P168" s="11" t="s">
        <v>30</v>
      </c>
      <c r="Q168" s="12">
        <v>80</v>
      </c>
      <c r="R168" s="11" t="s">
        <v>25</v>
      </c>
      <c r="S168" s="3" t="s">
        <v>343</v>
      </c>
      <c r="T168" s="3" t="s">
        <v>344</v>
      </c>
    </row>
    <row r="169" spans="1:20" ht="15.75" customHeight="1" x14ac:dyDescent="0.3">
      <c r="A169" s="7" t="s">
        <v>336</v>
      </c>
      <c r="B169" s="8" t="s">
        <v>19</v>
      </c>
      <c r="C169" s="9" t="s">
        <v>217</v>
      </c>
      <c r="D169" s="5">
        <v>31.72</v>
      </c>
      <c r="E169" s="5">
        <v>42.1875</v>
      </c>
      <c r="F169" s="5">
        <v>47.375</v>
      </c>
      <c r="G169" s="5">
        <v>65.45</v>
      </c>
      <c r="H169" s="5">
        <v>93.375</v>
      </c>
      <c r="I169" s="5">
        <v>201.82500000000002</v>
      </c>
      <c r="J169" s="10" t="s">
        <v>21</v>
      </c>
      <c r="K169" s="10" t="s">
        <v>21</v>
      </c>
      <c r="L169" s="10" t="s">
        <v>21</v>
      </c>
      <c r="M169" s="10" t="s">
        <v>21</v>
      </c>
      <c r="N169" s="10" t="s">
        <v>21</v>
      </c>
      <c r="O169" s="11" t="s">
        <v>35</v>
      </c>
      <c r="P169" s="11" t="s">
        <v>36</v>
      </c>
      <c r="Q169" s="12">
        <v>80</v>
      </c>
      <c r="R169" s="11" t="s">
        <v>25</v>
      </c>
      <c r="S169" s="3" t="s">
        <v>343</v>
      </c>
      <c r="T169" s="3" t="s">
        <v>344</v>
      </c>
    </row>
    <row r="170" spans="1:20" ht="15.75" customHeight="1" x14ac:dyDescent="0.3">
      <c r="A170" s="7" t="s">
        <v>336</v>
      </c>
      <c r="B170" s="8" t="s">
        <v>19</v>
      </c>
      <c r="C170" s="9" t="s">
        <v>218</v>
      </c>
      <c r="D170" s="5">
        <v>21.06</v>
      </c>
      <c r="E170" s="5">
        <v>28.075000000000003</v>
      </c>
      <c r="F170" s="5">
        <v>31.662499999999998</v>
      </c>
      <c r="G170" s="5">
        <v>45.05</v>
      </c>
      <c r="H170" s="5">
        <v>70.349999999999994</v>
      </c>
      <c r="I170" s="5">
        <v>133.22499999999999</v>
      </c>
      <c r="J170" s="10" t="s">
        <v>21</v>
      </c>
      <c r="K170" s="10" t="s">
        <v>21</v>
      </c>
      <c r="L170" s="10" t="s">
        <v>21</v>
      </c>
      <c r="M170" s="10" t="s">
        <v>21</v>
      </c>
      <c r="N170" s="10" t="s">
        <v>21</v>
      </c>
      <c r="O170" s="11" t="s">
        <v>29</v>
      </c>
      <c r="P170" s="11" t="s">
        <v>30</v>
      </c>
      <c r="Q170" s="12">
        <v>80</v>
      </c>
      <c r="R170" s="11" t="s">
        <v>25</v>
      </c>
      <c r="S170" s="3" t="s">
        <v>343</v>
      </c>
      <c r="T170" s="3" t="s">
        <v>344</v>
      </c>
    </row>
    <row r="171" spans="1:20" ht="15.75" customHeight="1" x14ac:dyDescent="0.3">
      <c r="A171" s="7" t="s">
        <v>336</v>
      </c>
      <c r="B171" s="8" t="s">
        <v>19</v>
      </c>
      <c r="C171" s="9" t="s">
        <v>219</v>
      </c>
      <c r="D171" s="5">
        <v>27.47</v>
      </c>
      <c r="E171" s="5">
        <v>36.125</v>
      </c>
      <c r="F171" s="5">
        <v>40.012499999999996</v>
      </c>
      <c r="G171" s="5">
        <v>55.987499999999997</v>
      </c>
      <c r="H171" s="5">
        <v>76.5</v>
      </c>
      <c r="I171" s="5">
        <v>178.27500000000001</v>
      </c>
      <c r="J171" s="10" t="s">
        <v>21</v>
      </c>
      <c r="K171" s="10" t="s">
        <v>21</v>
      </c>
      <c r="L171" s="10" t="s">
        <v>21</v>
      </c>
      <c r="M171" s="10" t="s">
        <v>21</v>
      </c>
      <c r="N171" s="10" t="s">
        <v>21</v>
      </c>
      <c r="O171" s="11" t="s">
        <v>41</v>
      </c>
      <c r="P171" s="11" t="s">
        <v>23</v>
      </c>
      <c r="Q171" s="12">
        <v>80</v>
      </c>
      <c r="R171" s="11" t="s">
        <v>25</v>
      </c>
      <c r="S171" s="3" t="s">
        <v>343</v>
      </c>
      <c r="T171" s="3" t="s">
        <v>344</v>
      </c>
    </row>
    <row r="172" spans="1:20" ht="15.75" customHeight="1" x14ac:dyDescent="0.3">
      <c r="A172" s="7" t="s">
        <v>336</v>
      </c>
      <c r="B172" s="8" t="s">
        <v>19</v>
      </c>
      <c r="C172" s="9" t="s">
        <v>220</v>
      </c>
      <c r="D172" s="5">
        <v>31.72</v>
      </c>
      <c r="E172" s="5">
        <v>42.1875</v>
      </c>
      <c r="F172" s="5">
        <v>47.375</v>
      </c>
      <c r="G172" s="5">
        <v>65.45</v>
      </c>
      <c r="H172" s="5">
        <v>93.375</v>
      </c>
      <c r="I172" s="5">
        <v>201.82500000000002</v>
      </c>
      <c r="J172" s="10" t="s">
        <v>21</v>
      </c>
      <c r="K172" s="10" t="s">
        <v>21</v>
      </c>
      <c r="L172" s="10" t="s">
        <v>21</v>
      </c>
      <c r="M172" s="10" t="s">
        <v>21</v>
      </c>
      <c r="N172" s="10" t="s">
        <v>21</v>
      </c>
      <c r="O172" s="11" t="s">
        <v>35</v>
      </c>
      <c r="P172" s="11" t="s">
        <v>36</v>
      </c>
      <c r="Q172" s="12">
        <v>80</v>
      </c>
      <c r="R172" s="11" t="s">
        <v>25</v>
      </c>
      <c r="S172" s="3" t="s">
        <v>343</v>
      </c>
      <c r="T172" s="3" t="s">
        <v>344</v>
      </c>
    </row>
    <row r="173" spans="1:20" ht="15.75" customHeight="1" x14ac:dyDescent="0.3">
      <c r="A173" s="7" t="s">
        <v>336</v>
      </c>
      <c r="B173" s="8" t="s">
        <v>19</v>
      </c>
      <c r="C173" s="9" t="s">
        <v>221</v>
      </c>
      <c r="D173" s="5">
        <v>27.47</v>
      </c>
      <c r="E173" s="5">
        <v>36.125</v>
      </c>
      <c r="F173" s="5">
        <v>40.012499999999996</v>
      </c>
      <c r="G173" s="5">
        <v>55.987499999999997</v>
      </c>
      <c r="H173" s="5">
        <v>76.5</v>
      </c>
      <c r="I173" s="5">
        <v>178.27500000000001</v>
      </c>
      <c r="J173" s="10" t="s">
        <v>21</v>
      </c>
      <c r="K173" s="10" t="s">
        <v>21</v>
      </c>
      <c r="L173" s="10" t="s">
        <v>21</v>
      </c>
      <c r="M173" s="10" t="s">
        <v>21</v>
      </c>
      <c r="N173" s="10" t="s">
        <v>21</v>
      </c>
      <c r="O173" s="11" t="s">
        <v>41</v>
      </c>
      <c r="P173" s="11" t="s">
        <v>23</v>
      </c>
      <c r="Q173" s="12">
        <v>80</v>
      </c>
      <c r="R173" s="11" t="s">
        <v>25</v>
      </c>
      <c r="S173" s="3" t="s">
        <v>343</v>
      </c>
      <c r="T173" s="3" t="s">
        <v>344</v>
      </c>
    </row>
    <row r="174" spans="1:20" ht="15.75" customHeight="1" x14ac:dyDescent="0.3">
      <c r="A174" s="7" t="s">
        <v>336</v>
      </c>
      <c r="B174" s="8" t="s">
        <v>19</v>
      </c>
      <c r="C174" s="9" t="s">
        <v>222</v>
      </c>
      <c r="D174" s="5">
        <v>27.47</v>
      </c>
      <c r="E174" s="5">
        <v>36.125</v>
      </c>
      <c r="F174" s="5">
        <v>40.012499999999996</v>
      </c>
      <c r="G174" s="5">
        <v>55.987499999999997</v>
      </c>
      <c r="H174" s="5">
        <v>76.5</v>
      </c>
      <c r="I174" s="5">
        <v>178.27500000000001</v>
      </c>
      <c r="J174" s="10" t="s">
        <v>21</v>
      </c>
      <c r="K174" s="10" t="s">
        <v>21</v>
      </c>
      <c r="L174" s="10" t="s">
        <v>21</v>
      </c>
      <c r="M174" s="10" t="s">
        <v>21</v>
      </c>
      <c r="N174" s="10" t="s">
        <v>21</v>
      </c>
      <c r="O174" s="11" t="s">
        <v>41</v>
      </c>
      <c r="P174" s="11" t="s">
        <v>23</v>
      </c>
      <c r="Q174" s="12">
        <v>80</v>
      </c>
      <c r="R174" s="11" t="s">
        <v>25</v>
      </c>
      <c r="S174" s="3" t="s">
        <v>343</v>
      </c>
      <c r="T174" s="3" t="s">
        <v>344</v>
      </c>
    </row>
    <row r="175" spans="1:20" ht="15.75" customHeight="1" x14ac:dyDescent="0.3">
      <c r="A175" s="7" t="s">
        <v>336</v>
      </c>
      <c r="B175" s="8" t="s">
        <v>19</v>
      </c>
      <c r="C175" s="9" t="s">
        <v>223</v>
      </c>
      <c r="D175" s="5">
        <v>29</v>
      </c>
      <c r="E175" s="5">
        <v>33.050000000000004</v>
      </c>
      <c r="F175" s="5">
        <v>38.75</v>
      </c>
      <c r="G175" s="5">
        <v>54.875</v>
      </c>
      <c r="H175" s="5">
        <v>78.75</v>
      </c>
      <c r="I175" s="5">
        <v>138.75</v>
      </c>
      <c r="J175" s="10" t="s">
        <v>21</v>
      </c>
      <c r="K175" s="10" t="s">
        <v>21</v>
      </c>
      <c r="L175" s="10" t="s">
        <v>21</v>
      </c>
      <c r="M175" s="10" t="s">
        <v>21</v>
      </c>
      <c r="N175" s="10" t="s">
        <v>21</v>
      </c>
      <c r="O175" s="11" t="s">
        <v>41</v>
      </c>
      <c r="P175" s="11" t="s">
        <v>143</v>
      </c>
      <c r="Q175" s="12">
        <v>80</v>
      </c>
      <c r="R175" s="11" t="s">
        <v>25</v>
      </c>
      <c r="S175" s="3" t="s">
        <v>343</v>
      </c>
      <c r="T175" s="3" t="s">
        <v>344</v>
      </c>
    </row>
    <row r="176" spans="1:20" ht="15.75" customHeight="1" x14ac:dyDescent="0.3">
      <c r="A176" s="7" t="s">
        <v>336</v>
      </c>
      <c r="B176" s="8" t="s">
        <v>19</v>
      </c>
      <c r="C176" s="9" t="s">
        <v>224</v>
      </c>
      <c r="D176" s="10" t="s">
        <v>21</v>
      </c>
      <c r="E176" s="10" t="s">
        <v>21</v>
      </c>
      <c r="F176" s="10" t="s">
        <v>21</v>
      </c>
      <c r="G176" s="10" t="s">
        <v>21</v>
      </c>
      <c r="H176" s="10" t="s">
        <v>21</v>
      </c>
      <c r="I176" s="10" t="s">
        <v>21</v>
      </c>
      <c r="J176" s="10" t="s">
        <v>21</v>
      </c>
      <c r="K176" s="10" t="s">
        <v>21</v>
      </c>
      <c r="L176" s="10" t="s">
        <v>21</v>
      </c>
      <c r="M176" s="10" t="s">
        <v>21</v>
      </c>
      <c r="N176" s="10" t="s">
        <v>21</v>
      </c>
      <c r="O176" s="11"/>
      <c r="P176" s="11"/>
      <c r="Q176" s="11"/>
      <c r="R176" s="11"/>
      <c r="S176" s="3" t="s">
        <v>343</v>
      </c>
      <c r="T176" s="3" t="s">
        <v>344</v>
      </c>
    </row>
    <row r="177" spans="1:20" ht="15.75" customHeight="1" x14ac:dyDescent="0.3">
      <c r="A177" s="7" t="s">
        <v>337</v>
      </c>
      <c r="B177" s="8" t="s">
        <v>19</v>
      </c>
      <c r="C177" s="13" t="s">
        <v>225</v>
      </c>
      <c r="D177" s="14">
        <v>28</v>
      </c>
      <c r="E177" s="14">
        <v>32.5</v>
      </c>
      <c r="F177" s="14">
        <v>36.25</v>
      </c>
      <c r="G177" s="14">
        <v>38.75</v>
      </c>
      <c r="H177" s="14">
        <v>41.25</v>
      </c>
      <c r="I177" s="14">
        <v>55</v>
      </c>
      <c r="J177" s="14">
        <v>62.5</v>
      </c>
      <c r="K177" s="14">
        <v>71.25</v>
      </c>
      <c r="L177" s="14">
        <v>98.75</v>
      </c>
      <c r="M177" s="14">
        <v>106.25</v>
      </c>
      <c r="N177" s="14">
        <v>111.25</v>
      </c>
      <c r="O177" s="15" t="s">
        <v>61</v>
      </c>
      <c r="P177" s="15" t="s">
        <v>23</v>
      </c>
      <c r="Q177" s="16">
        <v>80</v>
      </c>
      <c r="R177" s="15" t="s">
        <v>25</v>
      </c>
      <c r="S177" s="3" t="s">
        <v>343</v>
      </c>
      <c r="T177" s="3" t="s">
        <v>344</v>
      </c>
    </row>
    <row r="178" spans="1:20" ht="15.75" customHeight="1" x14ac:dyDescent="0.3">
      <c r="A178" s="7" t="s">
        <v>336</v>
      </c>
      <c r="B178" s="8" t="s">
        <v>19</v>
      </c>
      <c r="C178" s="13" t="s">
        <v>226</v>
      </c>
      <c r="D178" s="14">
        <v>23</v>
      </c>
      <c r="E178" s="14">
        <v>24.625</v>
      </c>
      <c r="F178" s="14">
        <v>25</v>
      </c>
      <c r="G178" s="14">
        <v>26.25</v>
      </c>
      <c r="H178" s="14">
        <v>30.625</v>
      </c>
      <c r="I178" s="14">
        <v>37.5</v>
      </c>
      <c r="J178" s="14">
        <v>47.5</v>
      </c>
      <c r="K178" s="14">
        <v>52.5</v>
      </c>
      <c r="L178" s="14">
        <v>77.5</v>
      </c>
      <c r="M178" s="14">
        <v>72.5</v>
      </c>
      <c r="N178" s="14">
        <v>86.25</v>
      </c>
      <c r="O178" s="15" t="s">
        <v>29</v>
      </c>
      <c r="P178" s="15" t="s">
        <v>23</v>
      </c>
      <c r="Q178" s="16">
        <v>80</v>
      </c>
      <c r="R178" s="15" t="s">
        <v>25</v>
      </c>
      <c r="S178" s="3" t="s">
        <v>343</v>
      </c>
      <c r="T178" s="3" t="s">
        <v>344</v>
      </c>
    </row>
    <row r="179" spans="1:20" ht="15.75" customHeight="1" x14ac:dyDescent="0.3">
      <c r="A179" s="7" t="s">
        <v>336</v>
      </c>
      <c r="B179" s="8" t="s">
        <v>19</v>
      </c>
      <c r="C179" s="9" t="s">
        <v>227</v>
      </c>
      <c r="D179" s="5">
        <v>27.47</v>
      </c>
      <c r="E179" s="5">
        <v>36.125</v>
      </c>
      <c r="F179" s="5">
        <v>40.012499999999996</v>
      </c>
      <c r="G179" s="5">
        <v>55.987499999999997</v>
      </c>
      <c r="H179" s="5">
        <v>76.5</v>
      </c>
      <c r="I179" s="5">
        <v>178.27500000000001</v>
      </c>
      <c r="J179" s="10" t="s">
        <v>21</v>
      </c>
      <c r="K179" s="10" t="s">
        <v>21</v>
      </c>
      <c r="L179" s="10" t="s">
        <v>21</v>
      </c>
      <c r="M179" s="10" t="s">
        <v>21</v>
      </c>
      <c r="N179" s="10" t="s">
        <v>21</v>
      </c>
      <c r="O179" s="11" t="s">
        <v>41</v>
      </c>
      <c r="P179" s="11" t="s">
        <v>23</v>
      </c>
      <c r="Q179" s="12">
        <v>80</v>
      </c>
      <c r="R179" s="11" t="s">
        <v>25</v>
      </c>
      <c r="S179" s="3" t="s">
        <v>343</v>
      </c>
      <c r="T179" s="3" t="s">
        <v>344</v>
      </c>
    </row>
    <row r="180" spans="1:20" ht="15.75" customHeight="1" x14ac:dyDescent="0.3">
      <c r="A180" s="7" t="s">
        <v>336</v>
      </c>
      <c r="B180" s="8" t="s">
        <v>19</v>
      </c>
      <c r="C180" s="9" t="s">
        <v>228</v>
      </c>
      <c r="D180" s="5">
        <v>21.06</v>
      </c>
      <c r="E180" s="5">
        <v>28.075000000000003</v>
      </c>
      <c r="F180" s="5">
        <v>31.662499999999998</v>
      </c>
      <c r="G180" s="5">
        <v>45.05</v>
      </c>
      <c r="H180" s="5">
        <v>70.349999999999994</v>
      </c>
      <c r="I180" s="5">
        <v>133.22499999999999</v>
      </c>
      <c r="J180" s="10" t="s">
        <v>21</v>
      </c>
      <c r="K180" s="10" t="s">
        <v>21</v>
      </c>
      <c r="L180" s="10" t="s">
        <v>21</v>
      </c>
      <c r="M180" s="10" t="s">
        <v>21</v>
      </c>
      <c r="N180" s="10" t="s">
        <v>21</v>
      </c>
      <c r="O180" s="11" t="s">
        <v>29</v>
      </c>
      <c r="P180" s="11" t="s">
        <v>30</v>
      </c>
      <c r="Q180" s="12">
        <v>80</v>
      </c>
      <c r="R180" s="11" t="s">
        <v>25</v>
      </c>
      <c r="S180" s="3" t="s">
        <v>343</v>
      </c>
      <c r="T180" s="3" t="s">
        <v>344</v>
      </c>
    </row>
    <row r="181" spans="1:20" ht="15.75" customHeight="1" x14ac:dyDescent="0.3">
      <c r="A181" s="7" t="s">
        <v>336</v>
      </c>
      <c r="B181" s="8" t="s">
        <v>19</v>
      </c>
      <c r="C181" s="9" t="s">
        <v>229</v>
      </c>
      <c r="D181" s="5">
        <v>31.72</v>
      </c>
      <c r="E181" s="5">
        <v>42.1875</v>
      </c>
      <c r="F181" s="5">
        <v>47.375</v>
      </c>
      <c r="G181" s="5">
        <v>65.45</v>
      </c>
      <c r="H181" s="5">
        <v>93.375</v>
      </c>
      <c r="I181" s="5">
        <v>201.82500000000002</v>
      </c>
      <c r="J181" s="10" t="s">
        <v>21</v>
      </c>
      <c r="K181" s="10" t="s">
        <v>21</v>
      </c>
      <c r="L181" s="10" t="s">
        <v>21</v>
      </c>
      <c r="M181" s="10" t="s">
        <v>21</v>
      </c>
      <c r="N181" s="10" t="s">
        <v>21</v>
      </c>
      <c r="O181" s="11" t="s">
        <v>35</v>
      </c>
      <c r="P181" s="11" t="s">
        <v>36</v>
      </c>
      <c r="Q181" s="12">
        <v>80</v>
      </c>
      <c r="R181" s="11" t="s">
        <v>25</v>
      </c>
      <c r="S181" s="3" t="s">
        <v>343</v>
      </c>
      <c r="T181" s="3" t="s">
        <v>344</v>
      </c>
    </row>
    <row r="182" spans="1:20" ht="15.75" customHeight="1" x14ac:dyDescent="0.3">
      <c r="A182" s="7" t="s">
        <v>336</v>
      </c>
      <c r="B182" s="8" t="s">
        <v>19</v>
      </c>
      <c r="C182" s="9" t="s">
        <v>230</v>
      </c>
      <c r="D182" s="5">
        <v>27</v>
      </c>
      <c r="E182" s="5">
        <v>33.75</v>
      </c>
      <c r="F182" s="5">
        <v>36.25</v>
      </c>
      <c r="G182" s="5">
        <v>38.75</v>
      </c>
      <c r="H182" s="5">
        <v>41.25</v>
      </c>
      <c r="I182" s="5">
        <v>55</v>
      </c>
      <c r="J182" s="10" t="s">
        <v>21</v>
      </c>
      <c r="K182" s="10" t="s">
        <v>21</v>
      </c>
      <c r="L182" s="10" t="s">
        <v>21</v>
      </c>
      <c r="M182" s="10" t="s">
        <v>21</v>
      </c>
      <c r="N182" s="10" t="s">
        <v>21</v>
      </c>
      <c r="O182" s="11" t="s">
        <v>29</v>
      </c>
      <c r="P182" s="11" t="s">
        <v>69</v>
      </c>
      <c r="Q182" s="12">
        <v>80</v>
      </c>
      <c r="R182" s="11" t="s">
        <v>25</v>
      </c>
      <c r="S182" s="3" t="s">
        <v>343</v>
      </c>
      <c r="T182" s="3" t="s">
        <v>344</v>
      </c>
    </row>
    <row r="183" spans="1:20" ht="15.75" customHeight="1" x14ac:dyDescent="0.3">
      <c r="A183" s="7" t="s">
        <v>336</v>
      </c>
      <c r="B183" s="8" t="s">
        <v>19</v>
      </c>
      <c r="C183" s="9" t="s">
        <v>231</v>
      </c>
      <c r="D183" s="10" t="s">
        <v>21</v>
      </c>
      <c r="E183" s="10" t="s">
        <v>21</v>
      </c>
      <c r="F183" s="10" t="s">
        <v>21</v>
      </c>
      <c r="G183" s="10" t="s">
        <v>21</v>
      </c>
      <c r="H183" s="10" t="s">
        <v>21</v>
      </c>
      <c r="I183" s="10" t="s">
        <v>21</v>
      </c>
      <c r="J183" s="10" t="s">
        <v>21</v>
      </c>
      <c r="K183" s="10" t="s">
        <v>21</v>
      </c>
      <c r="L183" s="10" t="s">
        <v>21</v>
      </c>
      <c r="M183" s="10" t="s">
        <v>21</v>
      </c>
      <c r="N183" s="10" t="s">
        <v>21</v>
      </c>
      <c r="O183" s="11"/>
      <c r="P183" s="11"/>
      <c r="Q183" s="11"/>
      <c r="R183" s="11"/>
      <c r="S183" s="3" t="s">
        <v>343</v>
      </c>
      <c r="T183" s="3" t="s">
        <v>344</v>
      </c>
    </row>
    <row r="184" spans="1:20" ht="15.75" customHeight="1" x14ac:dyDescent="0.3">
      <c r="A184" s="7" t="s">
        <v>336</v>
      </c>
      <c r="B184" s="8" t="s">
        <v>19</v>
      </c>
      <c r="C184" s="9" t="s">
        <v>232</v>
      </c>
      <c r="D184" s="5">
        <v>35.89</v>
      </c>
      <c r="E184" s="5">
        <v>42.125</v>
      </c>
      <c r="F184" s="5">
        <v>47.375</v>
      </c>
      <c r="G184" s="5">
        <v>65.375</v>
      </c>
      <c r="H184" s="5">
        <v>93.25</v>
      </c>
      <c r="I184" s="5">
        <v>202.5</v>
      </c>
      <c r="J184" s="10" t="s">
        <v>21</v>
      </c>
      <c r="K184" s="10" t="s">
        <v>21</v>
      </c>
      <c r="L184" s="10" t="s">
        <v>21</v>
      </c>
      <c r="M184" s="10" t="s">
        <v>21</v>
      </c>
      <c r="N184" s="10" t="s">
        <v>21</v>
      </c>
      <c r="O184" s="11" t="s">
        <v>38</v>
      </c>
      <c r="P184" s="11" t="s">
        <v>39</v>
      </c>
      <c r="Q184" s="12">
        <v>80</v>
      </c>
      <c r="R184" s="11" t="s">
        <v>25</v>
      </c>
      <c r="S184" s="3" t="s">
        <v>343</v>
      </c>
      <c r="T184" s="3" t="s">
        <v>344</v>
      </c>
    </row>
    <row r="185" spans="1:20" ht="15.75" customHeight="1" x14ac:dyDescent="0.3">
      <c r="A185" s="7" t="s">
        <v>336</v>
      </c>
      <c r="B185" s="8" t="s">
        <v>19</v>
      </c>
      <c r="C185" s="9" t="s">
        <v>233</v>
      </c>
      <c r="D185" s="10" t="s">
        <v>21</v>
      </c>
      <c r="E185" s="10" t="s">
        <v>21</v>
      </c>
      <c r="F185" s="10" t="s">
        <v>21</v>
      </c>
      <c r="G185" s="10" t="s">
        <v>21</v>
      </c>
      <c r="H185" s="10" t="s">
        <v>21</v>
      </c>
      <c r="I185" s="10" t="s">
        <v>21</v>
      </c>
      <c r="J185" s="10" t="s">
        <v>21</v>
      </c>
      <c r="K185" s="10" t="s">
        <v>21</v>
      </c>
      <c r="L185" s="10" t="s">
        <v>21</v>
      </c>
      <c r="M185" s="10" t="s">
        <v>21</v>
      </c>
      <c r="N185" s="10" t="s">
        <v>21</v>
      </c>
      <c r="O185" s="11"/>
      <c r="P185" s="11"/>
      <c r="Q185" s="11"/>
      <c r="R185" s="11"/>
      <c r="S185" s="3" t="s">
        <v>343</v>
      </c>
      <c r="T185" s="3" t="s">
        <v>344</v>
      </c>
    </row>
    <row r="186" spans="1:20" ht="15.75" customHeight="1" x14ac:dyDescent="0.3">
      <c r="A186" s="7" t="s">
        <v>336</v>
      </c>
      <c r="B186" s="8" t="s">
        <v>19</v>
      </c>
      <c r="C186" s="9" t="s">
        <v>234</v>
      </c>
      <c r="D186" s="10" t="s">
        <v>21</v>
      </c>
      <c r="E186" s="10" t="s">
        <v>21</v>
      </c>
      <c r="F186" s="10" t="s">
        <v>21</v>
      </c>
      <c r="G186" s="10" t="s">
        <v>21</v>
      </c>
      <c r="H186" s="10" t="s">
        <v>21</v>
      </c>
      <c r="I186" s="10" t="s">
        <v>21</v>
      </c>
      <c r="J186" s="10" t="s">
        <v>21</v>
      </c>
      <c r="K186" s="10" t="s">
        <v>21</v>
      </c>
      <c r="L186" s="10" t="s">
        <v>21</v>
      </c>
      <c r="M186" s="10" t="s">
        <v>21</v>
      </c>
      <c r="N186" s="10" t="s">
        <v>21</v>
      </c>
      <c r="O186" s="11"/>
      <c r="P186" s="11"/>
      <c r="Q186" s="11"/>
      <c r="R186" s="11"/>
      <c r="S186" s="3" t="s">
        <v>343</v>
      </c>
      <c r="T186" s="3" t="s">
        <v>344</v>
      </c>
    </row>
    <row r="187" spans="1:20" ht="15.75" customHeight="1" x14ac:dyDescent="0.3">
      <c r="A187" s="7" t="s">
        <v>336</v>
      </c>
      <c r="B187" s="8" t="s">
        <v>19</v>
      </c>
      <c r="C187" s="9" t="s">
        <v>235</v>
      </c>
      <c r="D187" s="5">
        <v>27.47</v>
      </c>
      <c r="E187" s="5">
        <v>36.125</v>
      </c>
      <c r="F187" s="5">
        <v>40.012499999999996</v>
      </c>
      <c r="G187" s="5">
        <v>55.987499999999997</v>
      </c>
      <c r="H187" s="5">
        <v>76.5</v>
      </c>
      <c r="I187" s="5">
        <v>178.27500000000001</v>
      </c>
      <c r="J187" s="10" t="s">
        <v>21</v>
      </c>
      <c r="K187" s="10" t="s">
        <v>21</v>
      </c>
      <c r="L187" s="10" t="s">
        <v>21</v>
      </c>
      <c r="M187" s="10" t="s">
        <v>21</v>
      </c>
      <c r="N187" s="10" t="s">
        <v>21</v>
      </c>
      <c r="O187" s="11" t="s">
        <v>41</v>
      </c>
      <c r="P187" s="11" t="s">
        <v>23</v>
      </c>
      <c r="Q187" s="12">
        <v>80</v>
      </c>
      <c r="R187" s="11" t="s">
        <v>25</v>
      </c>
      <c r="S187" s="3" t="s">
        <v>343</v>
      </c>
      <c r="T187" s="3" t="s">
        <v>344</v>
      </c>
    </row>
    <row r="188" spans="1:20" ht="15.75" customHeight="1" x14ac:dyDescent="0.3">
      <c r="A188" s="7" t="s">
        <v>336</v>
      </c>
      <c r="B188" s="8" t="s">
        <v>19</v>
      </c>
      <c r="C188" s="9" t="s">
        <v>236</v>
      </c>
      <c r="D188" s="5">
        <v>27.47</v>
      </c>
      <c r="E188" s="5">
        <v>36.125</v>
      </c>
      <c r="F188" s="5">
        <v>40.012499999999996</v>
      </c>
      <c r="G188" s="5">
        <v>55.987499999999997</v>
      </c>
      <c r="H188" s="5">
        <v>76.5</v>
      </c>
      <c r="I188" s="5">
        <v>178.27500000000001</v>
      </c>
      <c r="J188" s="10" t="s">
        <v>21</v>
      </c>
      <c r="K188" s="10" t="s">
        <v>21</v>
      </c>
      <c r="L188" s="10" t="s">
        <v>21</v>
      </c>
      <c r="M188" s="10" t="s">
        <v>21</v>
      </c>
      <c r="N188" s="10" t="s">
        <v>21</v>
      </c>
      <c r="O188" s="11" t="s">
        <v>41</v>
      </c>
      <c r="P188" s="11" t="s">
        <v>23</v>
      </c>
      <c r="Q188" s="12">
        <v>80</v>
      </c>
      <c r="R188" s="11" t="s">
        <v>25</v>
      </c>
      <c r="S188" s="3" t="s">
        <v>343</v>
      </c>
      <c r="T188" s="3" t="s">
        <v>344</v>
      </c>
    </row>
    <row r="189" spans="1:20" ht="15.75" customHeight="1" x14ac:dyDescent="0.3">
      <c r="A189" s="7" t="s">
        <v>336</v>
      </c>
      <c r="B189" s="8" t="s">
        <v>19</v>
      </c>
      <c r="C189" s="9" t="s">
        <v>237</v>
      </c>
      <c r="D189" s="5">
        <v>27.47</v>
      </c>
      <c r="E189" s="5">
        <v>36.125</v>
      </c>
      <c r="F189" s="5">
        <v>40.012499999999996</v>
      </c>
      <c r="G189" s="5">
        <v>55.987499999999997</v>
      </c>
      <c r="H189" s="5">
        <v>76.5</v>
      </c>
      <c r="I189" s="5">
        <v>178.27500000000001</v>
      </c>
      <c r="J189" s="10" t="s">
        <v>21</v>
      </c>
      <c r="K189" s="10" t="s">
        <v>21</v>
      </c>
      <c r="L189" s="10" t="s">
        <v>21</v>
      </c>
      <c r="M189" s="10" t="s">
        <v>21</v>
      </c>
      <c r="N189" s="10" t="s">
        <v>21</v>
      </c>
      <c r="O189" s="11" t="s">
        <v>41</v>
      </c>
      <c r="P189" s="11" t="s">
        <v>23</v>
      </c>
      <c r="Q189" s="12">
        <v>80</v>
      </c>
      <c r="R189" s="11" t="s">
        <v>25</v>
      </c>
      <c r="S189" s="3" t="s">
        <v>343</v>
      </c>
      <c r="T189" s="3" t="s">
        <v>344</v>
      </c>
    </row>
    <row r="190" spans="1:20" ht="15.75" customHeight="1" x14ac:dyDescent="0.3">
      <c r="A190" s="7" t="s">
        <v>336</v>
      </c>
      <c r="B190" s="8" t="s">
        <v>19</v>
      </c>
      <c r="C190" s="9" t="s">
        <v>238</v>
      </c>
      <c r="D190" s="10" t="s">
        <v>21</v>
      </c>
      <c r="E190" s="10" t="s">
        <v>21</v>
      </c>
      <c r="F190" s="10" t="s">
        <v>21</v>
      </c>
      <c r="G190" s="10" t="s">
        <v>21</v>
      </c>
      <c r="H190" s="10" t="s">
        <v>21</v>
      </c>
      <c r="I190" s="10" t="s">
        <v>21</v>
      </c>
      <c r="J190" s="10" t="s">
        <v>21</v>
      </c>
      <c r="K190" s="10" t="s">
        <v>21</v>
      </c>
      <c r="L190" s="10" t="s">
        <v>21</v>
      </c>
      <c r="M190" s="10" t="s">
        <v>21</v>
      </c>
      <c r="N190" s="10" t="s">
        <v>21</v>
      </c>
      <c r="O190" s="11"/>
      <c r="P190" s="11"/>
      <c r="Q190" s="11"/>
      <c r="R190" s="11"/>
      <c r="S190" s="3" t="s">
        <v>343</v>
      </c>
      <c r="T190" s="3" t="s">
        <v>344</v>
      </c>
    </row>
    <row r="191" spans="1:20" ht="15.75" customHeight="1" x14ac:dyDescent="0.3">
      <c r="A191" s="7" t="s">
        <v>336</v>
      </c>
      <c r="B191" s="8" t="s">
        <v>19</v>
      </c>
      <c r="C191" s="9" t="s">
        <v>239</v>
      </c>
      <c r="D191" s="5">
        <v>27.47</v>
      </c>
      <c r="E191" s="5">
        <v>36.125</v>
      </c>
      <c r="F191" s="5">
        <v>40.012499999999996</v>
      </c>
      <c r="G191" s="5">
        <v>55.987499999999997</v>
      </c>
      <c r="H191" s="5">
        <v>76.5</v>
      </c>
      <c r="I191" s="5">
        <v>178.27500000000001</v>
      </c>
      <c r="J191" s="10" t="s">
        <v>21</v>
      </c>
      <c r="K191" s="10" t="s">
        <v>21</v>
      </c>
      <c r="L191" s="10" t="s">
        <v>21</v>
      </c>
      <c r="M191" s="10" t="s">
        <v>21</v>
      </c>
      <c r="N191" s="10" t="s">
        <v>21</v>
      </c>
      <c r="O191" s="11" t="s">
        <v>41</v>
      </c>
      <c r="P191" s="11" t="s">
        <v>23</v>
      </c>
      <c r="Q191" s="12">
        <v>80</v>
      </c>
      <c r="R191" s="11" t="s">
        <v>25</v>
      </c>
      <c r="S191" s="3" t="s">
        <v>343</v>
      </c>
      <c r="T191" s="3" t="s">
        <v>344</v>
      </c>
    </row>
    <row r="192" spans="1:20" ht="15.75" customHeight="1" x14ac:dyDescent="0.3">
      <c r="A192" s="7" t="s">
        <v>336</v>
      </c>
      <c r="B192" s="8" t="s">
        <v>19</v>
      </c>
      <c r="C192" s="9" t="s">
        <v>240</v>
      </c>
      <c r="D192" s="5">
        <v>31.72</v>
      </c>
      <c r="E192" s="5">
        <v>42.1875</v>
      </c>
      <c r="F192" s="5">
        <v>47.375</v>
      </c>
      <c r="G192" s="5">
        <v>65.45</v>
      </c>
      <c r="H192" s="5">
        <v>93.375</v>
      </c>
      <c r="I192" s="5">
        <v>201.82500000000002</v>
      </c>
      <c r="J192" s="10" t="s">
        <v>21</v>
      </c>
      <c r="K192" s="10" t="s">
        <v>21</v>
      </c>
      <c r="L192" s="10" t="s">
        <v>21</v>
      </c>
      <c r="M192" s="10" t="s">
        <v>21</v>
      </c>
      <c r="N192" s="10" t="s">
        <v>21</v>
      </c>
      <c r="O192" s="11" t="s">
        <v>35</v>
      </c>
      <c r="P192" s="11" t="s">
        <v>36</v>
      </c>
      <c r="Q192" s="12">
        <v>80</v>
      </c>
      <c r="R192" s="11" t="s">
        <v>25</v>
      </c>
      <c r="S192" s="3" t="s">
        <v>343</v>
      </c>
      <c r="T192" s="3" t="s">
        <v>344</v>
      </c>
    </row>
    <row r="193" spans="1:20" ht="15.75" customHeight="1" x14ac:dyDescent="0.3">
      <c r="A193" s="7" t="s">
        <v>336</v>
      </c>
      <c r="B193" s="8" t="s">
        <v>19</v>
      </c>
      <c r="C193" s="9" t="s">
        <v>241</v>
      </c>
      <c r="D193" s="10" t="s">
        <v>21</v>
      </c>
      <c r="E193" s="10" t="s">
        <v>21</v>
      </c>
      <c r="F193" s="10" t="s">
        <v>21</v>
      </c>
      <c r="G193" s="10" t="s">
        <v>21</v>
      </c>
      <c r="H193" s="10" t="s">
        <v>21</v>
      </c>
      <c r="I193" s="10" t="s">
        <v>21</v>
      </c>
      <c r="J193" s="10" t="s">
        <v>21</v>
      </c>
      <c r="K193" s="10" t="s">
        <v>21</v>
      </c>
      <c r="L193" s="10" t="s">
        <v>21</v>
      </c>
      <c r="M193" s="10" t="s">
        <v>21</v>
      </c>
      <c r="N193" s="10" t="s">
        <v>21</v>
      </c>
      <c r="O193" s="11"/>
      <c r="P193" s="11"/>
      <c r="Q193" s="11"/>
      <c r="R193" s="11"/>
      <c r="S193" s="3" t="s">
        <v>343</v>
      </c>
      <c r="T193" s="3" t="s">
        <v>344</v>
      </c>
    </row>
    <row r="194" spans="1:20" ht="15.75" customHeight="1" x14ac:dyDescent="0.3">
      <c r="A194" s="7" t="s">
        <v>336</v>
      </c>
      <c r="B194" s="8" t="s">
        <v>19</v>
      </c>
      <c r="C194" s="9" t="s">
        <v>242</v>
      </c>
      <c r="D194" s="10" t="s">
        <v>21</v>
      </c>
      <c r="E194" s="10" t="s">
        <v>21</v>
      </c>
      <c r="F194" s="10" t="s">
        <v>21</v>
      </c>
      <c r="G194" s="10" t="s">
        <v>21</v>
      </c>
      <c r="H194" s="10" t="s">
        <v>21</v>
      </c>
      <c r="I194" s="10" t="s">
        <v>21</v>
      </c>
      <c r="J194" s="10" t="s">
        <v>21</v>
      </c>
      <c r="K194" s="10" t="s">
        <v>21</v>
      </c>
      <c r="L194" s="10" t="s">
        <v>21</v>
      </c>
      <c r="M194" s="10" t="s">
        <v>21</v>
      </c>
      <c r="N194" s="10" t="s">
        <v>21</v>
      </c>
      <c r="O194" s="11"/>
      <c r="P194" s="11"/>
      <c r="Q194" s="11"/>
      <c r="R194" s="11"/>
      <c r="S194" s="3" t="s">
        <v>343</v>
      </c>
      <c r="T194" s="3" t="s">
        <v>344</v>
      </c>
    </row>
    <row r="195" spans="1:20" ht="15.75" customHeight="1" x14ac:dyDescent="0.3">
      <c r="A195" s="7" t="s">
        <v>336</v>
      </c>
      <c r="B195" s="8" t="s">
        <v>19</v>
      </c>
      <c r="C195" s="9" t="s">
        <v>243</v>
      </c>
      <c r="D195" s="5">
        <v>21.06</v>
      </c>
      <c r="E195" s="5">
        <v>28.075000000000003</v>
      </c>
      <c r="F195" s="5">
        <v>31.662499999999998</v>
      </c>
      <c r="G195" s="5">
        <v>45.05</v>
      </c>
      <c r="H195" s="5">
        <v>70.349999999999994</v>
      </c>
      <c r="I195" s="5">
        <v>133.22499999999999</v>
      </c>
      <c r="J195" s="10" t="s">
        <v>21</v>
      </c>
      <c r="K195" s="10" t="s">
        <v>21</v>
      </c>
      <c r="L195" s="10" t="s">
        <v>21</v>
      </c>
      <c r="M195" s="10" t="s">
        <v>21</v>
      </c>
      <c r="N195" s="10" t="s">
        <v>21</v>
      </c>
      <c r="O195" s="11" t="s">
        <v>29</v>
      </c>
      <c r="P195" s="11" t="s">
        <v>30</v>
      </c>
      <c r="Q195" s="12">
        <v>80</v>
      </c>
      <c r="R195" s="11" t="s">
        <v>25</v>
      </c>
      <c r="S195" s="3" t="s">
        <v>343</v>
      </c>
      <c r="T195" s="3" t="s">
        <v>344</v>
      </c>
    </row>
    <row r="196" spans="1:20" ht="15.75" customHeight="1" x14ac:dyDescent="0.3">
      <c r="A196" s="7" t="s">
        <v>336</v>
      </c>
      <c r="B196" s="8" t="s">
        <v>19</v>
      </c>
      <c r="C196" s="9" t="s">
        <v>244</v>
      </c>
      <c r="D196" s="5">
        <v>31.72</v>
      </c>
      <c r="E196" s="5">
        <v>42.1875</v>
      </c>
      <c r="F196" s="5">
        <v>47.375</v>
      </c>
      <c r="G196" s="5">
        <v>65.45</v>
      </c>
      <c r="H196" s="5">
        <v>93.375</v>
      </c>
      <c r="I196" s="5">
        <v>201.82500000000002</v>
      </c>
      <c r="J196" s="10" t="s">
        <v>21</v>
      </c>
      <c r="K196" s="10" t="s">
        <v>21</v>
      </c>
      <c r="L196" s="10" t="s">
        <v>21</v>
      </c>
      <c r="M196" s="10" t="s">
        <v>21</v>
      </c>
      <c r="N196" s="10" t="s">
        <v>21</v>
      </c>
      <c r="O196" s="11" t="s">
        <v>35</v>
      </c>
      <c r="P196" s="11" t="s">
        <v>36</v>
      </c>
      <c r="Q196" s="12">
        <v>80</v>
      </c>
      <c r="R196" s="11" t="s">
        <v>25</v>
      </c>
      <c r="S196" s="3" t="s">
        <v>343</v>
      </c>
      <c r="T196" s="3" t="s">
        <v>344</v>
      </c>
    </row>
    <row r="197" spans="1:20" ht="15.75" customHeight="1" x14ac:dyDescent="0.3">
      <c r="A197" s="7" t="s">
        <v>336</v>
      </c>
      <c r="B197" s="8" t="s">
        <v>19</v>
      </c>
      <c r="C197" s="9" t="s">
        <v>245</v>
      </c>
      <c r="D197" s="5">
        <v>36.64</v>
      </c>
      <c r="E197" s="5">
        <v>44.375</v>
      </c>
      <c r="F197" s="5">
        <v>47.375</v>
      </c>
      <c r="G197" s="5">
        <v>56.875</v>
      </c>
      <c r="H197" s="5">
        <v>61.25</v>
      </c>
      <c r="I197" s="5">
        <v>68.75</v>
      </c>
      <c r="J197" s="10" t="s">
        <v>21</v>
      </c>
      <c r="K197" s="10" t="s">
        <v>21</v>
      </c>
      <c r="L197" s="10" t="s">
        <v>21</v>
      </c>
      <c r="M197" s="10" t="s">
        <v>21</v>
      </c>
      <c r="N197" s="10" t="s">
        <v>21</v>
      </c>
      <c r="O197" s="11" t="s">
        <v>23</v>
      </c>
      <c r="P197" s="11" t="s">
        <v>24</v>
      </c>
      <c r="Q197" s="12">
        <v>80</v>
      </c>
      <c r="R197" s="11" t="s">
        <v>25</v>
      </c>
      <c r="S197" s="3" t="s">
        <v>343</v>
      </c>
      <c r="T197" s="3" t="s">
        <v>344</v>
      </c>
    </row>
    <row r="198" spans="1:20" ht="15.75" customHeight="1" x14ac:dyDescent="0.3">
      <c r="A198" s="7" t="s">
        <v>336</v>
      </c>
      <c r="B198" s="8" t="s">
        <v>19</v>
      </c>
      <c r="C198" s="9" t="s">
        <v>246</v>
      </c>
      <c r="D198" s="10" t="s">
        <v>21</v>
      </c>
      <c r="E198" s="10" t="s">
        <v>21</v>
      </c>
      <c r="F198" s="10" t="s">
        <v>21</v>
      </c>
      <c r="G198" s="10" t="s">
        <v>21</v>
      </c>
      <c r="H198" s="10" t="s">
        <v>21</v>
      </c>
      <c r="I198" s="10" t="s">
        <v>21</v>
      </c>
      <c r="J198" s="10" t="s">
        <v>21</v>
      </c>
      <c r="K198" s="10" t="s">
        <v>21</v>
      </c>
      <c r="L198" s="10" t="s">
        <v>21</v>
      </c>
      <c r="M198" s="10" t="s">
        <v>21</v>
      </c>
      <c r="N198" s="10" t="s">
        <v>21</v>
      </c>
      <c r="O198" s="11"/>
      <c r="P198" s="11"/>
      <c r="Q198" s="11"/>
      <c r="R198" s="11"/>
      <c r="S198" s="3" t="s">
        <v>343</v>
      </c>
      <c r="T198" s="3" t="s">
        <v>344</v>
      </c>
    </row>
    <row r="199" spans="1:20" ht="15.75" customHeight="1" x14ac:dyDescent="0.3">
      <c r="A199" s="7" t="s">
        <v>336</v>
      </c>
      <c r="B199" s="8" t="s">
        <v>19</v>
      </c>
      <c r="C199" s="9" t="s">
        <v>247</v>
      </c>
      <c r="D199" s="10" t="s">
        <v>21</v>
      </c>
      <c r="E199" s="10" t="s">
        <v>21</v>
      </c>
      <c r="F199" s="10" t="s">
        <v>21</v>
      </c>
      <c r="G199" s="10" t="s">
        <v>21</v>
      </c>
      <c r="H199" s="10" t="s">
        <v>21</v>
      </c>
      <c r="I199" s="10" t="s">
        <v>21</v>
      </c>
      <c r="J199" s="10" t="s">
        <v>21</v>
      </c>
      <c r="K199" s="10" t="s">
        <v>21</v>
      </c>
      <c r="L199" s="10" t="s">
        <v>21</v>
      </c>
      <c r="M199" s="10" t="s">
        <v>21</v>
      </c>
      <c r="N199" s="10" t="s">
        <v>21</v>
      </c>
      <c r="O199" s="11"/>
      <c r="P199" s="11"/>
      <c r="Q199" s="11"/>
      <c r="R199" s="11"/>
      <c r="S199" s="3" t="s">
        <v>343</v>
      </c>
      <c r="T199" s="3" t="s">
        <v>344</v>
      </c>
    </row>
    <row r="200" spans="1:20" ht="15.75" customHeight="1" x14ac:dyDescent="0.3">
      <c r="A200" s="7" t="s">
        <v>336</v>
      </c>
      <c r="B200" s="8" t="s">
        <v>19</v>
      </c>
      <c r="C200" s="9" t="s">
        <v>248</v>
      </c>
      <c r="D200" s="5">
        <v>29</v>
      </c>
      <c r="E200" s="5">
        <v>33.050000000000004</v>
      </c>
      <c r="F200" s="5">
        <v>38.75</v>
      </c>
      <c r="G200" s="5">
        <v>54.875</v>
      </c>
      <c r="H200" s="5">
        <v>78.75</v>
      </c>
      <c r="I200" s="5">
        <v>138.75</v>
      </c>
      <c r="J200" s="10" t="s">
        <v>21</v>
      </c>
      <c r="K200" s="10" t="s">
        <v>21</v>
      </c>
      <c r="L200" s="10" t="s">
        <v>21</v>
      </c>
      <c r="M200" s="10" t="s">
        <v>21</v>
      </c>
      <c r="N200" s="10" t="s">
        <v>21</v>
      </c>
      <c r="O200" s="11" t="s">
        <v>41</v>
      </c>
      <c r="P200" s="11" t="s">
        <v>143</v>
      </c>
      <c r="Q200" s="12">
        <v>80</v>
      </c>
      <c r="R200" s="11" t="s">
        <v>25</v>
      </c>
      <c r="S200" s="3" t="s">
        <v>343</v>
      </c>
      <c r="T200" s="3" t="s">
        <v>344</v>
      </c>
    </row>
    <row r="201" spans="1:20" ht="15.75" customHeight="1" x14ac:dyDescent="0.3">
      <c r="A201" s="7" t="s">
        <v>336</v>
      </c>
      <c r="B201" s="8" t="s">
        <v>19</v>
      </c>
      <c r="C201" s="9" t="s">
        <v>249</v>
      </c>
      <c r="D201" s="10" t="s">
        <v>21</v>
      </c>
      <c r="E201" s="10" t="s">
        <v>21</v>
      </c>
      <c r="F201" s="10" t="s">
        <v>21</v>
      </c>
      <c r="G201" s="10" t="s">
        <v>21</v>
      </c>
      <c r="H201" s="10" t="s">
        <v>21</v>
      </c>
      <c r="I201" s="10" t="s">
        <v>21</v>
      </c>
      <c r="J201" s="10" t="s">
        <v>21</v>
      </c>
      <c r="K201" s="10" t="s">
        <v>21</v>
      </c>
      <c r="L201" s="10" t="s">
        <v>21</v>
      </c>
      <c r="M201" s="10" t="s">
        <v>21</v>
      </c>
      <c r="N201" s="10" t="s">
        <v>21</v>
      </c>
      <c r="O201" s="11"/>
      <c r="P201" s="11"/>
      <c r="Q201" s="11"/>
      <c r="R201" s="11"/>
      <c r="S201" s="3" t="s">
        <v>343</v>
      </c>
      <c r="T201" s="3" t="s">
        <v>344</v>
      </c>
    </row>
    <row r="202" spans="1:20" ht="15.75" customHeight="1" x14ac:dyDescent="0.3">
      <c r="A202" s="7" t="s">
        <v>336</v>
      </c>
      <c r="B202" s="8" t="s">
        <v>19</v>
      </c>
      <c r="C202" s="9" t="s">
        <v>250</v>
      </c>
      <c r="D202" s="5">
        <v>27.47</v>
      </c>
      <c r="E202" s="5">
        <v>36.125</v>
      </c>
      <c r="F202" s="5">
        <v>40</v>
      </c>
      <c r="G202" s="5">
        <v>55.987499999999997</v>
      </c>
      <c r="H202" s="5">
        <v>76.5</v>
      </c>
      <c r="I202" s="5">
        <v>178.27500000000001</v>
      </c>
      <c r="J202" s="10" t="s">
        <v>21</v>
      </c>
      <c r="K202" s="10" t="s">
        <v>21</v>
      </c>
      <c r="L202" s="10" t="s">
        <v>21</v>
      </c>
      <c r="M202" s="10" t="s">
        <v>21</v>
      </c>
      <c r="N202" s="10" t="s">
        <v>21</v>
      </c>
      <c r="O202" s="11" t="s">
        <v>41</v>
      </c>
      <c r="P202" s="11" t="s">
        <v>23</v>
      </c>
      <c r="Q202" s="12">
        <v>80</v>
      </c>
      <c r="R202" s="11" t="s">
        <v>25</v>
      </c>
      <c r="S202" s="3" t="s">
        <v>343</v>
      </c>
      <c r="T202" s="3" t="s">
        <v>344</v>
      </c>
    </row>
    <row r="203" spans="1:20" ht="15.75" customHeight="1" x14ac:dyDescent="0.3">
      <c r="A203" s="7" t="s">
        <v>336</v>
      </c>
      <c r="B203" s="8" t="s">
        <v>19</v>
      </c>
      <c r="C203" s="13" t="s">
        <v>251</v>
      </c>
      <c r="D203" s="14">
        <v>27.83</v>
      </c>
      <c r="E203" s="14">
        <v>33.75</v>
      </c>
      <c r="F203" s="14">
        <v>36.25</v>
      </c>
      <c r="G203" s="14">
        <v>38.75</v>
      </c>
      <c r="H203" s="14">
        <v>41.25</v>
      </c>
      <c r="I203" s="14">
        <v>55</v>
      </c>
      <c r="J203" s="14">
        <v>62.5</v>
      </c>
      <c r="K203" s="14">
        <v>71.25</v>
      </c>
      <c r="L203" s="14">
        <v>98.75</v>
      </c>
      <c r="M203" s="14">
        <v>106.25</v>
      </c>
      <c r="N203" s="14">
        <v>111.25</v>
      </c>
      <c r="O203" s="15" t="s">
        <v>61</v>
      </c>
      <c r="P203" s="15" t="s">
        <v>67</v>
      </c>
      <c r="Q203" s="16">
        <v>80</v>
      </c>
      <c r="R203" s="15" t="s">
        <v>25</v>
      </c>
      <c r="S203" s="3" t="s">
        <v>343</v>
      </c>
      <c r="T203" s="3" t="s">
        <v>344</v>
      </c>
    </row>
    <row r="204" spans="1:20" ht="15.75" customHeight="1" x14ac:dyDescent="0.3">
      <c r="A204" s="7" t="s">
        <v>336</v>
      </c>
      <c r="B204" s="8" t="s">
        <v>19</v>
      </c>
      <c r="C204" s="13" t="s">
        <v>252</v>
      </c>
      <c r="D204" s="14">
        <v>27.83</v>
      </c>
      <c r="E204" s="14">
        <v>33.75</v>
      </c>
      <c r="F204" s="14">
        <v>36.25</v>
      </c>
      <c r="G204" s="14">
        <v>38.75</v>
      </c>
      <c r="H204" s="14">
        <v>41.25</v>
      </c>
      <c r="I204" s="14">
        <v>55</v>
      </c>
      <c r="J204" s="14">
        <v>62.5</v>
      </c>
      <c r="K204" s="14">
        <v>71.25</v>
      </c>
      <c r="L204" s="14">
        <v>98.75</v>
      </c>
      <c r="M204" s="14">
        <v>106.25</v>
      </c>
      <c r="N204" s="14">
        <v>111.25</v>
      </c>
      <c r="O204" s="15" t="s">
        <v>61</v>
      </c>
      <c r="P204" s="15" t="s">
        <v>67</v>
      </c>
      <c r="Q204" s="16">
        <v>80</v>
      </c>
      <c r="R204" s="15" t="s">
        <v>25</v>
      </c>
      <c r="S204" s="3" t="s">
        <v>343</v>
      </c>
      <c r="T204" s="3" t="s">
        <v>344</v>
      </c>
    </row>
    <row r="205" spans="1:20" ht="15.75" customHeight="1" x14ac:dyDescent="0.3">
      <c r="A205" s="7" t="s">
        <v>336</v>
      </c>
      <c r="B205" s="8" t="s">
        <v>19</v>
      </c>
      <c r="C205" s="9" t="s">
        <v>253</v>
      </c>
      <c r="D205" s="10" t="s">
        <v>21</v>
      </c>
      <c r="E205" s="10" t="s">
        <v>21</v>
      </c>
      <c r="F205" s="10" t="s">
        <v>21</v>
      </c>
      <c r="G205" s="10" t="s">
        <v>21</v>
      </c>
      <c r="H205" s="10" t="s">
        <v>21</v>
      </c>
      <c r="I205" s="10" t="s">
        <v>21</v>
      </c>
      <c r="J205" s="10" t="s">
        <v>21</v>
      </c>
      <c r="K205" s="10" t="s">
        <v>21</v>
      </c>
      <c r="L205" s="10" t="s">
        <v>21</v>
      </c>
      <c r="M205" s="10" t="s">
        <v>21</v>
      </c>
      <c r="N205" s="10" t="s">
        <v>21</v>
      </c>
      <c r="O205" s="11"/>
      <c r="P205" s="11"/>
      <c r="Q205" s="11"/>
      <c r="R205" s="11"/>
      <c r="S205" s="3" t="s">
        <v>343</v>
      </c>
      <c r="T205" s="3" t="s">
        <v>344</v>
      </c>
    </row>
    <row r="206" spans="1:20" ht="15.75" customHeight="1" x14ac:dyDescent="0.3">
      <c r="A206" s="7" t="s">
        <v>336</v>
      </c>
      <c r="B206" s="8" t="s">
        <v>19</v>
      </c>
      <c r="C206" s="9" t="s">
        <v>254</v>
      </c>
      <c r="D206" s="10" t="s">
        <v>21</v>
      </c>
      <c r="E206" s="10" t="s">
        <v>21</v>
      </c>
      <c r="F206" s="10" t="s">
        <v>21</v>
      </c>
      <c r="G206" s="10" t="s">
        <v>21</v>
      </c>
      <c r="H206" s="10" t="s">
        <v>21</v>
      </c>
      <c r="I206" s="10" t="s">
        <v>21</v>
      </c>
      <c r="J206" s="10" t="s">
        <v>21</v>
      </c>
      <c r="K206" s="10" t="s">
        <v>21</v>
      </c>
      <c r="L206" s="10" t="s">
        <v>21</v>
      </c>
      <c r="M206" s="10" t="s">
        <v>21</v>
      </c>
      <c r="N206" s="10" t="s">
        <v>21</v>
      </c>
      <c r="O206" s="11"/>
      <c r="P206" s="11"/>
      <c r="Q206" s="11"/>
      <c r="R206" s="11"/>
      <c r="S206" s="3" t="s">
        <v>343</v>
      </c>
      <c r="T206" s="3" t="s">
        <v>344</v>
      </c>
    </row>
    <row r="207" spans="1:20" ht="15.75" customHeight="1" x14ac:dyDescent="0.3">
      <c r="A207" s="7" t="s">
        <v>336</v>
      </c>
      <c r="B207" s="8" t="s">
        <v>19</v>
      </c>
      <c r="C207" s="9" t="s">
        <v>255</v>
      </c>
      <c r="D207" s="5">
        <v>30.11</v>
      </c>
      <c r="E207" s="5">
        <v>36.125</v>
      </c>
      <c r="F207" s="5">
        <v>40</v>
      </c>
      <c r="G207" s="5">
        <v>55.875</v>
      </c>
      <c r="H207" s="5">
        <v>76.875</v>
      </c>
      <c r="I207" s="5">
        <v>178.27500000000001</v>
      </c>
      <c r="J207" s="10" t="s">
        <v>21</v>
      </c>
      <c r="K207" s="10" t="s">
        <v>21</v>
      </c>
      <c r="L207" s="10" t="s">
        <v>21</v>
      </c>
      <c r="M207" s="10" t="s">
        <v>21</v>
      </c>
      <c r="N207" s="10" t="s">
        <v>21</v>
      </c>
      <c r="O207" s="11" t="s">
        <v>23</v>
      </c>
      <c r="P207" s="11" t="s">
        <v>69</v>
      </c>
      <c r="Q207" s="12">
        <v>80</v>
      </c>
      <c r="R207" s="24" t="s">
        <v>25</v>
      </c>
      <c r="S207" s="3" t="s">
        <v>343</v>
      </c>
      <c r="T207" s="3" t="s">
        <v>344</v>
      </c>
    </row>
    <row r="208" spans="1:20" ht="15.75" customHeight="1" x14ac:dyDescent="0.3">
      <c r="A208" s="7" t="s">
        <v>336</v>
      </c>
      <c r="B208" s="8" t="s">
        <v>19</v>
      </c>
      <c r="C208" s="9" t="s">
        <v>256</v>
      </c>
      <c r="D208" s="5">
        <v>29</v>
      </c>
      <c r="E208" s="5">
        <v>33.050000000000004</v>
      </c>
      <c r="F208" s="5">
        <v>38.75</v>
      </c>
      <c r="G208" s="5">
        <v>54.875</v>
      </c>
      <c r="H208" s="5">
        <v>78.75</v>
      </c>
      <c r="I208" s="5">
        <v>138.75</v>
      </c>
      <c r="J208" s="10" t="s">
        <v>21</v>
      </c>
      <c r="K208" s="10" t="s">
        <v>21</v>
      </c>
      <c r="L208" s="10" t="s">
        <v>21</v>
      </c>
      <c r="M208" s="10" t="s">
        <v>21</v>
      </c>
      <c r="N208" s="10" t="s">
        <v>21</v>
      </c>
      <c r="O208" s="11" t="s">
        <v>41</v>
      </c>
      <c r="P208" s="11" t="s">
        <v>143</v>
      </c>
      <c r="Q208" s="12">
        <v>80</v>
      </c>
      <c r="R208" s="24" t="s">
        <v>25</v>
      </c>
      <c r="S208" s="3" t="s">
        <v>343</v>
      </c>
      <c r="T208" s="3" t="s">
        <v>344</v>
      </c>
    </row>
    <row r="209" spans="1:20" ht="15.75" customHeight="1" x14ac:dyDescent="0.3">
      <c r="A209" s="7" t="s">
        <v>336</v>
      </c>
      <c r="B209" s="8" t="s">
        <v>19</v>
      </c>
      <c r="C209" s="9" t="s">
        <v>257</v>
      </c>
      <c r="D209" s="10" t="s">
        <v>21</v>
      </c>
      <c r="E209" s="10" t="s">
        <v>21</v>
      </c>
      <c r="F209" s="10" t="s">
        <v>21</v>
      </c>
      <c r="G209" s="10" t="s">
        <v>21</v>
      </c>
      <c r="H209" s="10" t="s">
        <v>21</v>
      </c>
      <c r="I209" s="10" t="s">
        <v>21</v>
      </c>
      <c r="J209" s="10" t="s">
        <v>21</v>
      </c>
      <c r="K209" s="10" t="s">
        <v>21</v>
      </c>
      <c r="L209" s="10" t="s">
        <v>21</v>
      </c>
      <c r="M209" s="10" t="s">
        <v>21</v>
      </c>
      <c r="N209" s="10" t="s">
        <v>21</v>
      </c>
      <c r="O209" s="11"/>
      <c r="P209" s="11"/>
      <c r="Q209" s="11"/>
      <c r="R209" s="11"/>
      <c r="S209" s="3" t="s">
        <v>343</v>
      </c>
      <c r="T209" s="3" t="s">
        <v>344</v>
      </c>
    </row>
    <row r="210" spans="1:20" ht="15.75" customHeight="1" x14ac:dyDescent="0.3">
      <c r="A210" s="7" t="s">
        <v>336</v>
      </c>
      <c r="B210" s="8" t="s">
        <v>19</v>
      </c>
      <c r="C210" s="13" t="s">
        <v>258</v>
      </c>
      <c r="D210" s="14">
        <v>23</v>
      </c>
      <c r="E210" s="14">
        <v>24.625</v>
      </c>
      <c r="F210" s="14">
        <v>25</v>
      </c>
      <c r="G210" s="14">
        <v>26.25</v>
      </c>
      <c r="H210" s="14">
        <v>30.625</v>
      </c>
      <c r="I210" s="14">
        <v>37.5</v>
      </c>
      <c r="J210" s="14">
        <v>47.5</v>
      </c>
      <c r="K210" s="14">
        <v>52.5</v>
      </c>
      <c r="L210" s="14">
        <v>77.5</v>
      </c>
      <c r="M210" s="14">
        <v>84.375</v>
      </c>
      <c r="N210" s="14">
        <v>86.25</v>
      </c>
      <c r="O210" s="15" t="s">
        <v>29</v>
      </c>
      <c r="P210" s="15" t="s">
        <v>23</v>
      </c>
      <c r="Q210" s="16">
        <v>80</v>
      </c>
      <c r="R210" s="15" t="s">
        <v>25</v>
      </c>
      <c r="S210" s="3" t="s">
        <v>343</v>
      </c>
      <c r="T210" s="3" t="s">
        <v>344</v>
      </c>
    </row>
    <row r="211" spans="1:20" ht="15.75" customHeight="1" x14ac:dyDescent="0.3">
      <c r="A211" s="7" t="s">
        <v>336</v>
      </c>
      <c r="B211" s="8" t="s">
        <v>19</v>
      </c>
      <c r="C211" s="13" t="s">
        <v>259</v>
      </c>
      <c r="D211" s="14">
        <v>57.39</v>
      </c>
      <c r="E211" s="14">
        <v>63.75</v>
      </c>
      <c r="F211" s="14">
        <v>63.75</v>
      </c>
      <c r="G211" s="14">
        <v>66.5</v>
      </c>
      <c r="H211" s="14">
        <v>74.375</v>
      </c>
      <c r="I211" s="14">
        <v>80.875</v>
      </c>
      <c r="J211" s="14">
        <v>96.5</v>
      </c>
      <c r="K211" s="14">
        <v>101.25</v>
      </c>
      <c r="L211" s="14">
        <v>99.375</v>
      </c>
      <c r="M211" s="14">
        <v>121.5</v>
      </c>
      <c r="N211" s="14">
        <v>130</v>
      </c>
      <c r="O211" s="15" t="s">
        <v>61</v>
      </c>
      <c r="P211" s="15" t="s">
        <v>126</v>
      </c>
      <c r="Q211" s="16">
        <v>80</v>
      </c>
      <c r="R211" s="15" t="s">
        <v>25</v>
      </c>
      <c r="S211" s="3" t="s">
        <v>343</v>
      </c>
      <c r="T211" s="3" t="s">
        <v>344</v>
      </c>
    </row>
    <row r="212" spans="1:20" ht="15.75" customHeight="1" x14ac:dyDescent="0.3">
      <c r="A212" s="7" t="s">
        <v>336</v>
      </c>
      <c r="B212" s="8" t="s">
        <v>19</v>
      </c>
      <c r="C212" s="13" t="s">
        <v>260</v>
      </c>
      <c r="D212" s="14">
        <v>57.39</v>
      </c>
      <c r="E212" s="14">
        <v>76.25</v>
      </c>
      <c r="F212" s="14">
        <v>77.5</v>
      </c>
      <c r="G212" s="14">
        <v>80</v>
      </c>
      <c r="H212" s="14">
        <v>88.75</v>
      </c>
      <c r="I212" s="14">
        <v>93.75</v>
      </c>
      <c r="J212" s="14">
        <v>110</v>
      </c>
      <c r="K212" s="14">
        <v>115</v>
      </c>
      <c r="L212" s="14">
        <v>113.75</v>
      </c>
      <c r="M212" s="14">
        <v>135</v>
      </c>
      <c r="N212" s="14">
        <v>140.625</v>
      </c>
      <c r="O212" s="15" t="s">
        <v>61</v>
      </c>
      <c r="P212" s="15" t="s">
        <v>126</v>
      </c>
      <c r="Q212" s="16">
        <v>80</v>
      </c>
      <c r="R212" s="15" t="s">
        <v>25</v>
      </c>
      <c r="S212" s="3" t="s">
        <v>343</v>
      </c>
      <c r="T212" s="3" t="s">
        <v>344</v>
      </c>
    </row>
    <row r="213" spans="1:20" ht="15.75" customHeight="1" x14ac:dyDescent="0.3">
      <c r="A213" s="7" t="s">
        <v>336</v>
      </c>
      <c r="B213" s="8" t="s">
        <v>19</v>
      </c>
      <c r="C213" s="9" t="s">
        <v>261</v>
      </c>
      <c r="D213" s="5">
        <v>29</v>
      </c>
      <c r="E213" s="5">
        <v>33.050000000000004</v>
      </c>
      <c r="F213" s="5">
        <v>38.75</v>
      </c>
      <c r="G213" s="5">
        <v>54.875</v>
      </c>
      <c r="H213" s="5">
        <v>78.75</v>
      </c>
      <c r="I213" s="5">
        <v>138.75</v>
      </c>
      <c r="J213" s="10" t="s">
        <v>21</v>
      </c>
      <c r="K213" s="10" t="s">
        <v>21</v>
      </c>
      <c r="L213" s="10" t="s">
        <v>21</v>
      </c>
      <c r="M213" s="10" t="s">
        <v>21</v>
      </c>
      <c r="N213" s="10" t="s">
        <v>21</v>
      </c>
      <c r="O213" s="11" t="s">
        <v>41</v>
      </c>
      <c r="P213" s="11" t="s">
        <v>143</v>
      </c>
      <c r="Q213" s="12">
        <v>80</v>
      </c>
      <c r="R213" s="11" t="s">
        <v>25</v>
      </c>
      <c r="S213" s="3" t="s">
        <v>343</v>
      </c>
      <c r="T213" s="3" t="s">
        <v>344</v>
      </c>
    </row>
    <row r="214" spans="1:20" ht="15.75" customHeight="1" x14ac:dyDescent="0.3">
      <c r="A214" s="7" t="s">
        <v>336</v>
      </c>
      <c r="B214" s="8" t="s">
        <v>19</v>
      </c>
      <c r="C214" s="9" t="s">
        <v>262</v>
      </c>
      <c r="D214" s="10" t="s">
        <v>21</v>
      </c>
      <c r="E214" s="10" t="s">
        <v>21</v>
      </c>
      <c r="F214" s="10" t="s">
        <v>21</v>
      </c>
      <c r="G214" s="10" t="s">
        <v>21</v>
      </c>
      <c r="H214" s="10" t="s">
        <v>21</v>
      </c>
      <c r="I214" s="10" t="s">
        <v>21</v>
      </c>
      <c r="J214" s="10" t="s">
        <v>21</v>
      </c>
      <c r="K214" s="10" t="s">
        <v>21</v>
      </c>
      <c r="L214" s="10" t="s">
        <v>21</v>
      </c>
      <c r="M214" s="10" t="s">
        <v>21</v>
      </c>
      <c r="N214" s="10" t="s">
        <v>21</v>
      </c>
      <c r="O214" s="11"/>
      <c r="P214" s="11"/>
      <c r="Q214" s="11"/>
      <c r="R214" s="11"/>
      <c r="S214" s="3" t="s">
        <v>343</v>
      </c>
      <c r="T214" s="3" t="s">
        <v>344</v>
      </c>
    </row>
    <row r="215" spans="1:20" ht="15.75" customHeight="1" x14ac:dyDescent="0.3">
      <c r="A215" s="7" t="s">
        <v>336</v>
      </c>
      <c r="B215" s="8" t="s">
        <v>19</v>
      </c>
      <c r="C215" s="9" t="s">
        <v>263</v>
      </c>
      <c r="D215" s="5">
        <v>30.11</v>
      </c>
      <c r="E215" s="5">
        <v>36.125</v>
      </c>
      <c r="F215" s="5">
        <v>40.012499999999996</v>
      </c>
      <c r="G215" s="5">
        <v>55.987499999999997</v>
      </c>
      <c r="H215" s="5">
        <v>76.5</v>
      </c>
      <c r="I215" s="5">
        <v>178.27500000000001</v>
      </c>
      <c r="J215" s="10" t="s">
        <v>21</v>
      </c>
      <c r="K215" s="10" t="s">
        <v>21</v>
      </c>
      <c r="L215" s="10" t="s">
        <v>21</v>
      </c>
      <c r="M215" s="10" t="s">
        <v>21</v>
      </c>
      <c r="N215" s="10" t="s">
        <v>21</v>
      </c>
      <c r="O215" s="11" t="s">
        <v>23</v>
      </c>
      <c r="P215" s="11" t="s">
        <v>24</v>
      </c>
      <c r="Q215" s="12">
        <v>80</v>
      </c>
      <c r="R215" s="11" t="s">
        <v>25</v>
      </c>
      <c r="S215" s="3" t="s">
        <v>343</v>
      </c>
      <c r="T215" s="3" t="s">
        <v>344</v>
      </c>
    </row>
    <row r="216" spans="1:20" ht="15.75" customHeight="1" x14ac:dyDescent="0.3">
      <c r="A216" s="7" t="s">
        <v>336</v>
      </c>
      <c r="B216" s="8" t="s">
        <v>19</v>
      </c>
      <c r="C216" s="9" t="s">
        <v>264</v>
      </c>
      <c r="D216" s="10" t="s">
        <v>21</v>
      </c>
      <c r="E216" s="10" t="s">
        <v>21</v>
      </c>
      <c r="F216" s="10" t="s">
        <v>21</v>
      </c>
      <c r="G216" s="10" t="s">
        <v>21</v>
      </c>
      <c r="H216" s="10" t="s">
        <v>21</v>
      </c>
      <c r="I216" s="10" t="s">
        <v>21</v>
      </c>
      <c r="J216" s="10" t="s">
        <v>21</v>
      </c>
      <c r="K216" s="10" t="s">
        <v>21</v>
      </c>
      <c r="L216" s="10" t="s">
        <v>21</v>
      </c>
      <c r="M216" s="10" t="s">
        <v>21</v>
      </c>
      <c r="N216" s="10" t="s">
        <v>21</v>
      </c>
      <c r="O216" s="11"/>
      <c r="P216" s="11"/>
      <c r="Q216" s="11"/>
      <c r="R216" s="11"/>
      <c r="S216" s="3" t="s">
        <v>343</v>
      </c>
      <c r="T216" s="3" t="s">
        <v>344</v>
      </c>
    </row>
    <row r="217" spans="1:20" ht="15.75" customHeight="1" x14ac:dyDescent="0.3">
      <c r="A217" s="7" t="s">
        <v>336</v>
      </c>
      <c r="B217" s="8" t="s">
        <v>19</v>
      </c>
      <c r="C217" s="9" t="s">
        <v>265</v>
      </c>
      <c r="D217" s="5">
        <v>22.28</v>
      </c>
      <c r="E217" s="5">
        <v>24.512499999999999</v>
      </c>
      <c r="F217" s="5">
        <v>25</v>
      </c>
      <c r="G217" s="5">
        <v>27.5</v>
      </c>
      <c r="H217" s="5">
        <v>33.75</v>
      </c>
      <c r="I217" s="5">
        <v>40.4</v>
      </c>
      <c r="J217" s="10" t="s">
        <v>21</v>
      </c>
      <c r="K217" s="10" t="s">
        <v>21</v>
      </c>
      <c r="L217" s="10" t="s">
        <v>21</v>
      </c>
      <c r="M217" s="10" t="s">
        <v>21</v>
      </c>
      <c r="N217" s="10" t="s">
        <v>21</v>
      </c>
      <c r="O217" s="11" t="s">
        <v>29</v>
      </c>
      <c r="P217" s="11" t="s">
        <v>33</v>
      </c>
      <c r="Q217" s="12">
        <v>80</v>
      </c>
      <c r="R217" s="11" t="s">
        <v>25</v>
      </c>
      <c r="S217" s="3" t="s">
        <v>343</v>
      </c>
      <c r="T217" s="3" t="s">
        <v>344</v>
      </c>
    </row>
    <row r="218" spans="1:20" ht="15.75" customHeight="1" x14ac:dyDescent="0.3">
      <c r="A218" s="7" t="s">
        <v>336</v>
      </c>
      <c r="B218" s="8" t="s">
        <v>19</v>
      </c>
      <c r="C218" s="13" t="s">
        <v>266</v>
      </c>
      <c r="D218" s="14">
        <v>23.17</v>
      </c>
      <c r="E218" s="14">
        <v>60</v>
      </c>
      <c r="F218" s="14">
        <v>60</v>
      </c>
      <c r="G218" s="14">
        <v>64.125</v>
      </c>
      <c r="H218" s="14">
        <v>76.25</v>
      </c>
      <c r="I218" s="14">
        <v>83.75</v>
      </c>
      <c r="J218" s="14">
        <v>92.5</v>
      </c>
      <c r="K218" s="14">
        <v>101.25</v>
      </c>
      <c r="L218" s="14">
        <v>101.25</v>
      </c>
      <c r="M218" s="14">
        <v>117.5</v>
      </c>
      <c r="N218" s="14">
        <v>135</v>
      </c>
      <c r="O218" s="15" t="s">
        <v>29</v>
      </c>
      <c r="P218" s="15" t="s">
        <v>69</v>
      </c>
      <c r="Q218" s="16">
        <v>80</v>
      </c>
      <c r="R218" s="15" t="s">
        <v>25</v>
      </c>
      <c r="S218" s="3" t="s">
        <v>343</v>
      </c>
      <c r="T218" s="3" t="s">
        <v>344</v>
      </c>
    </row>
    <row r="219" spans="1:20" ht="15.75" customHeight="1" x14ac:dyDescent="0.3">
      <c r="A219" s="7" t="s">
        <v>336</v>
      </c>
      <c r="B219" s="8" t="s">
        <v>19</v>
      </c>
      <c r="C219" s="9" t="s">
        <v>267</v>
      </c>
      <c r="D219" s="10" t="s">
        <v>21</v>
      </c>
      <c r="E219" s="10" t="s">
        <v>21</v>
      </c>
      <c r="F219" s="10" t="s">
        <v>21</v>
      </c>
      <c r="G219" s="10" t="s">
        <v>21</v>
      </c>
      <c r="H219" s="10" t="s">
        <v>21</v>
      </c>
      <c r="I219" s="10" t="s">
        <v>21</v>
      </c>
      <c r="J219" s="10" t="s">
        <v>21</v>
      </c>
      <c r="K219" s="10" t="s">
        <v>21</v>
      </c>
      <c r="L219" s="10" t="s">
        <v>21</v>
      </c>
      <c r="M219" s="10" t="s">
        <v>21</v>
      </c>
      <c r="N219" s="10" t="s">
        <v>21</v>
      </c>
      <c r="O219" s="11"/>
      <c r="P219" s="11"/>
      <c r="Q219" s="11"/>
      <c r="R219" s="11"/>
      <c r="S219" s="3" t="s">
        <v>343</v>
      </c>
      <c r="T219" s="3" t="s">
        <v>344</v>
      </c>
    </row>
    <row r="220" spans="1:20" ht="15.75" customHeight="1" x14ac:dyDescent="0.3">
      <c r="A220" s="7" t="s">
        <v>336</v>
      </c>
      <c r="B220" s="8" t="s">
        <v>19</v>
      </c>
      <c r="C220" s="9" t="s">
        <v>268</v>
      </c>
      <c r="D220" s="5">
        <v>29</v>
      </c>
      <c r="E220" s="5">
        <v>33.050000000000004</v>
      </c>
      <c r="F220" s="5">
        <v>38.75</v>
      </c>
      <c r="G220" s="5">
        <v>54.875</v>
      </c>
      <c r="H220" s="5">
        <v>78.75</v>
      </c>
      <c r="I220" s="5">
        <v>138.75</v>
      </c>
      <c r="J220" s="10" t="s">
        <v>21</v>
      </c>
      <c r="K220" s="10" t="s">
        <v>21</v>
      </c>
      <c r="L220" s="10" t="s">
        <v>21</v>
      </c>
      <c r="M220" s="10" t="s">
        <v>21</v>
      </c>
      <c r="N220" s="5">
        <v>292.5</v>
      </c>
      <c r="O220" s="11" t="s">
        <v>41</v>
      </c>
      <c r="P220" s="11" t="s">
        <v>143</v>
      </c>
      <c r="Q220" s="12">
        <v>80</v>
      </c>
      <c r="R220" s="11"/>
      <c r="S220" s="3" t="s">
        <v>343</v>
      </c>
      <c r="T220" s="3" t="s">
        <v>344</v>
      </c>
    </row>
    <row r="221" spans="1:20" ht="15.75" customHeight="1" x14ac:dyDescent="0.3">
      <c r="A221" s="7" t="s">
        <v>336</v>
      </c>
      <c r="B221" s="8" t="s">
        <v>19</v>
      </c>
      <c r="C221" s="9" t="s">
        <v>269</v>
      </c>
      <c r="D221" s="10" t="s">
        <v>21</v>
      </c>
      <c r="E221" s="10" t="s">
        <v>21</v>
      </c>
      <c r="F221" s="10" t="s">
        <v>21</v>
      </c>
      <c r="G221" s="10" t="s">
        <v>21</v>
      </c>
      <c r="H221" s="10" t="s">
        <v>21</v>
      </c>
      <c r="I221" s="10" t="s">
        <v>21</v>
      </c>
      <c r="J221" s="10" t="s">
        <v>21</v>
      </c>
      <c r="K221" s="10" t="s">
        <v>21</v>
      </c>
      <c r="L221" s="10" t="s">
        <v>21</v>
      </c>
      <c r="M221" s="10" t="s">
        <v>21</v>
      </c>
      <c r="N221" s="10" t="s">
        <v>21</v>
      </c>
      <c r="O221" s="11"/>
      <c r="P221" s="11"/>
      <c r="Q221" s="11"/>
      <c r="R221" s="11"/>
      <c r="S221" s="3" t="s">
        <v>343</v>
      </c>
      <c r="T221" s="3" t="s">
        <v>344</v>
      </c>
    </row>
    <row r="222" spans="1:20" ht="15.75" customHeight="1" x14ac:dyDescent="0.3">
      <c r="A222" s="7" t="s">
        <v>336</v>
      </c>
      <c r="B222" s="8" t="s">
        <v>19</v>
      </c>
      <c r="C222" s="9" t="s">
        <v>270</v>
      </c>
      <c r="D222" s="5">
        <v>34.54</v>
      </c>
      <c r="E222" s="5">
        <v>42.1875</v>
      </c>
      <c r="F222" s="5">
        <v>47.375</v>
      </c>
      <c r="G222" s="5">
        <v>65.45</v>
      </c>
      <c r="H222" s="5">
        <v>93.375</v>
      </c>
      <c r="I222" s="5">
        <v>201.82500000000002</v>
      </c>
      <c r="J222" s="10" t="s">
        <v>21</v>
      </c>
      <c r="K222" s="10" t="s">
        <v>21</v>
      </c>
      <c r="L222" s="10" t="s">
        <v>21</v>
      </c>
      <c r="M222" s="10" t="s">
        <v>21</v>
      </c>
      <c r="N222" s="5">
        <v>413.75</v>
      </c>
      <c r="O222" s="11" t="s">
        <v>271</v>
      </c>
      <c r="P222" s="11" t="s">
        <v>271</v>
      </c>
      <c r="Q222" s="12">
        <v>80</v>
      </c>
      <c r="R222" s="11"/>
      <c r="S222" s="3" t="s">
        <v>343</v>
      </c>
      <c r="T222" s="3" t="s">
        <v>344</v>
      </c>
    </row>
    <row r="223" spans="1:20" ht="15.75" customHeight="1" x14ac:dyDescent="0.3">
      <c r="A223" s="7" t="s">
        <v>336</v>
      </c>
      <c r="B223" s="8" t="s">
        <v>19</v>
      </c>
      <c r="C223" s="9" t="s">
        <v>272</v>
      </c>
      <c r="D223" s="10" t="s">
        <v>21</v>
      </c>
      <c r="E223" s="10" t="s">
        <v>21</v>
      </c>
      <c r="F223" s="10" t="s">
        <v>21</v>
      </c>
      <c r="G223" s="10" t="s">
        <v>21</v>
      </c>
      <c r="H223" s="10" t="s">
        <v>21</v>
      </c>
      <c r="I223" s="10" t="s">
        <v>21</v>
      </c>
      <c r="J223" s="10" t="s">
        <v>21</v>
      </c>
      <c r="K223" s="10" t="s">
        <v>21</v>
      </c>
      <c r="L223" s="10" t="s">
        <v>21</v>
      </c>
      <c r="M223" s="10" t="s">
        <v>21</v>
      </c>
      <c r="N223" s="10" t="s">
        <v>21</v>
      </c>
      <c r="O223" s="11"/>
      <c r="P223" s="11"/>
      <c r="Q223" s="11"/>
      <c r="R223" s="11"/>
      <c r="S223" s="3" t="s">
        <v>343</v>
      </c>
      <c r="T223" s="3" t="s">
        <v>344</v>
      </c>
    </row>
    <row r="224" spans="1:20" ht="15.75" customHeight="1" x14ac:dyDescent="0.3">
      <c r="A224" s="7" t="s">
        <v>336</v>
      </c>
      <c r="B224" s="8" t="s">
        <v>19</v>
      </c>
      <c r="C224" s="9" t="s">
        <v>273</v>
      </c>
      <c r="D224" s="5">
        <v>34.54</v>
      </c>
      <c r="E224" s="5">
        <v>42.1875</v>
      </c>
      <c r="F224" s="5">
        <v>47.375</v>
      </c>
      <c r="G224" s="5">
        <v>65.45</v>
      </c>
      <c r="H224" s="5">
        <v>93.375</v>
      </c>
      <c r="I224" s="5">
        <v>201.82500000000002</v>
      </c>
      <c r="J224" s="10" t="s">
        <v>21</v>
      </c>
      <c r="K224" s="10" t="s">
        <v>21</v>
      </c>
      <c r="L224" s="10" t="s">
        <v>21</v>
      </c>
      <c r="M224" s="10" t="s">
        <v>21</v>
      </c>
      <c r="N224" s="5">
        <v>413.75</v>
      </c>
      <c r="O224" s="11" t="s">
        <v>271</v>
      </c>
      <c r="P224" s="11" t="s">
        <v>271</v>
      </c>
      <c r="Q224" s="12">
        <v>80</v>
      </c>
      <c r="R224" s="11"/>
      <c r="S224" s="3" t="s">
        <v>343</v>
      </c>
      <c r="T224" s="3" t="s">
        <v>344</v>
      </c>
    </row>
    <row r="225" spans="1:20" ht="15.75" customHeight="1" x14ac:dyDescent="0.3">
      <c r="A225" s="7" t="s">
        <v>336</v>
      </c>
      <c r="B225" s="8" t="s">
        <v>19</v>
      </c>
      <c r="C225" s="9" t="s">
        <v>274</v>
      </c>
      <c r="D225" s="10" t="s">
        <v>21</v>
      </c>
      <c r="E225" s="10" t="s">
        <v>21</v>
      </c>
      <c r="F225" s="10" t="s">
        <v>21</v>
      </c>
      <c r="G225" s="10" t="s">
        <v>21</v>
      </c>
      <c r="H225" s="10" t="s">
        <v>21</v>
      </c>
      <c r="I225" s="10" t="s">
        <v>21</v>
      </c>
      <c r="J225" s="10" t="s">
        <v>21</v>
      </c>
      <c r="K225" s="10" t="s">
        <v>21</v>
      </c>
      <c r="L225" s="10" t="s">
        <v>21</v>
      </c>
      <c r="M225" s="10" t="s">
        <v>21</v>
      </c>
      <c r="N225" s="10" t="s">
        <v>21</v>
      </c>
      <c r="O225" s="11"/>
      <c r="P225" s="11"/>
      <c r="Q225" s="11"/>
      <c r="R225" s="11"/>
      <c r="S225" s="3" t="s">
        <v>343</v>
      </c>
      <c r="T225" s="3" t="s">
        <v>344</v>
      </c>
    </row>
    <row r="226" spans="1:20" ht="15.75" customHeight="1" x14ac:dyDescent="0.3">
      <c r="A226" s="7" t="s">
        <v>336</v>
      </c>
      <c r="B226" s="8" t="s">
        <v>19</v>
      </c>
      <c r="C226" s="9" t="s">
        <v>275</v>
      </c>
      <c r="D226" s="5">
        <v>34.549999999999997</v>
      </c>
      <c r="E226" s="5">
        <v>42.1875</v>
      </c>
      <c r="F226" s="5">
        <v>47.375</v>
      </c>
      <c r="G226" s="5">
        <v>65.45</v>
      </c>
      <c r="H226" s="5">
        <v>93.375</v>
      </c>
      <c r="I226" s="5">
        <v>201.82500000000002</v>
      </c>
      <c r="J226" s="10" t="s">
        <v>21</v>
      </c>
      <c r="K226" s="10" t="s">
        <v>21</v>
      </c>
      <c r="L226" s="10" t="s">
        <v>21</v>
      </c>
      <c r="M226" s="10" t="s">
        <v>21</v>
      </c>
      <c r="N226" s="5">
        <v>413.75</v>
      </c>
      <c r="O226" s="11" t="s">
        <v>271</v>
      </c>
      <c r="P226" s="11" t="s">
        <v>271</v>
      </c>
      <c r="Q226" s="12">
        <v>80</v>
      </c>
      <c r="R226" s="11" t="s">
        <v>25</v>
      </c>
      <c r="S226" s="3" t="s">
        <v>343</v>
      </c>
      <c r="T226" s="3" t="s">
        <v>344</v>
      </c>
    </row>
    <row r="227" spans="1:20" ht="15.75" customHeight="1" x14ac:dyDescent="0.3">
      <c r="A227" s="7" t="s">
        <v>336</v>
      </c>
      <c r="B227" s="8" t="s">
        <v>19</v>
      </c>
      <c r="C227" s="9" t="s">
        <v>276</v>
      </c>
      <c r="D227" s="5">
        <v>35.64</v>
      </c>
      <c r="E227" s="5">
        <v>45.75</v>
      </c>
      <c r="F227" s="5">
        <v>44.5</v>
      </c>
      <c r="G227" s="5">
        <v>53.75</v>
      </c>
      <c r="H227" s="5">
        <v>56.75</v>
      </c>
      <c r="I227" s="5">
        <v>66.625</v>
      </c>
      <c r="J227" s="10" t="s">
        <v>21</v>
      </c>
      <c r="K227" s="10" t="s">
        <v>21</v>
      </c>
      <c r="L227" s="10" t="s">
        <v>21</v>
      </c>
      <c r="M227" s="10" t="s">
        <v>21</v>
      </c>
      <c r="N227" s="5">
        <v>123.25</v>
      </c>
      <c r="O227" s="11" t="s">
        <v>61</v>
      </c>
      <c r="P227" s="11" t="s">
        <v>187</v>
      </c>
      <c r="Q227" s="12">
        <v>80</v>
      </c>
      <c r="R227" s="11" t="s">
        <v>25</v>
      </c>
      <c r="S227" s="3" t="s">
        <v>343</v>
      </c>
      <c r="T227" s="3" t="s">
        <v>344</v>
      </c>
    </row>
    <row r="228" spans="1:20" ht="15.75" customHeight="1" x14ac:dyDescent="0.3">
      <c r="A228" s="7" t="s">
        <v>336</v>
      </c>
      <c r="B228" s="8" t="s">
        <v>19</v>
      </c>
      <c r="C228" s="9" t="s">
        <v>277</v>
      </c>
      <c r="D228" s="5">
        <v>30.11</v>
      </c>
      <c r="E228" s="5">
        <v>36.125</v>
      </c>
      <c r="F228" s="5">
        <v>40.012499999999996</v>
      </c>
      <c r="G228" s="5">
        <v>55.987499999999997</v>
      </c>
      <c r="H228" s="5">
        <v>76.5</v>
      </c>
      <c r="I228" s="5">
        <v>178.27500000000001</v>
      </c>
      <c r="J228" s="10" t="s">
        <v>21</v>
      </c>
      <c r="K228" s="10" t="s">
        <v>21</v>
      </c>
      <c r="L228" s="10" t="s">
        <v>21</v>
      </c>
      <c r="M228" s="10" t="s">
        <v>21</v>
      </c>
      <c r="N228" s="5">
        <v>381.5625</v>
      </c>
      <c r="O228" s="11" t="s">
        <v>23</v>
      </c>
      <c r="P228" s="11" t="s">
        <v>24</v>
      </c>
      <c r="Q228" s="12">
        <v>80</v>
      </c>
      <c r="R228" s="11" t="s">
        <v>25</v>
      </c>
      <c r="S228" s="3" t="s">
        <v>343</v>
      </c>
      <c r="T228" s="3" t="s">
        <v>344</v>
      </c>
    </row>
    <row r="229" spans="1:20" ht="15.75" customHeight="1" x14ac:dyDescent="0.3">
      <c r="A229" s="7" t="s">
        <v>336</v>
      </c>
      <c r="B229" s="8" t="s">
        <v>19</v>
      </c>
      <c r="C229" s="9" t="s">
        <v>278</v>
      </c>
      <c r="D229" s="5">
        <v>26.3</v>
      </c>
      <c r="E229" s="5">
        <v>28.125</v>
      </c>
      <c r="F229" s="5">
        <v>31.625</v>
      </c>
      <c r="G229" s="5">
        <v>47.5</v>
      </c>
      <c r="H229" s="5">
        <v>70.25</v>
      </c>
      <c r="I229" s="5">
        <v>133.75</v>
      </c>
      <c r="J229" s="10" t="s">
        <v>21</v>
      </c>
      <c r="K229" s="10" t="s">
        <v>21</v>
      </c>
      <c r="L229" s="10" t="s">
        <v>21</v>
      </c>
      <c r="M229" s="10" t="s">
        <v>21</v>
      </c>
      <c r="N229" s="5">
        <v>268.75</v>
      </c>
      <c r="O229" s="11" t="s">
        <v>23</v>
      </c>
      <c r="P229" s="11" t="s">
        <v>24</v>
      </c>
      <c r="Q229" s="12">
        <v>80</v>
      </c>
      <c r="R229" s="11" t="s">
        <v>25</v>
      </c>
      <c r="S229" s="3" t="s">
        <v>343</v>
      </c>
      <c r="T229" s="3" t="s">
        <v>344</v>
      </c>
    </row>
    <row r="230" spans="1:20" ht="15.75" customHeight="1" x14ac:dyDescent="0.3">
      <c r="A230" s="7" t="s">
        <v>336</v>
      </c>
      <c r="B230" s="8" t="s">
        <v>19</v>
      </c>
      <c r="C230" s="9" t="s">
        <v>279</v>
      </c>
      <c r="D230" s="5">
        <v>37.89</v>
      </c>
      <c r="E230" s="5">
        <v>45.75</v>
      </c>
      <c r="F230" s="5">
        <v>44.5</v>
      </c>
      <c r="G230" s="5">
        <v>53.75</v>
      </c>
      <c r="H230" s="5">
        <v>56.75</v>
      </c>
      <c r="I230" s="5">
        <v>66.625</v>
      </c>
      <c r="J230" s="10" t="s">
        <v>21</v>
      </c>
      <c r="K230" s="10" t="s">
        <v>21</v>
      </c>
      <c r="L230" s="10" t="s">
        <v>21</v>
      </c>
      <c r="M230" s="10" t="s">
        <v>21</v>
      </c>
      <c r="N230" s="5">
        <v>123.25</v>
      </c>
      <c r="O230" s="11" t="s">
        <v>61</v>
      </c>
      <c r="P230" s="11" t="s">
        <v>187</v>
      </c>
      <c r="Q230" s="12">
        <v>80</v>
      </c>
      <c r="R230" s="11" t="s">
        <v>25</v>
      </c>
      <c r="S230" s="3" t="s">
        <v>343</v>
      </c>
      <c r="T230" s="3" t="s">
        <v>344</v>
      </c>
    </row>
    <row r="231" spans="1:20" ht="15.75" customHeight="1" x14ac:dyDescent="0.3">
      <c r="A231" s="7" t="s">
        <v>336</v>
      </c>
      <c r="B231" s="8" t="s">
        <v>19</v>
      </c>
      <c r="C231" s="9" t="s">
        <v>280</v>
      </c>
      <c r="D231" s="10" t="s">
        <v>21</v>
      </c>
      <c r="E231" s="10" t="s">
        <v>21</v>
      </c>
      <c r="F231" s="10" t="s">
        <v>21</v>
      </c>
      <c r="G231" s="10" t="s">
        <v>21</v>
      </c>
      <c r="H231" s="10" t="s">
        <v>21</v>
      </c>
      <c r="I231" s="10" t="s">
        <v>21</v>
      </c>
      <c r="J231" s="10" t="s">
        <v>21</v>
      </c>
      <c r="K231" s="10" t="s">
        <v>21</v>
      </c>
      <c r="L231" s="10" t="s">
        <v>21</v>
      </c>
      <c r="M231" s="10" t="s">
        <v>21</v>
      </c>
      <c r="N231" s="10" t="s">
        <v>21</v>
      </c>
      <c r="O231" s="11"/>
      <c r="P231" s="11"/>
      <c r="Q231" s="11"/>
      <c r="R231" s="11"/>
      <c r="S231" s="3" t="s">
        <v>343</v>
      </c>
      <c r="T231" s="3" t="s">
        <v>344</v>
      </c>
    </row>
    <row r="232" spans="1:20" ht="15.75" customHeight="1" x14ac:dyDescent="0.3">
      <c r="A232" s="7" t="s">
        <v>336</v>
      </c>
      <c r="B232" s="8" t="s">
        <v>19</v>
      </c>
      <c r="C232" s="9" t="s">
        <v>281</v>
      </c>
      <c r="D232" s="5">
        <v>30.11</v>
      </c>
      <c r="E232" s="5">
        <v>36.125</v>
      </c>
      <c r="F232" s="5">
        <v>40.012499999999996</v>
      </c>
      <c r="G232" s="5">
        <v>55.987499999999997</v>
      </c>
      <c r="H232" s="5">
        <v>76.5</v>
      </c>
      <c r="I232" s="5">
        <v>178.27500000000001</v>
      </c>
      <c r="J232" s="10" t="s">
        <v>21</v>
      </c>
      <c r="K232" s="10" t="s">
        <v>21</v>
      </c>
      <c r="L232" s="10" t="s">
        <v>21</v>
      </c>
      <c r="M232" s="10" t="s">
        <v>21</v>
      </c>
      <c r="N232" s="5">
        <v>381.5625</v>
      </c>
      <c r="O232" s="11" t="s">
        <v>23</v>
      </c>
      <c r="P232" s="11" t="s">
        <v>24</v>
      </c>
      <c r="Q232" s="12">
        <v>80</v>
      </c>
      <c r="R232" s="11" t="s">
        <v>25</v>
      </c>
      <c r="S232" s="3" t="s">
        <v>343</v>
      </c>
      <c r="T232" s="3" t="s">
        <v>344</v>
      </c>
    </row>
    <row r="233" spans="1:20" ht="15.75" customHeight="1" x14ac:dyDescent="0.3">
      <c r="A233" s="7" t="s">
        <v>336</v>
      </c>
      <c r="B233" s="8" t="s">
        <v>19</v>
      </c>
      <c r="C233" s="9" t="s">
        <v>282</v>
      </c>
      <c r="D233" s="10" t="s">
        <v>21</v>
      </c>
      <c r="E233" s="10" t="s">
        <v>21</v>
      </c>
      <c r="F233" s="10" t="s">
        <v>21</v>
      </c>
      <c r="G233" s="10" t="s">
        <v>21</v>
      </c>
      <c r="H233" s="10" t="s">
        <v>21</v>
      </c>
      <c r="I233" s="10" t="s">
        <v>21</v>
      </c>
      <c r="J233" s="10" t="s">
        <v>21</v>
      </c>
      <c r="K233" s="10" t="s">
        <v>21</v>
      </c>
      <c r="L233" s="10" t="s">
        <v>21</v>
      </c>
      <c r="M233" s="10" t="s">
        <v>21</v>
      </c>
      <c r="N233" s="10" t="s">
        <v>21</v>
      </c>
      <c r="O233" s="11"/>
      <c r="P233" s="11"/>
      <c r="Q233" s="11"/>
      <c r="R233" s="11"/>
      <c r="S233" s="3" t="s">
        <v>343</v>
      </c>
      <c r="T233" s="3" t="s">
        <v>344</v>
      </c>
    </row>
    <row r="234" spans="1:20" ht="15.75" customHeight="1" x14ac:dyDescent="0.3">
      <c r="A234" s="7" t="s">
        <v>336</v>
      </c>
      <c r="B234" s="8" t="s">
        <v>19</v>
      </c>
      <c r="C234" s="9" t="s">
        <v>283</v>
      </c>
      <c r="D234" s="10" t="s">
        <v>21</v>
      </c>
      <c r="E234" s="10" t="s">
        <v>21</v>
      </c>
      <c r="F234" s="10" t="s">
        <v>21</v>
      </c>
      <c r="G234" s="10" t="s">
        <v>21</v>
      </c>
      <c r="H234" s="10" t="s">
        <v>21</v>
      </c>
      <c r="I234" s="10" t="s">
        <v>21</v>
      </c>
      <c r="J234" s="10" t="s">
        <v>21</v>
      </c>
      <c r="K234" s="10" t="s">
        <v>21</v>
      </c>
      <c r="L234" s="10" t="s">
        <v>21</v>
      </c>
      <c r="M234" s="10" t="s">
        <v>21</v>
      </c>
      <c r="N234" s="10" t="s">
        <v>21</v>
      </c>
      <c r="O234" s="11"/>
      <c r="P234" s="11"/>
      <c r="Q234" s="11"/>
      <c r="R234" s="11"/>
      <c r="S234" s="3" t="s">
        <v>343</v>
      </c>
      <c r="T234" s="3" t="s">
        <v>344</v>
      </c>
    </row>
    <row r="235" spans="1:20" ht="15.75" customHeight="1" x14ac:dyDescent="0.3">
      <c r="A235" s="7" t="s">
        <v>336</v>
      </c>
      <c r="B235" s="8" t="s">
        <v>19</v>
      </c>
      <c r="C235" s="9" t="s">
        <v>284</v>
      </c>
      <c r="D235" s="5">
        <v>34.54</v>
      </c>
      <c r="E235" s="5">
        <v>42.1875</v>
      </c>
      <c r="F235" s="5">
        <v>47.375</v>
      </c>
      <c r="G235" s="5">
        <v>65.45</v>
      </c>
      <c r="H235" s="5">
        <v>93.375</v>
      </c>
      <c r="I235" s="5">
        <v>201.82500000000002</v>
      </c>
      <c r="J235" s="10" t="s">
        <v>21</v>
      </c>
      <c r="K235" s="10" t="s">
        <v>21</v>
      </c>
      <c r="L235" s="10" t="s">
        <v>21</v>
      </c>
      <c r="M235" s="10" t="s">
        <v>21</v>
      </c>
      <c r="N235" s="5">
        <v>413.75</v>
      </c>
      <c r="O235" s="11" t="s">
        <v>271</v>
      </c>
      <c r="P235" s="11" t="s">
        <v>271</v>
      </c>
      <c r="Q235" s="12">
        <v>80</v>
      </c>
      <c r="R235" s="11" t="s">
        <v>25</v>
      </c>
      <c r="S235" s="3" t="s">
        <v>343</v>
      </c>
      <c r="T235" s="3" t="s">
        <v>344</v>
      </c>
    </row>
    <row r="236" spans="1:20" ht="15.75" customHeight="1" x14ac:dyDescent="0.3">
      <c r="A236" s="7" t="s">
        <v>336</v>
      </c>
      <c r="B236" s="8" t="s">
        <v>19</v>
      </c>
      <c r="C236" s="9" t="s">
        <v>285</v>
      </c>
      <c r="D236" s="10" t="s">
        <v>21</v>
      </c>
      <c r="E236" s="10" t="s">
        <v>21</v>
      </c>
      <c r="F236" s="10" t="s">
        <v>21</v>
      </c>
      <c r="G236" s="10" t="s">
        <v>21</v>
      </c>
      <c r="H236" s="10" t="s">
        <v>21</v>
      </c>
      <c r="I236" s="10" t="s">
        <v>21</v>
      </c>
      <c r="J236" s="10" t="s">
        <v>21</v>
      </c>
      <c r="K236" s="10" t="s">
        <v>21</v>
      </c>
      <c r="L236" s="10" t="s">
        <v>21</v>
      </c>
      <c r="M236" s="10" t="s">
        <v>21</v>
      </c>
      <c r="N236" s="10" t="s">
        <v>21</v>
      </c>
      <c r="O236" s="11"/>
      <c r="P236" s="11"/>
      <c r="Q236" s="11"/>
      <c r="R236" s="11"/>
      <c r="S236" s="3" t="s">
        <v>343</v>
      </c>
      <c r="T236" s="3" t="s">
        <v>344</v>
      </c>
    </row>
    <row r="237" spans="1:20" ht="15.75" customHeight="1" x14ac:dyDescent="0.3">
      <c r="A237" s="7" t="s">
        <v>336</v>
      </c>
      <c r="B237" s="8" t="s">
        <v>19</v>
      </c>
      <c r="C237" s="9" t="s">
        <v>286</v>
      </c>
      <c r="D237" s="5">
        <v>26.3</v>
      </c>
      <c r="E237" s="5">
        <v>28.125</v>
      </c>
      <c r="F237" s="5">
        <v>31.625</v>
      </c>
      <c r="G237" s="5">
        <v>45.05</v>
      </c>
      <c r="H237" s="5">
        <v>70.349999999999994</v>
      </c>
      <c r="I237" s="5">
        <v>133.22499999999999</v>
      </c>
      <c r="J237" s="10" t="s">
        <v>21</v>
      </c>
      <c r="K237" s="10" t="s">
        <v>21</v>
      </c>
      <c r="L237" s="10" t="s">
        <v>21</v>
      </c>
      <c r="M237" s="10" t="s">
        <v>21</v>
      </c>
      <c r="N237" s="5">
        <v>281.625</v>
      </c>
      <c r="O237" s="11" t="s">
        <v>29</v>
      </c>
      <c r="P237" s="11" t="s">
        <v>30</v>
      </c>
      <c r="Q237" s="12">
        <v>80</v>
      </c>
      <c r="R237" s="11" t="s">
        <v>25</v>
      </c>
      <c r="S237" s="3" t="s">
        <v>343</v>
      </c>
      <c r="T237" s="3" t="s">
        <v>344</v>
      </c>
    </row>
    <row r="238" spans="1:20" ht="15.75" customHeight="1" x14ac:dyDescent="0.3">
      <c r="A238" s="7" t="s">
        <v>336</v>
      </c>
      <c r="B238" s="8" t="s">
        <v>19</v>
      </c>
      <c r="C238" s="9" t="s">
        <v>287</v>
      </c>
      <c r="D238" s="5">
        <v>19.84</v>
      </c>
      <c r="E238" s="5">
        <v>23.875</v>
      </c>
      <c r="F238" s="5">
        <v>26.25</v>
      </c>
      <c r="G238" s="5">
        <v>28.75</v>
      </c>
      <c r="H238" s="5">
        <v>31.25</v>
      </c>
      <c r="I238" s="5">
        <v>36.25</v>
      </c>
      <c r="J238" s="10" t="s">
        <v>21</v>
      </c>
      <c r="K238" s="10" t="s">
        <v>21</v>
      </c>
      <c r="L238" s="10" t="s">
        <v>21</v>
      </c>
      <c r="M238" s="10" t="s">
        <v>21</v>
      </c>
      <c r="N238" s="5">
        <v>91.25</v>
      </c>
      <c r="O238" s="11" t="s">
        <v>29</v>
      </c>
      <c r="P238" s="11" t="s">
        <v>33</v>
      </c>
      <c r="Q238" s="12">
        <v>80</v>
      </c>
      <c r="R238" s="11" t="s">
        <v>25</v>
      </c>
      <c r="S238" s="3" t="s">
        <v>343</v>
      </c>
      <c r="T238" s="3" t="s">
        <v>344</v>
      </c>
    </row>
    <row r="239" spans="1:20" ht="15.75" customHeight="1" x14ac:dyDescent="0.3">
      <c r="A239" s="7" t="s">
        <v>336</v>
      </c>
      <c r="B239" s="8" t="s">
        <v>19</v>
      </c>
      <c r="C239" s="9" t="s">
        <v>288</v>
      </c>
      <c r="D239" s="5">
        <v>23.23</v>
      </c>
      <c r="E239" s="5">
        <v>33.25</v>
      </c>
      <c r="F239" s="5">
        <v>37.125</v>
      </c>
      <c r="G239" s="5">
        <v>53.75</v>
      </c>
      <c r="H239" s="5">
        <v>73.125</v>
      </c>
      <c r="I239" s="5">
        <v>135.625</v>
      </c>
      <c r="J239" s="10" t="s">
        <v>21</v>
      </c>
      <c r="K239" s="10" t="s">
        <v>21</v>
      </c>
      <c r="L239" s="10" t="s">
        <v>21</v>
      </c>
      <c r="M239" s="10" t="s">
        <v>21</v>
      </c>
      <c r="N239" s="5">
        <v>286.875</v>
      </c>
      <c r="O239" s="11" t="s">
        <v>29</v>
      </c>
      <c r="P239" s="11" t="s">
        <v>38</v>
      </c>
      <c r="Q239" s="12">
        <v>80</v>
      </c>
      <c r="R239" s="11" t="s">
        <v>25</v>
      </c>
      <c r="S239" s="3" t="s">
        <v>343</v>
      </c>
      <c r="T239" s="3" t="s">
        <v>344</v>
      </c>
    </row>
    <row r="240" spans="1:20" ht="15.75" customHeight="1" x14ac:dyDescent="0.3">
      <c r="A240" s="7" t="s">
        <v>336</v>
      </c>
      <c r="B240" s="8" t="s">
        <v>19</v>
      </c>
      <c r="C240" s="9" t="s">
        <v>289</v>
      </c>
      <c r="D240" s="5">
        <v>30.11</v>
      </c>
      <c r="E240" s="5">
        <v>36.125</v>
      </c>
      <c r="F240" s="5">
        <v>40.012499999999996</v>
      </c>
      <c r="G240" s="5">
        <v>55.987499999999997</v>
      </c>
      <c r="H240" s="5">
        <v>76.5</v>
      </c>
      <c r="I240" s="5">
        <v>178.27500000000001</v>
      </c>
      <c r="J240" s="10" t="s">
        <v>21</v>
      </c>
      <c r="K240" s="10" t="s">
        <v>21</v>
      </c>
      <c r="L240" s="10" t="s">
        <v>21</v>
      </c>
      <c r="M240" s="10" t="s">
        <v>21</v>
      </c>
      <c r="N240" s="5">
        <v>381.5625</v>
      </c>
      <c r="O240" s="11" t="s">
        <v>23</v>
      </c>
      <c r="P240" s="11" t="s">
        <v>24</v>
      </c>
      <c r="Q240" s="12">
        <v>80</v>
      </c>
      <c r="R240" s="11" t="s">
        <v>25</v>
      </c>
      <c r="S240" s="3" t="s">
        <v>343</v>
      </c>
      <c r="T240" s="3" t="s">
        <v>344</v>
      </c>
    </row>
    <row r="241" spans="1:20" ht="15.75" customHeight="1" x14ac:dyDescent="0.3">
      <c r="A241" s="7" t="s">
        <v>336</v>
      </c>
      <c r="B241" s="8" t="s">
        <v>19</v>
      </c>
      <c r="C241" s="9" t="s">
        <v>290</v>
      </c>
      <c r="D241" s="5">
        <v>34.54</v>
      </c>
      <c r="E241" s="5">
        <v>42.1875</v>
      </c>
      <c r="F241" s="5">
        <v>47.375</v>
      </c>
      <c r="G241" s="5">
        <v>65.45</v>
      </c>
      <c r="H241" s="5">
        <v>93.375</v>
      </c>
      <c r="I241" s="5">
        <v>201.82500000000002</v>
      </c>
      <c r="J241" s="10" t="s">
        <v>21</v>
      </c>
      <c r="K241" s="10" t="s">
        <v>21</v>
      </c>
      <c r="L241" s="10" t="s">
        <v>21</v>
      </c>
      <c r="M241" s="10" t="s">
        <v>21</v>
      </c>
      <c r="N241" s="5">
        <v>413.75</v>
      </c>
      <c r="O241" s="11" t="s">
        <v>271</v>
      </c>
      <c r="P241" s="11" t="s">
        <v>271</v>
      </c>
      <c r="Q241" s="12">
        <v>80</v>
      </c>
      <c r="R241" s="11" t="s">
        <v>25</v>
      </c>
      <c r="S241" s="3" t="s">
        <v>343</v>
      </c>
      <c r="T241" s="3" t="s">
        <v>344</v>
      </c>
    </row>
    <row r="242" spans="1:20" ht="15.75" customHeight="1" x14ac:dyDescent="0.3">
      <c r="A242" s="7" t="s">
        <v>336</v>
      </c>
      <c r="B242" s="8" t="s">
        <v>19</v>
      </c>
      <c r="C242" s="9" t="s">
        <v>291</v>
      </c>
      <c r="D242" s="5">
        <v>34.54</v>
      </c>
      <c r="E242" s="5">
        <v>42.1875</v>
      </c>
      <c r="F242" s="5">
        <v>47.375</v>
      </c>
      <c r="G242" s="5">
        <v>65.45</v>
      </c>
      <c r="H242" s="5">
        <v>93.375</v>
      </c>
      <c r="I242" s="5">
        <v>201.82500000000002</v>
      </c>
      <c r="J242" s="10" t="s">
        <v>21</v>
      </c>
      <c r="K242" s="10" t="s">
        <v>21</v>
      </c>
      <c r="L242" s="10" t="s">
        <v>21</v>
      </c>
      <c r="M242" s="10" t="s">
        <v>21</v>
      </c>
      <c r="N242" s="5">
        <v>413.75</v>
      </c>
      <c r="O242" s="11" t="s">
        <v>271</v>
      </c>
      <c r="P242" s="11" t="s">
        <v>271</v>
      </c>
      <c r="Q242" s="12">
        <v>80</v>
      </c>
      <c r="R242" s="11" t="s">
        <v>25</v>
      </c>
      <c r="S242" s="3" t="s">
        <v>343</v>
      </c>
      <c r="T242" s="3" t="s">
        <v>344</v>
      </c>
    </row>
    <row r="243" spans="1:20" ht="15.75" customHeight="1" x14ac:dyDescent="0.3">
      <c r="A243" s="7" t="s">
        <v>336</v>
      </c>
      <c r="B243" s="8" t="s">
        <v>19</v>
      </c>
      <c r="C243" s="9" t="s">
        <v>292</v>
      </c>
      <c r="D243" s="5">
        <v>22.28</v>
      </c>
      <c r="E243" s="5">
        <v>24.512499999999999</v>
      </c>
      <c r="F243" s="5">
        <v>25</v>
      </c>
      <c r="G243" s="5">
        <v>27.5</v>
      </c>
      <c r="H243" s="5">
        <v>33.75</v>
      </c>
      <c r="I243" s="5">
        <v>40.4</v>
      </c>
      <c r="J243" s="10" t="s">
        <v>21</v>
      </c>
      <c r="K243" s="10" t="s">
        <v>21</v>
      </c>
      <c r="L243" s="10" t="s">
        <v>21</v>
      </c>
      <c r="M243" s="10" t="s">
        <v>21</v>
      </c>
      <c r="N243" s="5">
        <v>86.25</v>
      </c>
      <c r="O243" s="11" t="s">
        <v>29</v>
      </c>
      <c r="P243" s="11" t="s">
        <v>38</v>
      </c>
      <c r="Q243" s="12">
        <v>80</v>
      </c>
      <c r="R243" s="11" t="s">
        <v>25</v>
      </c>
      <c r="S243" s="3" t="s">
        <v>343</v>
      </c>
      <c r="T243" s="3" t="s">
        <v>344</v>
      </c>
    </row>
    <row r="244" spans="1:20" ht="15.75" customHeight="1" x14ac:dyDescent="0.3">
      <c r="A244" s="7" t="s">
        <v>336</v>
      </c>
      <c r="B244" s="8" t="s">
        <v>19</v>
      </c>
      <c r="C244" s="9" t="s">
        <v>293</v>
      </c>
      <c r="D244" s="10" t="s">
        <v>21</v>
      </c>
      <c r="E244" s="10" t="s">
        <v>21</v>
      </c>
      <c r="F244" s="10" t="s">
        <v>21</v>
      </c>
      <c r="G244" s="10" t="s">
        <v>21</v>
      </c>
      <c r="H244" s="10" t="s">
        <v>21</v>
      </c>
      <c r="I244" s="10" t="s">
        <v>21</v>
      </c>
      <c r="J244" s="10" t="s">
        <v>21</v>
      </c>
      <c r="K244" s="10" t="s">
        <v>21</v>
      </c>
      <c r="L244" s="10" t="s">
        <v>21</v>
      </c>
      <c r="M244" s="10" t="s">
        <v>21</v>
      </c>
      <c r="N244" s="10" t="s">
        <v>21</v>
      </c>
      <c r="O244" s="11"/>
      <c r="P244" s="11"/>
      <c r="Q244" s="11"/>
      <c r="R244" s="11"/>
      <c r="S244" s="3" t="s">
        <v>343</v>
      </c>
      <c r="T244" s="3" t="s">
        <v>344</v>
      </c>
    </row>
    <row r="245" spans="1:20" ht="15.75" customHeight="1" x14ac:dyDescent="0.3">
      <c r="A245" s="7" t="s">
        <v>336</v>
      </c>
      <c r="B245" s="8" t="s">
        <v>19</v>
      </c>
      <c r="C245" s="9" t="s">
        <v>294</v>
      </c>
      <c r="D245" s="5">
        <v>28.42</v>
      </c>
      <c r="E245" s="5">
        <v>33</v>
      </c>
      <c r="F245" s="5">
        <v>38.125</v>
      </c>
      <c r="G245" s="5">
        <v>54.75</v>
      </c>
      <c r="H245" s="5">
        <v>77.5</v>
      </c>
      <c r="I245" s="5">
        <v>138.125</v>
      </c>
      <c r="J245" s="10" t="s">
        <v>21</v>
      </c>
      <c r="K245" s="10" t="s">
        <v>21</v>
      </c>
      <c r="L245" s="10" t="s">
        <v>21</v>
      </c>
      <c r="M245" s="10" t="s">
        <v>21</v>
      </c>
      <c r="N245" s="5">
        <v>289.625</v>
      </c>
      <c r="O245" s="11" t="s">
        <v>38</v>
      </c>
      <c r="P245" s="11" t="s">
        <v>24</v>
      </c>
      <c r="Q245" s="12">
        <v>80</v>
      </c>
      <c r="R245" s="11" t="s">
        <v>25</v>
      </c>
      <c r="S245" s="3" t="s">
        <v>343</v>
      </c>
      <c r="T245" s="3" t="s">
        <v>344</v>
      </c>
    </row>
    <row r="246" spans="1:20" ht="15.75" customHeight="1" x14ac:dyDescent="0.3">
      <c r="A246" s="7" t="s">
        <v>336</v>
      </c>
      <c r="B246" s="8" t="s">
        <v>19</v>
      </c>
      <c r="C246" s="9" t="s">
        <v>295</v>
      </c>
      <c r="D246" s="5">
        <v>34.54</v>
      </c>
      <c r="E246" s="5">
        <v>42.1875</v>
      </c>
      <c r="F246" s="5">
        <v>47.375</v>
      </c>
      <c r="G246" s="5">
        <v>65.45</v>
      </c>
      <c r="H246" s="5">
        <v>93.375</v>
      </c>
      <c r="I246" s="5">
        <v>201.82500000000002</v>
      </c>
      <c r="J246" s="10" t="s">
        <v>21</v>
      </c>
      <c r="K246" s="10" t="s">
        <v>21</v>
      </c>
      <c r="L246" s="10" t="s">
        <v>21</v>
      </c>
      <c r="M246" s="10" t="s">
        <v>21</v>
      </c>
      <c r="N246" s="5">
        <v>413.75</v>
      </c>
      <c r="O246" s="11" t="s">
        <v>271</v>
      </c>
      <c r="P246" s="11" t="s">
        <v>271</v>
      </c>
      <c r="Q246" s="12">
        <v>80</v>
      </c>
      <c r="R246" s="11" t="s">
        <v>25</v>
      </c>
      <c r="S246" s="3" t="s">
        <v>343</v>
      </c>
      <c r="T246" s="3" t="s">
        <v>344</v>
      </c>
    </row>
    <row r="247" spans="1:20" ht="15.75" customHeight="1" x14ac:dyDescent="0.3">
      <c r="A247" s="7" t="s">
        <v>336</v>
      </c>
      <c r="B247" s="8" t="s">
        <v>19</v>
      </c>
      <c r="C247" s="9" t="s">
        <v>296</v>
      </c>
      <c r="D247" s="10" t="s">
        <v>21</v>
      </c>
      <c r="E247" s="10" t="s">
        <v>21</v>
      </c>
      <c r="F247" s="10" t="s">
        <v>21</v>
      </c>
      <c r="G247" s="10" t="s">
        <v>21</v>
      </c>
      <c r="H247" s="10" t="s">
        <v>21</v>
      </c>
      <c r="I247" s="10" t="s">
        <v>21</v>
      </c>
      <c r="J247" s="10" t="s">
        <v>21</v>
      </c>
      <c r="K247" s="10" t="s">
        <v>21</v>
      </c>
      <c r="L247" s="10" t="s">
        <v>21</v>
      </c>
      <c r="M247" s="10" t="s">
        <v>21</v>
      </c>
      <c r="N247" s="10" t="s">
        <v>21</v>
      </c>
      <c r="O247" s="11"/>
      <c r="P247" s="11"/>
      <c r="Q247" s="11"/>
      <c r="R247" s="11"/>
      <c r="S247" s="3" t="s">
        <v>343</v>
      </c>
      <c r="T247" s="3" t="s">
        <v>344</v>
      </c>
    </row>
    <row r="248" spans="1:20" ht="15.75" customHeight="1" x14ac:dyDescent="0.3">
      <c r="A248" s="7" t="s">
        <v>336</v>
      </c>
      <c r="B248" s="8" t="s">
        <v>19</v>
      </c>
      <c r="C248" s="9" t="s">
        <v>297</v>
      </c>
      <c r="D248" s="10" t="s">
        <v>21</v>
      </c>
      <c r="E248" s="10" t="s">
        <v>21</v>
      </c>
      <c r="F248" s="10" t="s">
        <v>21</v>
      </c>
      <c r="G248" s="10" t="s">
        <v>21</v>
      </c>
      <c r="H248" s="10" t="s">
        <v>21</v>
      </c>
      <c r="I248" s="10" t="s">
        <v>21</v>
      </c>
      <c r="J248" s="10" t="s">
        <v>21</v>
      </c>
      <c r="K248" s="10" t="s">
        <v>21</v>
      </c>
      <c r="L248" s="10" t="s">
        <v>21</v>
      </c>
      <c r="M248" s="10" t="s">
        <v>21</v>
      </c>
      <c r="N248" s="10" t="s">
        <v>21</v>
      </c>
      <c r="O248" s="11"/>
      <c r="P248" s="11"/>
      <c r="Q248" s="11"/>
      <c r="R248" s="11"/>
      <c r="S248" s="3" t="s">
        <v>343</v>
      </c>
      <c r="T248" s="3" t="s">
        <v>344</v>
      </c>
    </row>
    <row r="249" spans="1:20" ht="15.75" customHeight="1" x14ac:dyDescent="0.3">
      <c r="A249" s="7" t="s">
        <v>336</v>
      </c>
      <c r="B249" s="8" t="s">
        <v>19</v>
      </c>
      <c r="C249" s="9" t="s">
        <v>298</v>
      </c>
      <c r="D249" s="5">
        <v>34.54</v>
      </c>
      <c r="E249" s="5">
        <v>42.1875</v>
      </c>
      <c r="F249" s="5">
        <v>47.375</v>
      </c>
      <c r="G249" s="5">
        <v>65.45</v>
      </c>
      <c r="H249" s="5">
        <v>93.375</v>
      </c>
      <c r="I249" s="5">
        <v>201.82500000000002</v>
      </c>
      <c r="J249" s="10" t="s">
        <v>21</v>
      </c>
      <c r="K249" s="10" t="s">
        <v>21</v>
      </c>
      <c r="L249" s="10" t="s">
        <v>21</v>
      </c>
      <c r="M249" s="10" t="s">
        <v>21</v>
      </c>
      <c r="N249" s="5">
        <v>413.75</v>
      </c>
      <c r="O249" s="11" t="s">
        <v>271</v>
      </c>
      <c r="P249" s="11" t="s">
        <v>271</v>
      </c>
      <c r="Q249" s="12">
        <v>80</v>
      </c>
      <c r="R249" s="11" t="s">
        <v>25</v>
      </c>
      <c r="S249" s="3" t="s">
        <v>343</v>
      </c>
      <c r="T249" s="3" t="s">
        <v>344</v>
      </c>
    </row>
    <row r="250" spans="1:20" ht="15.75" customHeight="1" x14ac:dyDescent="0.3">
      <c r="A250" s="7" t="s">
        <v>336</v>
      </c>
      <c r="B250" s="8" t="s">
        <v>19</v>
      </c>
      <c r="C250" s="9" t="s">
        <v>299</v>
      </c>
      <c r="D250" s="5">
        <v>34.54</v>
      </c>
      <c r="E250" s="5">
        <v>42.1875</v>
      </c>
      <c r="F250" s="5">
        <v>47.375</v>
      </c>
      <c r="G250" s="5">
        <v>65.45</v>
      </c>
      <c r="H250" s="5">
        <v>93.375</v>
      </c>
      <c r="I250" s="5">
        <v>201.82500000000002</v>
      </c>
      <c r="J250" s="10" t="s">
        <v>21</v>
      </c>
      <c r="K250" s="10" t="s">
        <v>21</v>
      </c>
      <c r="L250" s="10" t="s">
        <v>21</v>
      </c>
      <c r="M250" s="10" t="s">
        <v>21</v>
      </c>
      <c r="N250" s="5">
        <v>413.75</v>
      </c>
      <c r="O250" s="11" t="s">
        <v>271</v>
      </c>
      <c r="P250" s="11" t="s">
        <v>271</v>
      </c>
      <c r="Q250" s="12">
        <v>80</v>
      </c>
      <c r="R250" s="11" t="s">
        <v>25</v>
      </c>
      <c r="S250" s="3" t="s">
        <v>343</v>
      </c>
      <c r="T250" s="3" t="s">
        <v>344</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6" priority="1">
      <formula>IF($A2="N/A",TRUE,Fasle)</formula>
    </cfRule>
    <cfRule type="expression" dxfId="5" priority="2">
      <formula>IF($A2="EU",TRUE,Fasle)</formula>
    </cfRule>
  </conditionalFormatting>
  <dataValidations count="1">
    <dataValidation type="list" allowBlank="1" showInputMessage="1" showErrorMessage="1" sqref="A2:A250" xr:uid="{00000000-0002-0000-0000-000000000000}">
      <formula1>"EU,N/A"</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2"/>
  <sheetViews>
    <sheetView workbookViewId="0">
      <pane ySplit="1" topLeftCell="A1048560" activePane="bottomLeft" state="frozen"/>
      <selection pane="bottomLeft" activeCell="C1048566" sqref="C1048566"/>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33" t="s">
        <v>338</v>
      </c>
      <c r="B1" s="34" t="s">
        <v>0</v>
      </c>
      <c r="C1" s="34" t="s">
        <v>1</v>
      </c>
      <c r="D1" s="35" t="s">
        <v>2</v>
      </c>
      <c r="E1" s="35" t="s">
        <v>3</v>
      </c>
      <c r="F1" s="35" t="s">
        <v>4</v>
      </c>
      <c r="G1" s="35" t="s">
        <v>5</v>
      </c>
      <c r="H1" s="35" t="s">
        <v>6</v>
      </c>
      <c r="I1" s="35" t="s">
        <v>7</v>
      </c>
      <c r="J1" s="35" t="s">
        <v>8</v>
      </c>
      <c r="K1" s="35" t="s">
        <v>9</v>
      </c>
      <c r="L1" s="35" t="s">
        <v>10</v>
      </c>
      <c r="M1" s="35" t="s">
        <v>11</v>
      </c>
      <c r="N1" s="35" t="s">
        <v>12</v>
      </c>
      <c r="O1" s="35" t="s">
        <v>13</v>
      </c>
      <c r="P1" s="35" t="s">
        <v>14</v>
      </c>
      <c r="Q1" s="35" t="s">
        <v>15</v>
      </c>
      <c r="R1" s="35" t="s">
        <v>16</v>
      </c>
      <c r="S1" s="35" t="s">
        <v>17</v>
      </c>
      <c r="T1" s="36" t="s">
        <v>18</v>
      </c>
    </row>
    <row r="2" spans="1:20" ht="15.75" customHeight="1" x14ac:dyDescent="0.3">
      <c r="A2" s="37"/>
      <c r="B2" s="3"/>
      <c r="C2" s="4"/>
      <c r="D2" s="5"/>
      <c r="E2" s="5"/>
      <c r="F2" s="5"/>
      <c r="G2" s="5"/>
      <c r="H2" s="5"/>
      <c r="I2" s="5"/>
      <c r="J2" s="5"/>
      <c r="K2" s="5"/>
      <c r="L2" s="5"/>
      <c r="M2" s="5"/>
      <c r="N2" s="5"/>
      <c r="R2" s="6"/>
      <c r="S2" s="3"/>
      <c r="T2" s="38"/>
    </row>
    <row r="3" spans="1:20" ht="15.75" customHeight="1" x14ac:dyDescent="0.3">
      <c r="A3" s="39" t="str">
        <f>IF('Rates from Ireland Fedex Priort'!A2="","",'Rates from Ireland Fedex Priort'!A2)</f>
        <v>EU</v>
      </c>
      <c r="B3" s="8" t="str">
        <f>IF('Rates from Ireland Fedex Priort'!B2="","",'Rates from Ireland Fedex Priort'!B2)</f>
        <v>Ireland</v>
      </c>
      <c r="C3" s="9" t="str">
        <f>IF('Rates from Ireland Fedex Priort'!C2="","",'Rates from Ireland Fedex Priort'!C2)</f>
        <v>Afghanistan</v>
      </c>
      <c r="D3" s="10" t="str">
        <f>IF(ISNUMBER('Rates from Ireland Fedex Priort'!D2),_xlfn.CEILING.MATH('Rates from Ireland Fedex Priort'!D2,1)+(IF($A3="EU",Variables!$B$5,IF($A3="N/A",0,Variables!$B$2))),'Rates from Ireland Fedex Priort'!D2)</f>
        <v>No service</v>
      </c>
      <c r="E3" s="10" t="str">
        <f>IF(ISNUMBER('Rates from Ireland Fedex Priort'!E2),_xlfn.CEILING.MATH('Rates from Ireland Fedex Priort'!E2,1)+IF($A3="EU",Variables!$B$6,Variables!$B$3),'Rates from Ireland Fedex Priort'!E2)</f>
        <v>No service</v>
      </c>
      <c r="F3" s="10" t="str">
        <f>IF(ISNUMBER('Rates from Ireland Fedex Priort'!F2),_xlfn.CEILING.MATH('Rates from Ireland Fedex Priort'!F2,1)+IF($A3="EU",Variables!$B$6,Variables!$B$3),'Rates from Ireland Fedex Priort'!F2)</f>
        <v>No service</v>
      </c>
      <c r="G3" s="10" t="str">
        <f>IF(ISNUMBER('Rates from Ireland Fedex Priort'!G2),_xlfn.CEILING.MATH('Rates from Ireland Fedex Priort'!G2,1)+IF($A3="EU",Variables!$B$6,Variables!$B$3),'Rates from Ireland Fedex Priort'!G2)</f>
        <v>No service</v>
      </c>
      <c r="H3" s="10" t="str">
        <f>IF(ISNUMBER('Rates from Ireland Fedex Priort'!H2),_xlfn.CEILING.MATH('Rates from Ireland Fedex Priort'!H2,1)+IF($A3="EU",Variables!$B$6,Variables!$B$3),'Rates from Ireland Fedex Priort'!H2)</f>
        <v>No service</v>
      </c>
      <c r="I3" s="10" t="str">
        <f>IF(ISNUMBER('Rates from Ireland Fedex Priort'!I2),_xlfn.CEILING.MATH('Rates from Ireland Fedex Priort'!I2,1)+IF($A3="EU",Variables!$B$6,Variables!$B$3),'Rates from Ireland Fedex Priort'!I2)</f>
        <v>No service</v>
      </c>
      <c r="J3" s="10" t="str">
        <f>IF(ISNUMBER('Rates from Ireland Fedex Priort'!J2),_xlfn.CEILING.MATH('Rates from Ireland Fedex Priort'!J2,1)+IF($A3="EU",Variables!$B$6,Variables!$B$3),'Rates from Ireland Fedex Priort'!J2)</f>
        <v>No service</v>
      </c>
      <c r="K3" s="10" t="str">
        <f>IF(ISNUMBER('Rates from Ireland Fedex Priort'!K2),_xlfn.CEILING.MATH('Rates from Ireland Fedex Priort'!K2,1)+IF($A3="EU",Variables!$B$6,Variables!$B$3),'Rates from Ireland Fedex Priort'!K2)</f>
        <v>No service</v>
      </c>
      <c r="L3" s="10" t="str">
        <f>IF(ISNUMBER('Rates from Ireland Fedex Priort'!L2),_xlfn.CEILING.MATH('Rates from Ireland Fedex Priort'!L2,1)+IF($A3="EU",Variables!$B$6,Variables!$B$3),'Rates from Ireland Fedex Priort'!L2)</f>
        <v>No service</v>
      </c>
      <c r="M3" s="10" t="str">
        <f>IF(ISNUMBER('Rates from Ireland Fedex Priort'!M2),_xlfn.CEILING.MATH('Rates from Ireland Fedex Priort'!M2,1)+IF($A3="EU",Variables!$B$6,Variables!$B$3),'Rates from Ireland Fedex Priort'!M2)</f>
        <v>No service</v>
      </c>
      <c r="N3" s="10" t="str">
        <f>IF(ISNUMBER('Rates from Ireland Fedex Priort'!N2),_xlfn.CEILING.MATH('Rates from Ireland Fedex Priort'!N2,1)+IF($A3="EU",Variables!$B$6,Variables!$B$3),'Rates from Ireland Fedex Priort'!N2)</f>
        <v>No service</v>
      </c>
      <c r="S3" s="3"/>
      <c r="T3" s="38"/>
    </row>
    <row r="4" spans="1:20" ht="15.75" customHeight="1" x14ac:dyDescent="0.3">
      <c r="A4" s="39" t="str">
        <f>IF('Rates from Ireland Fedex Priort'!A3="","",'Rates from Ireland Fedex Priort'!A3)</f>
        <v>EU</v>
      </c>
      <c r="B4" s="8" t="str">
        <f>IF('Rates from Ireland Fedex Priort'!B3="","",'Rates from Ireland Fedex Priort'!B3)</f>
        <v>Ireland</v>
      </c>
      <c r="C4" s="9" t="str">
        <f>IF('Rates from Ireland Fedex Priort'!C3="","",'Rates from Ireland Fedex Priort'!C3)</f>
        <v>Albania</v>
      </c>
      <c r="D4" s="10">
        <f>IF(ISNUMBER('Rates from Ireland Fedex Priort'!D3),_xlfn.CEILING.MATH('Rates from Ireland Fedex Priort'!D3,1)+(IF($A4="EU",Variables!$B$5,IF($A4="N/A",0,Variables!$B$2))),'Rates from Ireland Fedex Priort'!D3)</f>
        <v>76</v>
      </c>
      <c r="E4" s="10">
        <f>IF(ISNUMBER('Rates from Ireland Fedex Priort'!E3),_xlfn.CEILING.MATH('Rates from Ireland Fedex Priort'!E3,1)+IF($A4="EU",Variables!$B$6,Variables!$B$3),'Rates from Ireland Fedex Priort'!E3)</f>
        <v>85</v>
      </c>
      <c r="F4" s="10">
        <f>IF(ISNUMBER('Rates from Ireland Fedex Priort'!F3),_xlfn.CEILING.MATH('Rates from Ireland Fedex Priort'!F3,1)+IF($A4="EU",Variables!$B$6,Variables!$B$3),'Rates from Ireland Fedex Priort'!F3)</f>
        <v>88</v>
      </c>
      <c r="G4" s="10">
        <f>IF(ISNUMBER('Rates from Ireland Fedex Priort'!G3),_xlfn.CEILING.MATH('Rates from Ireland Fedex Priort'!G3,1)+IF($A4="EU",Variables!$B$6,Variables!$B$3),'Rates from Ireland Fedex Priort'!G3)</f>
        <v>97</v>
      </c>
      <c r="H4" s="10">
        <f>IF(ISNUMBER('Rates from Ireland Fedex Priort'!H3),_xlfn.CEILING.MATH('Rates from Ireland Fedex Priort'!H3,1)+IF($A4="EU",Variables!$B$6,Variables!$B$3),'Rates from Ireland Fedex Priort'!H3)</f>
        <v>102</v>
      </c>
      <c r="I4" s="10">
        <f>IF(ISNUMBER('Rates from Ireland Fedex Priort'!I3),_xlfn.CEILING.MATH('Rates from Ireland Fedex Priort'!I3,1)+IF($A4="EU",Variables!$B$6,Variables!$B$3),'Rates from Ireland Fedex Priort'!I3)</f>
        <v>109</v>
      </c>
      <c r="J4" s="10" t="str">
        <f>IF(ISNUMBER('Rates from Ireland Fedex Priort'!J3),_xlfn.CEILING.MATH('Rates from Ireland Fedex Priort'!J3,1)+IF($A4="EU",Variables!$B$6,Variables!$B$3),'Rates from Ireland Fedex Priort'!J3)</f>
        <v>No service</v>
      </c>
      <c r="K4" s="10" t="str">
        <f>IF(ISNUMBER('Rates from Ireland Fedex Priort'!K3),_xlfn.CEILING.MATH('Rates from Ireland Fedex Priort'!K3,1)+IF($A4="EU",Variables!$B$6,Variables!$B$3),'Rates from Ireland Fedex Priort'!K3)</f>
        <v>No service</v>
      </c>
      <c r="L4" s="10" t="str">
        <f>IF(ISNUMBER('Rates from Ireland Fedex Priort'!L3),_xlfn.CEILING.MATH('Rates from Ireland Fedex Priort'!L3,1)+IF($A4="EU",Variables!$B$6,Variables!$B$3),'Rates from Ireland Fedex Priort'!L3)</f>
        <v>No service</v>
      </c>
      <c r="M4" s="10" t="str">
        <f>IF(ISNUMBER('Rates from Ireland Fedex Priort'!M3),_xlfn.CEILING.MATH('Rates from Ireland Fedex Priort'!M3,1)+IF($A4="EU",Variables!$B$6,Variables!$B$3),'Rates from Ireland Fedex Priort'!M3)</f>
        <v>No service</v>
      </c>
      <c r="N4" s="10" t="str">
        <f>IF(ISNUMBER('Rates from Ireland Fedex Priort'!N3),_xlfn.CEILING.MATH('Rates from Ireland Fedex Priort'!N3,1)+IF($A4="EU",Variables!$B$6,Variables!$B$3),'Rates from Ireland Fedex Priort'!N3)</f>
        <v>No service</v>
      </c>
      <c r="O4" s="11" t="s">
        <v>23</v>
      </c>
      <c r="P4" s="11" t="s">
        <v>24</v>
      </c>
      <c r="Q4" s="12">
        <v>80</v>
      </c>
      <c r="R4" s="11" t="s">
        <v>25</v>
      </c>
      <c r="S4" s="3" t="s">
        <v>26</v>
      </c>
      <c r="T4" s="38" t="s">
        <v>27</v>
      </c>
    </row>
    <row r="5" spans="1:20" ht="15.75" customHeight="1" x14ac:dyDescent="0.3">
      <c r="A5" s="39" t="str">
        <f>IF('Rates from Ireland Fedex Priort'!A4="","",'Rates from Ireland Fedex Priort'!A4)</f>
        <v>EU</v>
      </c>
      <c r="B5" s="8" t="str">
        <f>IF('Rates from Ireland Fedex Priort'!B4="","",'Rates from Ireland Fedex Priort'!B4)</f>
        <v>Ireland</v>
      </c>
      <c r="C5" s="9" t="str">
        <f>IF('Rates from Ireland Fedex Priort'!C4="","",'Rates from Ireland Fedex Priort'!C4)</f>
        <v>Algeria</v>
      </c>
      <c r="D5" s="10">
        <f>IF(ISNUMBER('Rates from Ireland Fedex Priort'!D4),_xlfn.CEILING.MATH('Rates from Ireland Fedex Priort'!D4,1)+(IF($A5="EU",Variables!$B$5,IF($A5="N/A",0,Variables!$B$2))),'Rates from Ireland Fedex Priort'!D4)</f>
        <v>62</v>
      </c>
      <c r="E5" s="10">
        <f>IF(ISNUMBER('Rates from Ireland Fedex Priort'!E4),_xlfn.CEILING.MATH('Rates from Ireland Fedex Priort'!E4,1)+IF($A5="EU",Variables!$B$6,Variables!$B$3),'Rates from Ireland Fedex Priort'!E4)</f>
        <v>69</v>
      </c>
      <c r="F5" s="10">
        <f>IF(ISNUMBER('Rates from Ireland Fedex Priort'!F4),_xlfn.CEILING.MATH('Rates from Ireland Fedex Priort'!F4,1)+IF($A5="EU",Variables!$B$6,Variables!$B$3),'Rates from Ireland Fedex Priort'!F4)</f>
        <v>72</v>
      </c>
      <c r="G5" s="10">
        <f>IF(ISNUMBER('Rates from Ireland Fedex Priort'!G4),_xlfn.CEILING.MATH('Rates from Ireland Fedex Priort'!G4,1)+IF($A5="EU",Variables!$B$6,Variables!$B$3),'Rates from Ireland Fedex Priort'!G4)</f>
        <v>86</v>
      </c>
      <c r="H5" s="10">
        <f>IF(ISNUMBER('Rates from Ireland Fedex Priort'!H4),_xlfn.CEILING.MATH('Rates from Ireland Fedex Priort'!H4,1)+IF($A5="EU",Variables!$B$6,Variables!$B$3),'Rates from Ireland Fedex Priort'!H4)</f>
        <v>111</v>
      </c>
      <c r="I5" s="10">
        <f>IF(ISNUMBER('Rates from Ireland Fedex Priort'!I4),_xlfn.CEILING.MATH('Rates from Ireland Fedex Priort'!I4,1)+IF($A5="EU",Variables!$B$6,Variables!$B$3),'Rates from Ireland Fedex Priort'!I4)</f>
        <v>174</v>
      </c>
      <c r="J5" s="10" t="str">
        <f>IF(ISNUMBER('Rates from Ireland Fedex Priort'!J4),_xlfn.CEILING.MATH('Rates from Ireland Fedex Priort'!J4,1)+IF($A5="EU",Variables!$B$6,Variables!$B$3),'Rates from Ireland Fedex Priort'!J4)</f>
        <v>No service</v>
      </c>
      <c r="K5" s="10" t="str">
        <f>IF(ISNUMBER('Rates from Ireland Fedex Priort'!K4),_xlfn.CEILING.MATH('Rates from Ireland Fedex Priort'!K4,1)+IF($A5="EU",Variables!$B$6,Variables!$B$3),'Rates from Ireland Fedex Priort'!K4)</f>
        <v>No service</v>
      </c>
      <c r="L5" s="10" t="str">
        <f>IF(ISNUMBER('Rates from Ireland Fedex Priort'!L4),_xlfn.CEILING.MATH('Rates from Ireland Fedex Priort'!L4,1)+IF($A5="EU",Variables!$B$6,Variables!$B$3),'Rates from Ireland Fedex Priort'!L4)</f>
        <v>No service</v>
      </c>
      <c r="M5" s="10" t="str">
        <f>IF(ISNUMBER('Rates from Ireland Fedex Priort'!M4),_xlfn.CEILING.MATH('Rates from Ireland Fedex Priort'!M4,1)+IF($A5="EU",Variables!$B$6,Variables!$B$3),'Rates from Ireland Fedex Priort'!M4)</f>
        <v>No service</v>
      </c>
      <c r="N5" s="10" t="str">
        <f>IF(ISNUMBER('Rates from Ireland Fedex Priort'!N4),_xlfn.CEILING.MATH('Rates from Ireland Fedex Priort'!N4,1)+IF($A5="EU",Variables!$B$6,Variables!$B$3),'Rates from Ireland Fedex Priort'!N4)</f>
        <v>No service</v>
      </c>
      <c r="O5" s="11" t="s">
        <v>29</v>
      </c>
      <c r="P5" s="11" t="s">
        <v>30</v>
      </c>
      <c r="Q5" s="12">
        <v>80</v>
      </c>
      <c r="R5" s="11" t="s">
        <v>25</v>
      </c>
      <c r="S5" s="3" t="s">
        <v>26</v>
      </c>
      <c r="T5" s="38" t="s">
        <v>27</v>
      </c>
    </row>
    <row r="6" spans="1:20" ht="15.75" customHeight="1" x14ac:dyDescent="0.3">
      <c r="A6" s="39" t="str">
        <f>IF('Rates from Ireland Fedex Priort'!A5="","",'Rates from Ireland Fedex Priort'!A5)</f>
        <v>EU</v>
      </c>
      <c r="B6" s="8" t="str">
        <f>IF('Rates from Ireland Fedex Priort'!B5="","",'Rates from Ireland Fedex Priort'!B5)</f>
        <v>Ireland</v>
      </c>
      <c r="C6" s="9" t="str">
        <f>IF('Rates from Ireland Fedex Priort'!C5="","",'Rates from Ireland Fedex Priort'!C5)</f>
        <v>American Samoa (US)</v>
      </c>
      <c r="D6" s="10">
        <f>IF(ISNUMBER('Rates from Ireland Fedex Priort'!D5),_xlfn.CEILING.MATH('Rates from Ireland Fedex Priort'!D5,1)+IF($A6="EU",Variables!$B$5,Variables!$B$2),'Rates from Ireland Fedex Priort'!D5)</f>
        <v>72</v>
      </c>
      <c r="E6" s="10">
        <f>IF(ISNUMBER('Rates from Ireland Fedex Priort'!E5),_xlfn.CEILING.MATH('Rates from Ireland Fedex Priort'!E5,1)+IF($A6="EU",Variables!$B$6,Variables!$B$3),'Rates from Ireland Fedex Priort'!E5)</f>
        <v>83</v>
      </c>
      <c r="F6" s="10">
        <f>IF(ISNUMBER('Rates from Ireland Fedex Priort'!F5),_xlfn.CEILING.MATH('Rates from Ireland Fedex Priort'!F5,1)+IF($A6="EU",Variables!$B$6,Variables!$B$3),'Rates from Ireland Fedex Priort'!F5)</f>
        <v>88</v>
      </c>
      <c r="G6" s="10">
        <f>IF(ISNUMBER('Rates from Ireland Fedex Priort'!G5),_xlfn.CEILING.MATH('Rates from Ireland Fedex Priort'!G5,1)+IF($A6="EU",Variables!$B$6,Variables!$B$3),'Rates from Ireland Fedex Priort'!G5)</f>
        <v>106</v>
      </c>
      <c r="H6" s="10" t="str">
        <f>IF(ISNUMBER('Rates from Ireland Fedex Priort'!H5),_xlfn.CEILING.MATH('Rates from Ireland Fedex Priort'!H5,1)+IF($A6="EU",Variables!$B$6,Variables!$B$3),'Rates from Ireland Fedex Priort'!H5)</f>
        <v>No service</v>
      </c>
      <c r="I6" s="10" t="str">
        <f>IF(ISNUMBER('Rates from Ireland Fedex Priort'!I5),_xlfn.CEILING.MATH('Rates from Ireland Fedex Priort'!I5,1)+IF($A6="EU",Variables!$B$6,Variables!$B$3),'Rates from Ireland Fedex Priort'!I5)</f>
        <v>No service</v>
      </c>
      <c r="J6" s="10" t="str">
        <f>IF(ISNUMBER('Rates from Ireland Fedex Priort'!J5),_xlfn.CEILING.MATH('Rates from Ireland Fedex Priort'!J5,1)+IF($A6="EU",Variables!$B$6,Variables!$B$3),'Rates from Ireland Fedex Priort'!J5)</f>
        <v>No service</v>
      </c>
      <c r="K6" s="10" t="str">
        <f>IF(ISNUMBER('Rates from Ireland Fedex Priort'!K5),_xlfn.CEILING.MATH('Rates from Ireland Fedex Priort'!K5,1)+IF($A6="EU",Variables!$B$6,Variables!$B$3),'Rates from Ireland Fedex Priort'!K5)</f>
        <v>No service</v>
      </c>
      <c r="L6" s="10" t="str">
        <f>IF(ISNUMBER('Rates from Ireland Fedex Priort'!L5),_xlfn.CEILING.MATH('Rates from Ireland Fedex Priort'!L5,1)+IF($A6="EU",Variables!$B$6,Variables!$B$3),'Rates from Ireland Fedex Priort'!L5)</f>
        <v>No service</v>
      </c>
      <c r="M6" s="10" t="str">
        <f>IF(ISNUMBER('Rates from Ireland Fedex Priort'!M5),_xlfn.CEILING.MATH('Rates from Ireland Fedex Priort'!M5,1)+IF($A6="EU",Variables!$B$6,Variables!$B$3),'Rates from Ireland Fedex Priort'!M5)</f>
        <v>No service</v>
      </c>
      <c r="N6" s="10" t="str">
        <f>IF(ISNUMBER('Rates from Ireland Fedex Priort'!N5),_xlfn.CEILING.MATH('Rates from Ireland Fedex Priort'!N5,1)+IF($A6="EU",Variables!$B$6,Variables!$B$3),'Rates from Ireland Fedex Priort'!N5)</f>
        <v>No service</v>
      </c>
      <c r="O6" s="11"/>
      <c r="P6" s="11"/>
      <c r="Q6" s="11"/>
      <c r="R6" s="11"/>
      <c r="S6" s="3" t="s">
        <v>26</v>
      </c>
      <c r="T6" s="38" t="s">
        <v>27</v>
      </c>
    </row>
    <row r="7" spans="1:20" ht="15.75" customHeight="1" x14ac:dyDescent="0.3">
      <c r="A7" s="39" t="str">
        <f>IF('Rates from Ireland Fedex Priort'!A6="","",'Rates from Ireland Fedex Priort'!A6)</f>
        <v>EU</v>
      </c>
      <c r="B7" s="8" t="str">
        <f>IF('Rates from Ireland Fedex Priort'!B6="","",'Rates from Ireland Fedex Priort'!B6)</f>
        <v>Ireland</v>
      </c>
      <c r="C7" s="9" t="str">
        <f>IF('Rates from Ireland Fedex Priort'!C6="","",'Rates from Ireland Fedex Priort'!C6)</f>
        <v>Andorra</v>
      </c>
      <c r="D7" s="10">
        <f>IF(ISNUMBER('Rates from Ireland Fedex Priort'!D6),_xlfn.CEILING.MATH('Rates from Ireland Fedex Priort'!D6,1)+IF($A7="EU",Variables!$B$5,Variables!$B$2),'Rates from Ireland Fedex Priort'!D6)</f>
        <v>63</v>
      </c>
      <c r="E7" s="10">
        <f>IF(ISNUMBER('Rates from Ireland Fedex Priort'!E6),_xlfn.CEILING.MATH('Rates from Ireland Fedex Priort'!E6,1)+IF($A7="EU",Variables!$B$6,Variables!$B$3),'Rates from Ireland Fedex Priort'!E6)</f>
        <v>65</v>
      </c>
      <c r="F7" s="10">
        <f>IF(ISNUMBER('Rates from Ireland Fedex Priort'!F6),_xlfn.CEILING.MATH('Rates from Ireland Fedex Priort'!F6,1)+IF($A7="EU",Variables!$B$6,Variables!$B$3),'Rates from Ireland Fedex Priort'!F6)</f>
        <v>65</v>
      </c>
      <c r="G7" s="10">
        <f>IF(ISNUMBER('Rates from Ireland Fedex Priort'!G6),_xlfn.CEILING.MATH('Rates from Ireland Fedex Priort'!G6,1)+IF($A7="EU",Variables!$B$6,Variables!$B$3),'Rates from Ireland Fedex Priort'!G6)</f>
        <v>67</v>
      </c>
      <c r="H7" s="10">
        <f>IF(ISNUMBER('Rates from Ireland Fedex Priort'!H6),_xlfn.CEILING.MATH('Rates from Ireland Fedex Priort'!H6,1)+IF($A7="EU",Variables!$B$6,Variables!$B$3),'Rates from Ireland Fedex Priort'!H6)</f>
        <v>71</v>
      </c>
      <c r="I7" s="10">
        <f>IF(ISNUMBER('Rates from Ireland Fedex Priort'!I6),_xlfn.CEILING.MATH('Rates from Ireland Fedex Priort'!I6,1)+IF($A7="EU",Variables!$B$6,Variables!$B$3),'Rates from Ireland Fedex Priort'!I6)</f>
        <v>78</v>
      </c>
      <c r="J7" s="10" t="str">
        <f>IF(ISNUMBER('Rates from Ireland Fedex Priort'!J6),_xlfn.CEILING.MATH('Rates from Ireland Fedex Priort'!J6,1)+IF($A7="EU",Variables!$B$6,Variables!$B$3),'Rates from Ireland Fedex Priort'!J6)</f>
        <v>No service</v>
      </c>
      <c r="K7" s="10" t="str">
        <f>IF(ISNUMBER('Rates from Ireland Fedex Priort'!K6),_xlfn.CEILING.MATH('Rates from Ireland Fedex Priort'!K6,1)+IF($A7="EU",Variables!$B$6,Variables!$B$3),'Rates from Ireland Fedex Priort'!K6)</f>
        <v>No service</v>
      </c>
      <c r="L7" s="10" t="str">
        <f>IF(ISNUMBER('Rates from Ireland Fedex Priort'!L6),_xlfn.CEILING.MATH('Rates from Ireland Fedex Priort'!L6,1)+IF($A7="EU",Variables!$B$6,Variables!$B$3),'Rates from Ireland Fedex Priort'!L6)</f>
        <v>No service</v>
      </c>
      <c r="M7" s="10" t="str">
        <f>IF(ISNUMBER('Rates from Ireland Fedex Priort'!M6),_xlfn.CEILING.MATH('Rates from Ireland Fedex Priort'!M6,1)+IF($A7="EU",Variables!$B$6,Variables!$B$3),'Rates from Ireland Fedex Priort'!M6)</f>
        <v>No service</v>
      </c>
      <c r="N7" s="10" t="str">
        <f>IF(ISNUMBER('Rates from Ireland Fedex Priort'!N6),_xlfn.CEILING.MATH('Rates from Ireland Fedex Priort'!N6,1)+IF($A7="EU",Variables!$B$6,Variables!$B$3),'Rates from Ireland Fedex Priort'!N6)</f>
        <v>No service</v>
      </c>
      <c r="O7" s="11" t="s">
        <v>33</v>
      </c>
      <c r="P7" s="11" t="s">
        <v>23</v>
      </c>
      <c r="Q7" s="12">
        <v>80</v>
      </c>
      <c r="R7" s="11" t="s">
        <v>25</v>
      </c>
      <c r="S7" s="3" t="s">
        <v>26</v>
      </c>
      <c r="T7" s="38" t="s">
        <v>27</v>
      </c>
    </row>
    <row r="8" spans="1:20" ht="15.75" customHeight="1" x14ac:dyDescent="0.3">
      <c r="A8" s="39" t="str">
        <f>IF('Rates from Ireland Fedex Priort'!A7="","",'Rates from Ireland Fedex Priort'!A7)</f>
        <v>EU</v>
      </c>
      <c r="B8" s="8" t="str">
        <f>IF('Rates from Ireland Fedex Priort'!B7="","",'Rates from Ireland Fedex Priort'!B7)</f>
        <v>Ireland</v>
      </c>
      <c r="C8" s="9" t="str">
        <f>IF('Rates from Ireland Fedex Priort'!C7="","",'Rates from Ireland Fedex Priort'!C7)</f>
        <v>Angola</v>
      </c>
      <c r="D8" s="10">
        <f>IF(ISNUMBER('Rates from Ireland Fedex Priort'!D7),_xlfn.CEILING.MATH('Rates from Ireland Fedex Priort'!D7,1)+IF($A8="EU",Variables!$B$5,Variables!$B$2),'Rates from Ireland Fedex Priort'!D7)</f>
        <v>72</v>
      </c>
      <c r="E8" s="10">
        <f>IF(ISNUMBER('Rates from Ireland Fedex Priort'!E7),_xlfn.CEILING.MATH('Rates from Ireland Fedex Priort'!E7,1)+IF($A8="EU",Variables!$B$6,Variables!$B$3),'Rates from Ireland Fedex Priort'!E7)</f>
        <v>83</v>
      </c>
      <c r="F8" s="10">
        <f>IF(ISNUMBER('Rates from Ireland Fedex Priort'!F7),_xlfn.CEILING.MATH('Rates from Ireland Fedex Priort'!F7,1)+IF($A8="EU",Variables!$B$6,Variables!$B$3),'Rates from Ireland Fedex Priort'!F7)</f>
        <v>88</v>
      </c>
      <c r="G8" s="10">
        <f>IF(ISNUMBER('Rates from Ireland Fedex Priort'!G7),_xlfn.CEILING.MATH('Rates from Ireland Fedex Priort'!G7,1)+IF($A8="EU",Variables!$B$6,Variables!$B$3),'Rates from Ireland Fedex Priort'!G7)</f>
        <v>106</v>
      </c>
      <c r="H8" s="10">
        <f>IF(ISNUMBER('Rates from Ireland Fedex Priort'!H7),_xlfn.CEILING.MATH('Rates from Ireland Fedex Priort'!H7,1)+IF($A8="EU",Variables!$B$6,Variables!$B$3),'Rates from Ireland Fedex Priort'!H7)</f>
        <v>134</v>
      </c>
      <c r="I8" s="10">
        <f>IF(ISNUMBER('Rates from Ireland Fedex Priort'!I7),_xlfn.CEILING.MATH('Rates from Ireland Fedex Priort'!I7,1)+IF($A8="EU",Variables!$B$6,Variables!$B$3),'Rates from Ireland Fedex Priort'!I7)</f>
        <v>242</v>
      </c>
      <c r="J8" s="10" t="str">
        <f>IF(ISNUMBER('Rates from Ireland Fedex Priort'!J7),_xlfn.CEILING.MATH('Rates from Ireland Fedex Priort'!J7,1)+IF($A8="EU",Variables!$B$6,Variables!$B$3),'Rates from Ireland Fedex Priort'!J7)</f>
        <v>No service</v>
      </c>
      <c r="K8" s="10" t="str">
        <f>IF(ISNUMBER('Rates from Ireland Fedex Priort'!K7),_xlfn.CEILING.MATH('Rates from Ireland Fedex Priort'!K7,1)+IF($A8="EU",Variables!$B$6,Variables!$B$3),'Rates from Ireland Fedex Priort'!K7)</f>
        <v>No service</v>
      </c>
      <c r="L8" s="10" t="str">
        <f>IF(ISNUMBER('Rates from Ireland Fedex Priort'!L7),_xlfn.CEILING.MATH('Rates from Ireland Fedex Priort'!L7,1)+IF($A8="EU",Variables!$B$6,Variables!$B$3),'Rates from Ireland Fedex Priort'!L7)</f>
        <v>No service</v>
      </c>
      <c r="M8" s="10" t="str">
        <f>IF(ISNUMBER('Rates from Ireland Fedex Priort'!M7),_xlfn.CEILING.MATH('Rates from Ireland Fedex Priort'!M7,1)+IF($A8="EU",Variables!$B$6,Variables!$B$3),'Rates from Ireland Fedex Priort'!M7)</f>
        <v>No service</v>
      </c>
      <c r="N8" s="10" t="str">
        <f>IF(ISNUMBER('Rates from Ireland Fedex Priort'!N7),_xlfn.CEILING.MATH('Rates from Ireland Fedex Priort'!N7,1)+IF($A8="EU",Variables!$B$6,Variables!$B$3),'Rates from Ireland Fedex Priort'!N7)</f>
        <v>No service</v>
      </c>
      <c r="O8" s="11" t="s">
        <v>35</v>
      </c>
      <c r="P8" s="11" t="s">
        <v>36</v>
      </c>
      <c r="Q8" s="12">
        <v>80</v>
      </c>
      <c r="R8" s="11" t="s">
        <v>25</v>
      </c>
      <c r="S8" s="3" t="s">
        <v>26</v>
      </c>
      <c r="T8" s="38" t="s">
        <v>27</v>
      </c>
    </row>
    <row r="9" spans="1:20" ht="15.75" customHeight="1" x14ac:dyDescent="0.3">
      <c r="A9" s="39" t="str">
        <f>IF('Rates from Ireland Fedex Priort'!A8="","",'Rates from Ireland Fedex Priort'!A8)</f>
        <v>EU</v>
      </c>
      <c r="B9" s="8" t="str">
        <f>IF('Rates from Ireland Fedex Priort'!B8="","",'Rates from Ireland Fedex Priort'!B8)</f>
        <v>Ireland</v>
      </c>
      <c r="C9" s="9" t="str">
        <f>IF('Rates from Ireland Fedex Priort'!C8="","",'Rates from Ireland Fedex Priort'!C8)</f>
        <v>Anguilla</v>
      </c>
      <c r="D9" s="10">
        <f>IF(ISNUMBER('Rates from Ireland Fedex Priort'!D8),_xlfn.CEILING.MATH('Rates from Ireland Fedex Priort'!D8,1)+IF($A9="EU",Variables!$B$5,Variables!$B$2),'Rates from Ireland Fedex Priort'!D8)</f>
        <v>68</v>
      </c>
      <c r="E9" s="10">
        <f>IF(ISNUMBER('Rates from Ireland Fedex Priort'!E8),_xlfn.CEILING.MATH('Rates from Ireland Fedex Priort'!E8,1)+IF($A9="EU",Variables!$B$6,Variables!$B$3),'Rates from Ireland Fedex Priort'!E8)</f>
        <v>77</v>
      </c>
      <c r="F9" s="10">
        <f>IF(ISNUMBER('Rates from Ireland Fedex Priort'!F8),_xlfn.CEILING.MATH('Rates from Ireland Fedex Priort'!F8,1)+IF($A9="EU",Variables!$B$6,Variables!$B$3),'Rates from Ireland Fedex Priort'!F8)</f>
        <v>81</v>
      </c>
      <c r="G9" s="10">
        <f>IF(ISNUMBER('Rates from Ireland Fedex Priort'!G8),_xlfn.CEILING.MATH('Rates from Ireland Fedex Priort'!G8,1)+IF($A9="EU",Variables!$B$6,Variables!$B$3),'Rates from Ireland Fedex Priort'!G8)</f>
        <v>96</v>
      </c>
      <c r="H9" s="10">
        <f>IF(ISNUMBER('Rates from Ireland Fedex Priort'!H8),_xlfn.CEILING.MATH('Rates from Ireland Fedex Priort'!H8,1)+IF($A9="EU",Variables!$B$6,Variables!$B$3),'Rates from Ireland Fedex Priort'!H8)</f>
        <v>117</v>
      </c>
      <c r="I9" s="10">
        <f>IF(ISNUMBER('Rates from Ireland Fedex Priort'!I8),_xlfn.CEILING.MATH('Rates from Ireland Fedex Priort'!I8,1)+IF($A9="EU",Variables!$B$6,Variables!$B$3),'Rates from Ireland Fedex Priort'!I8)</f>
        <v>219</v>
      </c>
      <c r="J9" s="10" t="str">
        <f>IF(ISNUMBER('Rates from Ireland Fedex Priort'!J8),_xlfn.CEILING.MATH('Rates from Ireland Fedex Priort'!J8,1)+IF($A9="EU",Variables!$B$6,Variables!$B$3),'Rates from Ireland Fedex Priort'!J8)</f>
        <v>No service</v>
      </c>
      <c r="K9" s="10" t="str">
        <f>IF(ISNUMBER('Rates from Ireland Fedex Priort'!K8),_xlfn.CEILING.MATH('Rates from Ireland Fedex Priort'!K8,1)+IF($A9="EU",Variables!$B$6,Variables!$B$3),'Rates from Ireland Fedex Priort'!K8)</f>
        <v>No service</v>
      </c>
      <c r="L9" s="10" t="str">
        <f>IF(ISNUMBER('Rates from Ireland Fedex Priort'!L8),_xlfn.CEILING.MATH('Rates from Ireland Fedex Priort'!L8,1)+IF($A9="EU",Variables!$B$6,Variables!$B$3),'Rates from Ireland Fedex Priort'!L8)</f>
        <v>No service</v>
      </c>
      <c r="M9" s="10" t="str">
        <f>IF(ISNUMBER('Rates from Ireland Fedex Priort'!M8),_xlfn.CEILING.MATH('Rates from Ireland Fedex Priort'!M8,1)+IF($A9="EU",Variables!$B$6,Variables!$B$3),'Rates from Ireland Fedex Priort'!M8)</f>
        <v>No service</v>
      </c>
      <c r="N9" s="10" t="str">
        <f>IF(ISNUMBER('Rates from Ireland Fedex Priort'!N8),_xlfn.CEILING.MATH('Rates from Ireland Fedex Priort'!N8,1)+IF($A9="EU",Variables!$B$6,Variables!$B$3),'Rates from Ireland Fedex Priort'!N8)</f>
        <v>No service</v>
      </c>
      <c r="O9" s="11" t="s">
        <v>38</v>
      </c>
      <c r="P9" s="11" t="s">
        <v>39</v>
      </c>
      <c r="Q9" s="12">
        <v>80</v>
      </c>
      <c r="R9" s="11" t="s">
        <v>25</v>
      </c>
      <c r="S9" s="3" t="s">
        <v>26</v>
      </c>
      <c r="T9" s="38" t="s">
        <v>27</v>
      </c>
    </row>
    <row r="10" spans="1:20" ht="15.75" customHeight="1" x14ac:dyDescent="0.3">
      <c r="A10" s="39" t="str">
        <f>IF('Rates from Ireland Fedex Priort'!A9="","",'Rates from Ireland Fedex Priort'!A9)</f>
        <v>EU</v>
      </c>
      <c r="B10" s="8" t="str">
        <f>IF('Rates from Ireland Fedex Priort'!B9="","",'Rates from Ireland Fedex Priort'!B9)</f>
        <v>Ireland</v>
      </c>
      <c r="C10" s="9" t="str">
        <f>IF('Rates from Ireland Fedex Priort'!C9="","",'Rates from Ireland Fedex Priort'!C9)</f>
        <v>Antigua and Barbuda</v>
      </c>
      <c r="D10" s="10">
        <f>IF(ISNUMBER('Rates from Ireland Fedex Priort'!D9),_xlfn.CEILING.MATH('Rates from Ireland Fedex Priort'!D9,1)+IF($A10="EU",Variables!$B$5,Variables!$B$2),'Rates from Ireland Fedex Priort'!D9)</f>
        <v>68</v>
      </c>
      <c r="E10" s="10">
        <f>IF(ISNUMBER('Rates from Ireland Fedex Priort'!E9),_xlfn.CEILING.MATH('Rates from Ireland Fedex Priort'!E9,1)+IF($A10="EU",Variables!$B$6,Variables!$B$3),'Rates from Ireland Fedex Priort'!E9)</f>
        <v>77</v>
      </c>
      <c r="F10" s="10">
        <f>IF(ISNUMBER('Rates from Ireland Fedex Priort'!F9),_xlfn.CEILING.MATH('Rates from Ireland Fedex Priort'!F9,1)+IF($A10="EU",Variables!$B$6,Variables!$B$3),'Rates from Ireland Fedex Priort'!F9)</f>
        <v>81</v>
      </c>
      <c r="G10" s="10">
        <f>IF(ISNUMBER('Rates from Ireland Fedex Priort'!G9),_xlfn.CEILING.MATH('Rates from Ireland Fedex Priort'!G9,1)+IF($A10="EU",Variables!$B$6,Variables!$B$3),'Rates from Ireland Fedex Priort'!G9)</f>
        <v>96</v>
      </c>
      <c r="H10" s="10">
        <f>IF(ISNUMBER('Rates from Ireland Fedex Priort'!H9),_xlfn.CEILING.MATH('Rates from Ireland Fedex Priort'!H9,1)+IF($A10="EU",Variables!$B$6,Variables!$B$3),'Rates from Ireland Fedex Priort'!H9)</f>
        <v>117</v>
      </c>
      <c r="I10" s="10">
        <f>IF(ISNUMBER('Rates from Ireland Fedex Priort'!I9),_xlfn.CEILING.MATH('Rates from Ireland Fedex Priort'!I9,1)+IF($A10="EU",Variables!$B$6,Variables!$B$3),'Rates from Ireland Fedex Priort'!I9)</f>
        <v>219</v>
      </c>
      <c r="J10" s="10" t="str">
        <f>IF(ISNUMBER('Rates from Ireland Fedex Priort'!J9),_xlfn.CEILING.MATH('Rates from Ireland Fedex Priort'!J9,1)+IF($A10="EU",Variables!$B$6,Variables!$B$3),'Rates from Ireland Fedex Priort'!J9)</f>
        <v>No service</v>
      </c>
      <c r="K10" s="10" t="str">
        <f>IF(ISNUMBER('Rates from Ireland Fedex Priort'!K9),_xlfn.CEILING.MATH('Rates from Ireland Fedex Priort'!K9,1)+IF($A10="EU",Variables!$B$6,Variables!$B$3),'Rates from Ireland Fedex Priort'!K9)</f>
        <v>No service</v>
      </c>
      <c r="L10" s="10" t="str">
        <f>IF(ISNUMBER('Rates from Ireland Fedex Priort'!L9),_xlfn.CEILING.MATH('Rates from Ireland Fedex Priort'!L9,1)+IF($A10="EU",Variables!$B$6,Variables!$B$3),'Rates from Ireland Fedex Priort'!L9)</f>
        <v>No service</v>
      </c>
      <c r="M10" s="10" t="str">
        <f>IF(ISNUMBER('Rates from Ireland Fedex Priort'!M9),_xlfn.CEILING.MATH('Rates from Ireland Fedex Priort'!M9,1)+IF($A10="EU",Variables!$B$6,Variables!$B$3),'Rates from Ireland Fedex Priort'!M9)</f>
        <v>No service</v>
      </c>
      <c r="N10" s="10" t="str">
        <f>IF(ISNUMBER('Rates from Ireland Fedex Priort'!N9),_xlfn.CEILING.MATH('Rates from Ireland Fedex Priort'!N9,1)+IF($A10="EU",Variables!$B$6,Variables!$B$3),'Rates from Ireland Fedex Priort'!N9)</f>
        <v>No service</v>
      </c>
      <c r="O10" s="11" t="s">
        <v>41</v>
      </c>
      <c r="P10" s="11" t="s">
        <v>23</v>
      </c>
      <c r="Q10" s="12">
        <v>80</v>
      </c>
      <c r="R10" s="11" t="s">
        <v>25</v>
      </c>
      <c r="S10" s="3" t="s">
        <v>26</v>
      </c>
      <c r="T10" s="38" t="s">
        <v>27</v>
      </c>
    </row>
    <row r="11" spans="1:20" ht="15.75" customHeight="1" x14ac:dyDescent="0.3">
      <c r="A11" s="39" t="str">
        <f>IF('Rates from Ireland Fedex Priort'!A10="","",'Rates from Ireland Fedex Priort'!A10)</f>
        <v>EU</v>
      </c>
      <c r="B11" s="8" t="str">
        <f>IF('Rates from Ireland Fedex Priort'!B10="","",'Rates from Ireland Fedex Priort'!B10)</f>
        <v>Ireland</v>
      </c>
      <c r="C11" s="9" t="str">
        <f>IF('Rates from Ireland Fedex Priort'!C10="","",'Rates from Ireland Fedex Priort'!C10)</f>
        <v>Argentina</v>
      </c>
      <c r="D11" s="10">
        <f>IF(ISNUMBER('Rates from Ireland Fedex Priort'!D10),_xlfn.CEILING.MATH('Rates from Ireland Fedex Priort'!D10,1)+IF($A11="EU",Variables!$B$5,Variables!$B$2),'Rates from Ireland Fedex Priort'!D10)</f>
        <v>68</v>
      </c>
      <c r="E11" s="10">
        <f>IF(ISNUMBER('Rates from Ireland Fedex Priort'!E10),_xlfn.CEILING.MATH('Rates from Ireland Fedex Priort'!E10,1)+IF($A11="EU",Variables!$B$6,Variables!$B$3),'Rates from Ireland Fedex Priort'!E10)</f>
        <v>77</v>
      </c>
      <c r="F11" s="10">
        <f>IF(ISNUMBER('Rates from Ireland Fedex Priort'!F10),_xlfn.CEILING.MATH('Rates from Ireland Fedex Priort'!F10,1)+IF($A11="EU",Variables!$B$6,Variables!$B$3),'Rates from Ireland Fedex Priort'!F10)</f>
        <v>81</v>
      </c>
      <c r="G11" s="10">
        <f>IF(ISNUMBER('Rates from Ireland Fedex Priort'!G10),_xlfn.CEILING.MATH('Rates from Ireland Fedex Priort'!G10,1)+IF($A11="EU",Variables!$B$6,Variables!$B$3),'Rates from Ireland Fedex Priort'!G10)</f>
        <v>96</v>
      </c>
      <c r="H11" s="10">
        <f>IF(ISNUMBER('Rates from Ireland Fedex Priort'!H10),_xlfn.CEILING.MATH('Rates from Ireland Fedex Priort'!H10,1)+IF($A11="EU",Variables!$B$6,Variables!$B$3),'Rates from Ireland Fedex Priort'!H10)</f>
        <v>117</v>
      </c>
      <c r="I11" s="10">
        <f>IF(ISNUMBER('Rates from Ireland Fedex Priort'!I10),_xlfn.CEILING.MATH('Rates from Ireland Fedex Priort'!I10,1)+IF($A11="EU",Variables!$B$6,Variables!$B$3),'Rates from Ireland Fedex Priort'!I10)</f>
        <v>219</v>
      </c>
      <c r="J11" s="10" t="str">
        <f>IF(ISNUMBER('Rates from Ireland Fedex Priort'!J10),_xlfn.CEILING.MATH('Rates from Ireland Fedex Priort'!J10,1)+IF($A11="EU",Variables!$B$6,Variables!$B$3),'Rates from Ireland Fedex Priort'!J10)</f>
        <v>No service</v>
      </c>
      <c r="K11" s="10" t="str">
        <f>IF(ISNUMBER('Rates from Ireland Fedex Priort'!K10),_xlfn.CEILING.MATH('Rates from Ireland Fedex Priort'!K10,1)+IF($A11="EU",Variables!$B$6,Variables!$B$3),'Rates from Ireland Fedex Priort'!K10)</f>
        <v>No service</v>
      </c>
      <c r="L11" s="10" t="str">
        <f>IF(ISNUMBER('Rates from Ireland Fedex Priort'!L10),_xlfn.CEILING.MATH('Rates from Ireland Fedex Priort'!L10,1)+IF($A11="EU",Variables!$B$6,Variables!$B$3),'Rates from Ireland Fedex Priort'!L10)</f>
        <v>No service</v>
      </c>
      <c r="M11" s="10" t="str">
        <f>IF(ISNUMBER('Rates from Ireland Fedex Priort'!M10),_xlfn.CEILING.MATH('Rates from Ireland Fedex Priort'!M10,1)+IF($A11="EU",Variables!$B$6,Variables!$B$3),'Rates from Ireland Fedex Priort'!M10)</f>
        <v>No service</v>
      </c>
      <c r="N11" s="10" t="str">
        <f>IF(ISNUMBER('Rates from Ireland Fedex Priort'!N10),_xlfn.CEILING.MATH('Rates from Ireland Fedex Priort'!N10,1)+IF($A11="EU",Variables!$B$6,Variables!$B$3),'Rates from Ireland Fedex Priort'!N10)</f>
        <v>No service</v>
      </c>
      <c r="O11" s="11" t="s">
        <v>41</v>
      </c>
      <c r="P11" s="11" t="s">
        <v>23</v>
      </c>
      <c r="Q11" s="12">
        <v>80</v>
      </c>
      <c r="R11" s="11" t="s">
        <v>25</v>
      </c>
      <c r="S11" s="3" t="s">
        <v>26</v>
      </c>
      <c r="T11" s="38" t="s">
        <v>27</v>
      </c>
    </row>
    <row r="12" spans="1:20" ht="15.75" customHeight="1" x14ac:dyDescent="0.3">
      <c r="A12" s="39" t="str">
        <f>IF('Rates from Ireland Fedex Priort'!A11="","",'Rates from Ireland Fedex Priort'!A11)</f>
        <v>EU</v>
      </c>
      <c r="B12" s="8" t="str">
        <f>IF('Rates from Ireland Fedex Priort'!B11="","",'Rates from Ireland Fedex Priort'!B11)</f>
        <v>Ireland</v>
      </c>
      <c r="C12" s="9" t="str">
        <f>IF('Rates from Ireland Fedex Priort'!C11="","",'Rates from Ireland Fedex Priort'!C11)</f>
        <v>Armenia</v>
      </c>
      <c r="D12" s="10">
        <f>IF(ISNUMBER('Rates from Ireland Fedex Priort'!D11),_xlfn.CEILING.MATH('Rates from Ireland Fedex Priort'!D11,1)+IF($A12="EU",Variables!$B$5,Variables!$B$2),'Rates from Ireland Fedex Priort'!D11)</f>
        <v>62</v>
      </c>
      <c r="E12" s="10">
        <f>IF(ISNUMBER('Rates from Ireland Fedex Priort'!E11),_xlfn.CEILING.MATH('Rates from Ireland Fedex Priort'!E11,1)+IF($A12="EU",Variables!$B$6,Variables!$B$3),'Rates from Ireland Fedex Priort'!E11)</f>
        <v>69</v>
      </c>
      <c r="F12" s="10">
        <f>IF(ISNUMBER('Rates from Ireland Fedex Priort'!F11),_xlfn.CEILING.MATH('Rates from Ireland Fedex Priort'!F11,1)+IF($A12="EU",Variables!$B$6,Variables!$B$3),'Rates from Ireland Fedex Priort'!F11)</f>
        <v>72</v>
      </c>
      <c r="G12" s="10">
        <f>IF(ISNUMBER('Rates from Ireland Fedex Priort'!G11),_xlfn.CEILING.MATH('Rates from Ireland Fedex Priort'!G11,1)+IF($A12="EU",Variables!$B$6,Variables!$B$3),'Rates from Ireland Fedex Priort'!G11)</f>
        <v>86</v>
      </c>
      <c r="H12" s="10">
        <f>IF(ISNUMBER('Rates from Ireland Fedex Priort'!H11),_xlfn.CEILING.MATH('Rates from Ireland Fedex Priort'!H11,1)+IF($A12="EU",Variables!$B$6,Variables!$B$3),'Rates from Ireland Fedex Priort'!H11)</f>
        <v>111</v>
      </c>
      <c r="I12" s="10">
        <f>IF(ISNUMBER('Rates from Ireland Fedex Priort'!I11),_xlfn.CEILING.MATH('Rates from Ireland Fedex Priort'!I11,1)+IF($A12="EU",Variables!$B$6,Variables!$B$3),'Rates from Ireland Fedex Priort'!I11)</f>
        <v>174</v>
      </c>
      <c r="J12" s="10" t="str">
        <f>IF(ISNUMBER('Rates from Ireland Fedex Priort'!J11),_xlfn.CEILING.MATH('Rates from Ireland Fedex Priort'!J11,1)+IF($A12="EU",Variables!$B$6,Variables!$B$3),'Rates from Ireland Fedex Priort'!J11)</f>
        <v>No service</v>
      </c>
      <c r="K12" s="10" t="str">
        <f>IF(ISNUMBER('Rates from Ireland Fedex Priort'!K11),_xlfn.CEILING.MATH('Rates from Ireland Fedex Priort'!K11,1)+IF($A12="EU",Variables!$B$6,Variables!$B$3),'Rates from Ireland Fedex Priort'!K11)</f>
        <v>No service</v>
      </c>
      <c r="L12" s="10" t="str">
        <f>IF(ISNUMBER('Rates from Ireland Fedex Priort'!L11),_xlfn.CEILING.MATH('Rates from Ireland Fedex Priort'!L11,1)+IF($A12="EU",Variables!$B$6,Variables!$B$3),'Rates from Ireland Fedex Priort'!L11)</f>
        <v>No service</v>
      </c>
      <c r="M12" s="10" t="str">
        <f>IF(ISNUMBER('Rates from Ireland Fedex Priort'!M11),_xlfn.CEILING.MATH('Rates from Ireland Fedex Priort'!M11,1)+IF($A12="EU",Variables!$B$6,Variables!$B$3),'Rates from Ireland Fedex Priort'!M11)</f>
        <v>No service</v>
      </c>
      <c r="N12" s="10" t="str">
        <f>IF(ISNUMBER('Rates from Ireland Fedex Priort'!N11),_xlfn.CEILING.MATH('Rates from Ireland Fedex Priort'!N11,1)+IF($A12="EU",Variables!$B$6,Variables!$B$3),'Rates from Ireland Fedex Priort'!N11)</f>
        <v>No service</v>
      </c>
      <c r="O12" s="11" t="s">
        <v>29</v>
      </c>
      <c r="P12" s="11" t="s">
        <v>30</v>
      </c>
      <c r="Q12" s="12">
        <v>80</v>
      </c>
      <c r="R12" s="11" t="s">
        <v>25</v>
      </c>
      <c r="S12" s="3" t="s">
        <v>26</v>
      </c>
      <c r="T12" s="38" t="s">
        <v>27</v>
      </c>
    </row>
    <row r="13" spans="1:20" ht="15.75" customHeight="1" x14ac:dyDescent="0.3">
      <c r="A13" s="39" t="str">
        <f>IF('Rates from Ireland Fedex Priort'!A12="","",'Rates from Ireland Fedex Priort'!A12)</f>
        <v>EU</v>
      </c>
      <c r="B13" s="8" t="str">
        <f>IF('Rates from Ireland Fedex Priort'!B12="","",'Rates from Ireland Fedex Priort'!B12)</f>
        <v>Ireland</v>
      </c>
      <c r="C13" s="9" t="str">
        <f>IF('Rates from Ireland Fedex Priort'!C12="","",'Rates from Ireland Fedex Priort'!C12)</f>
        <v>Aruba (Netherlands)</v>
      </c>
      <c r="D13" s="10">
        <f>IF(ISNUMBER('Rates from Ireland Fedex Priort'!D12),_xlfn.CEILING.MATH('Rates from Ireland Fedex Priort'!D12,1)+IF($A13="EU",Variables!$B$5,Variables!$B$2),'Rates from Ireland Fedex Priort'!D12)</f>
        <v>68</v>
      </c>
      <c r="E13" s="10">
        <f>IF(ISNUMBER('Rates from Ireland Fedex Priort'!E12),_xlfn.CEILING.MATH('Rates from Ireland Fedex Priort'!E12,1)+IF($A13="EU",Variables!$B$6,Variables!$B$3),'Rates from Ireland Fedex Priort'!E12)</f>
        <v>77</v>
      </c>
      <c r="F13" s="10">
        <f>IF(ISNUMBER('Rates from Ireland Fedex Priort'!F12),_xlfn.CEILING.MATH('Rates from Ireland Fedex Priort'!F12,1)+IF($A13="EU",Variables!$B$6,Variables!$B$3),'Rates from Ireland Fedex Priort'!F12)</f>
        <v>81</v>
      </c>
      <c r="G13" s="10">
        <f>IF(ISNUMBER('Rates from Ireland Fedex Priort'!G12),_xlfn.CEILING.MATH('Rates from Ireland Fedex Priort'!G12,1)+IF($A13="EU",Variables!$B$6,Variables!$B$3),'Rates from Ireland Fedex Priort'!G12)</f>
        <v>96</v>
      </c>
      <c r="H13" s="10">
        <f>IF(ISNUMBER('Rates from Ireland Fedex Priort'!H12),_xlfn.CEILING.MATH('Rates from Ireland Fedex Priort'!H12,1)+IF($A13="EU",Variables!$B$6,Variables!$B$3),'Rates from Ireland Fedex Priort'!H12)</f>
        <v>117</v>
      </c>
      <c r="I13" s="10">
        <f>IF(ISNUMBER('Rates from Ireland Fedex Priort'!I12),_xlfn.CEILING.MATH('Rates from Ireland Fedex Priort'!I12,1)+IF($A13="EU",Variables!$B$6,Variables!$B$3),'Rates from Ireland Fedex Priort'!I12)</f>
        <v>219</v>
      </c>
      <c r="J13" s="10" t="str">
        <f>IF(ISNUMBER('Rates from Ireland Fedex Priort'!J12),_xlfn.CEILING.MATH('Rates from Ireland Fedex Priort'!J12,1)+IF($A13="EU",Variables!$B$6,Variables!$B$3),'Rates from Ireland Fedex Priort'!J12)</f>
        <v>No service</v>
      </c>
      <c r="K13" s="10" t="str">
        <f>IF(ISNUMBER('Rates from Ireland Fedex Priort'!K12),_xlfn.CEILING.MATH('Rates from Ireland Fedex Priort'!K12,1)+IF($A13="EU",Variables!$B$6,Variables!$B$3),'Rates from Ireland Fedex Priort'!K12)</f>
        <v>No service</v>
      </c>
      <c r="L13" s="10" t="str">
        <f>IF(ISNUMBER('Rates from Ireland Fedex Priort'!L12),_xlfn.CEILING.MATH('Rates from Ireland Fedex Priort'!L12,1)+IF($A13="EU",Variables!$B$6,Variables!$B$3),'Rates from Ireland Fedex Priort'!L12)</f>
        <v>No service</v>
      </c>
      <c r="M13" s="10" t="str">
        <f>IF(ISNUMBER('Rates from Ireland Fedex Priort'!M12),_xlfn.CEILING.MATH('Rates from Ireland Fedex Priort'!M12,1)+IF($A13="EU",Variables!$B$6,Variables!$B$3),'Rates from Ireland Fedex Priort'!M12)</f>
        <v>No service</v>
      </c>
      <c r="N13" s="10" t="str">
        <f>IF(ISNUMBER('Rates from Ireland Fedex Priort'!N12),_xlfn.CEILING.MATH('Rates from Ireland Fedex Priort'!N12,1)+IF($A13="EU",Variables!$B$6,Variables!$B$3),'Rates from Ireland Fedex Priort'!N12)</f>
        <v>No service</v>
      </c>
      <c r="O13" s="11" t="s">
        <v>41</v>
      </c>
      <c r="P13" s="11" t="s">
        <v>23</v>
      </c>
      <c r="Q13" s="12">
        <v>80</v>
      </c>
      <c r="R13" s="11" t="s">
        <v>25</v>
      </c>
      <c r="S13" s="3" t="s">
        <v>26</v>
      </c>
      <c r="T13" s="38" t="s">
        <v>27</v>
      </c>
    </row>
    <row r="14" spans="1:20" ht="15.75" customHeight="1" x14ac:dyDescent="0.3">
      <c r="A14" s="39" t="str">
        <f>IF('Rates from Ireland Fedex Priort'!A13="","",'Rates from Ireland Fedex Priort'!A13)</f>
        <v>EU</v>
      </c>
      <c r="B14" s="8" t="str">
        <f>IF('Rates from Ireland Fedex Priort'!B13="","",'Rates from Ireland Fedex Priort'!B13)</f>
        <v>Ireland</v>
      </c>
      <c r="C14" s="9" t="str">
        <f>IF('Rates from Ireland Fedex Priort'!C13="","",'Rates from Ireland Fedex Priort'!C13)</f>
        <v>Australia</v>
      </c>
      <c r="D14" s="10">
        <f>IF(ISNUMBER('Rates from Ireland Fedex Priort'!D13),_xlfn.CEILING.MATH('Rates from Ireland Fedex Priort'!D13,1)+IF($A14="EU",Variables!$B$5,Variables!$B$2),'Rates from Ireland Fedex Priort'!D13)</f>
        <v>88</v>
      </c>
      <c r="E14" s="10">
        <f>IF(ISNUMBER('Rates from Ireland Fedex Priort'!E13),_xlfn.CEILING.MATH('Rates from Ireland Fedex Priort'!E13,1)+IF($A14="EU",Variables!$B$6,Variables!$B$3),'Rates from Ireland Fedex Priort'!E13)</f>
        <v>104</v>
      </c>
      <c r="F14" s="10">
        <f>IF(ISNUMBER('Rates from Ireland Fedex Priort'!F13),_xlfn.CEILING.MATH('Rates from Ireland Fedex Priort'!F13,1)+IF($A14="EU",Variables!$B$6,Variables!$B$3),'Rates from Ireland Fedex Priort'!F13)</f>
        <v>113</v>
      </c>
      <c r="G14" s="10">
        <f>IF(ISNUMBER('Rates from Ireland Fedex Priort'!G13),_xlfn.CEILING.MATH('Rates from Ireland Fedex Priort'!G13,1)+IF($A14="EU",Variables!$B$6,Variables!$B$3),'Rates from Ireland Fedex Priort'!G13)</f>
        <v>148</v>
      </c>
      <c r="H14" s="10">
        <f>IF(ISNUMBER('Rates from Ireland Fedex Priort'!H13),_xlfn.CEILING.MATH('Rates from Ireland Fedex Priort'!H13,1)+IF($A14="EU",Variables!$B$6,Variables!$B$3),'Rates from Ireland Fedex Priort'!H13)</f>
        <v>194</v>
      </c>
      <c r="I14" s="10">
        <f>IF(ISNUMBER('Rates from Ireland Fedex Priort'!I13),_xlfn.CEILING.MATH('Rates from Ireland Fedex Priort'!I13,1)+IF($A14="EU",Variables!$B$6,Variables!$B$3),'Rates from Ireland Fedex Priort'!I13)</f>
        <v>275</v>
      </c>
      <c r="J14" s="10" t="str">
        <f>IF(ISNUMBER('Rates from Ireland Fedex Priort'!J13),_xlfn.CEILING.MATH('Rates from Ireland Fedex Priort'!J13,1)+IF($A14="EU",Variables!$B$6,Variables!$B$3),'Rates from Ireland Fedex Priort'!J13)</f>
        <v>No service</v>
      </c>
      <c r="K14" s="10" t="str">
        <f>IF(ISNUMBER('Rates from Ireland Fedex Priort'!K13),_xlfn.CEILING.MATH('Rates from Ireland Fedex Priort'!K13,1)+IF($A14="EU",Variables!$B$6,Variables!$B$3),'Rates from Ireland Fedex Priort'!K13)</f>
        <v>No service</v>
      </c>
      <c r="L14" s="10" t="str">
        <f>IF(ISNUMBER('Rates from Ireland Fedex Priort'!L13),_xlfn.CEILING.MATH('Rates from Ireland Fedex Priort'!L13,1)+IF($A14="EU",Variables!$B$6,Variables!$B$3),'Rates from Ireland Fedex Priort'!L13)</f>
        <v>No service</v>
      </c>
      <c r="M14" s="10" t="str">
        <f>IF(ISNUMBER('Rates from Ireland Fedex Priort'!M13),_xlfn.CEILING.MATH('Rates from Ireland Fedex Priort'!M13,1)+IF($A14="EU",Variables!$B$6,Variables!$B$3),'Rates from Ireland Fedex Priort'!M13)</f>
        <v>No service</v>
      </c>
      <c r="N14" s="10" t="str">
        <f>IF(ISNUMBER('Rates from Ireland Fedex Priort'!N13),_xlfn.CEILING.MATH('Rates from Ireland Fedex Priort'!N13,1)+IF($A14="EU",Variables!$B$6,Variables!$B$3),'Rates from Ireland Fedex Priort'!N13)</f>
        <v>No service</v>
      </c>
      <c r="O14" s="11" t="s">
        <v>41</v>
      </c>
      <c r="P14" s="11" t="s">
        <v>23</v>
      </c>
      <c r="Q14" s="12">
        <v>80</v>
      </c>
      <c r="R14" s="11" t="s">
        <v>25</v>
      </c>
      <c r="S14" s="3" t="s">
        <v>26</v>
      </c>
      <c r="T14" s="38" t="s">
        <v>27</v>
      </c>
    </row>
    <row r="15" spans="1:20" ht="15.75" customHeight="1" x14ac:dyDescent="0.3">
      <c r="A15" s="39" t="str">
        <f>IF('Rates from Ireland Fedex Priort'!A14="","",'Rates from Ireland Fedex Priort'!A14)</f>
        <v>EU</v>
      </c>
      <c r="B15" s="8" t="str">
        <f>IF('Rates from Ireland Fedex Priort'!B14="","",'Rates from Ireland Fedex Priort'!B14)</f>
        <v>Ireland</v>
      </c>
      <c r="C15" s="9" t="str">
        <f>IF('Rates from Ireland Fedex Priort'!C14="","",'Rates from Ireland Fedex Priort'!C14)</f>
        <v>Austria</v>
      </c>
      <c r="D15" s="10">
        <f>IF(ISNUMBER('Rates from Ireland Fedex Priort'!D14),_xlfn.CEILING.MATH('Rates from Ireland Fedex Priort'!D14,1)+IF($A15="EU",Variables!$B$5,Variables!$B$2),'Rates from Ireland Fedex Priort'!D14)</f>
        <v>63</v>
      </c>
      <c r="E15" s="10">
        <f>IF(ISNUMBER('Rates from Ireland Fedex Priort'!E14),_xlfn.CEILING.MATH('Rates from Ireland Fedex Priort'!E14,1)+IF($A15="EU",Variables!$B$6,Variables!$B$3),'Rates from Ireland Fedex Priort'!E14)</f>
        <v>65</v>
      </c>
      <c r="F15" s="10">
        <f>IF(ISNUMBER('Rates from Ireland Fedex Priort'!F14),_xlfn.CEILING.MATH('Rates from Ireland Fedex Priort'!F14,1)+IF($A15="EU",Variables!$B$6,Variables!$B$3),'Rates from Ireland Fedex Priort'!F14)</f>
        <v>65</v>
      </c>
      <c r="G15" s="10">
        <f>IF(ISNUMBER('Rates from Ireland Fedex Priort'!G14),_xlfn.CEILING.MATH('Rates from Ireland Fedex Priort'!G14,1)+IF($A15="EU",Variables!$B$6,Variables!$B$3),'Rates from Ireland Fedex Priort'!G14)</f>
        <v>67</v>
      </c>
      <c r="H15" s="10">
        <f>IF(ISNUMBER('Rates from Ireland Fedex Priort'!H14),_xlfn.CEILING.MATH('Rates from Ireland Fedex Priort'!H14,1)+IF($A15="EU",Variables!$B$6,Variables!$B$3),'Rates from Ireland Fedex Priort'!H14)</f>
        <v>71</v>
      </c>
      <c r="I15" s="10">
        <f>IF(ISNUMBER('Rates from Ireland Fedex Priort'!I14),_xlfn.CEILING.MATH('Rates from Ireland Fedex Priort'!I14,1)+IF($A15="EU",Variables!$B$6,Variables!$B$3),'Rates from Ireland Fedex Priort'!I14)</f>
        <v>78</v>
      </c>
      <c r="J15" s="10">
        <f>IF(ISNUMBER('Rates from Ireland Fedex Priort'!J14),_xlfn.CEILING.MATH('Rates from Ireland Fedex Priort'!J14,1)+IF($A15="EU",Variables!$B$6,Variables!$B$3),'Rates from Ireland Fedex Priort'!J14)</f>
        <v>88</v>
      </c>
      <c r="K15" s="10">
        <f>IF(ISNUMBER('Rates from Ireland Fedex Priort'!K14),_xlfn.CEILING.MATH('Rates from Ireland Fedex Priort'!K14,1)+IF($A15="EU",Variables!$B$6,Variables!$B$3),'Rates from Ireland Fedex Priort'!K14)</f>
        <v>93</v>
      </c>
      <c r="L15" s="10">
        <f>IF(ISNUMBER('Rates from Ireland Fedex Priort'!L14),_xlfn.CEILING.MATH('Rates from Ireland Fedex Priort'!L14,1)+IF($A15="EU",Variables!$B$6,Variables!$B$3),'Rates from Ireland Fedex Priort'!L14)</f>
        <v>93</v>
      </c>
      <c r="M15" s="10">
        <f>IF(ISNUMBER('Rates from Ireland Fedex Priort'!M14),_xlfn.CEILING.MATH('Rates from Ireland Fedex Priort'!M14,1)+IF($A15="EU",Variables!$B$6,Variables!$B$3),'Rates from Ireland Fedex Priort'!M14)</f>
        <v>125</v>
      </c>
      <c r="N15" s="10">
        <f>IF(ISNUMBER('Rates from Ireland Fedex Priort'!N14),_xlfn.CEILING.MATH('Rates from Ireland Fedex Priort'!N14,1)+IF($A15="EU",Variables!$B$6,Variables!$B$3),'Rates from Ireland Fedex Priort'!N14)</f>
        <v>127</v>
      </c>
      <c r="O15" s="15" t="s">
        <v>29</v>
      </c>
      <c r="P15" s="15" t="s">
        <v>23</v>
      </c>
      <c r="Q15" s="16">
        <v>80</v>
      </c>
      <c r="R15" s="15" t="s">
        <v>25</v>
      </c>
      <c r="S15" s="17" t="s">
        <v>26</v>
      </c>
      <c r="T15" s="40" t="s">
        <v>27</v>
      </c>
    </row>
    <row r="16" spans="1:20" ht="15.75" customHeight="1" x14ac:dyDescent="0.3">
      <c r="A16" s="39" t="str">
        <f>IF('Rates from Ireland Fedex Priort'!A15="","",'Rates from Ireland Fedex Priort'!A15)</f>
        <v>EU</v>
      </c>
      <c r="B16" s="8" t="str">
        <f>IF('Rates from Ireland Fedex Priort'!B15="","",'Rates from Ireland Fedex Priort'!B15)</f>
        <v>Ireland</v>
      </c>
      <c r="C16" s="9" t="str">
        <f>IF('Rates from Ireland Fedex Priort'!C15="","",'Rates from Ireland Fedex Priort'!C15)</f>
        <v>Azerbaijan</v>
      </c>
      <c r="D16" s="10">
        <f>IF(ISNUMBER('Rates from Ireland Fedex Priort'!D15),_xlfn.CEILING.MATH('Rates from Ireland Fedex Priort'!D15,1)+IF($A16="EU",Variables!$B$5,Variables!$B$2),'Rates from Ireland Fedex Priort'!D15)</f>
        <v>62</v>
      </c>
      <c r="E16" s="10">
        <f>IF(ISNUMBER('Rates from Ireland Fedex Priort'!E15),_xlfn.CEILING.MATH('Rates from Ireland Fedex Priort'!E15,1)+IF($A16="EU",Variables!$B$6,Variables!$B$3),'Rates from Ireland Fedex Priort'!E15)</f>
        <v>69</v>
      </c>
      <c r="F16" s="10">
        <f>IF(ISNUMBER('Rates from Ireland Fedex Priort'!F15),_xlfn.CEILING.MATH('Rates from Ireland Fedex Priort'!F15,1)+IF($A16="EU",Variables!$B$6,Variables!$B$3),'Rates from Ireland Fedex Priort'!F15)</f>
        <v>72</v>
      </c>
      <c r="G16" s="10">
        <f>IF(ISNUMBER('Rates from Ireland Fedex Priort'!G15),_xlfn.CEILING.MATH('Rates from Ireland Fedex Priort'!G15,1)+IF($A16="EU",Variables!$B$6,Variables!$B$3),'Rates from Ireland Fedex Priort'!G15)</f>
        <v>86</v>
      </c>
      <c r="H16" s="10">
        <f>IF(ISNUMBER('Rates from Ireland Fedex Priort'!H15),_xlfn.CEILING.MATH('Rates from Ireland Fedex Priort'!H15,1)+IF($A16="EU",Variables!$B$6,Variables!$B$3),'Rates from Ireland Fedex Priort'!H15)</f>
        <v>111</v>
      </c>
      <c r="I16" s="10">
        <f>IF(ISNUMBER('Rates from Ireland Fedex Priort'!I15),_xlfn.CEILING.MATH('Rates from Ireland Fedex Priort'!I15,1)+IF($A16="EU",Variables!$B$6,Variables!$B$3),'Rates from Ireland Fedex Priort'!I15)</f>
        <v>174</v>
      </c>
      <c r="J16" s="10" t="str">
        <f>IF(ISNUMBER('Rates from Ireland Fedex Priort'!J15),_xlfn.CEILING.MATH('Rates from Ireland Fedex Priort'!J15,1)+IF($A16="EU",Variables!$B$6,Variables!$B$3),'Rates from Ireland Fedex Priort'!J15)</f>
        <v>No service</v>
      </c>
      <c r="K16" s="10" t="str">
        <f>IF(ISNUMBER('Rates from Ireland Fedex Priort'!K15),_xlfn.CEILING.MATH('Rates from Ireland Fedex Priort'!K15,1)+IF($A16="EU",Variables!$B$6,Variables!$B$3),'Rates from Ireland Fedex Priort'!K15)</f>
        <v>No service</v>
      </c>
      <c r="L16" s="10" t="str">
        <f>IF(ISNUMBER('Rates from Ireland Fedex Priort'!L15),_xlfn.CEILING.MATH('Rates from Ireland Fedex Priort'!L15,1)+IF($A16="EU",Variables!$B$6,Variables!$B$3),'Rates from Ireland Fedex Priort'!L15)</f>
        <v>No service</v>
      </c>
      <c r="M16" s="10" t="str">
        <f>IF(ISNUMBER('Rates from Ireland Fedex Priort'!M15),_xlfn.CEILING.MATH('Rates from Ireland Fedex Priort'!M15,1)+IF($A16="EU",Variables!$B$6,Variables!$B$3),'Rates from Ireland Fedex Priort'!M15)</f>
        <v>No service</v>
      </c>
      <c r="N16" s="10" t="str">
        <f>IF(ISNUMBER('Rates from Ireland Fedex Priort'!N15),_xlfn.CEILING.MATH('Rates from Ireland Fedex Priort'!N15,1)+IF($A16="EU",Variables!$B$6,Variables!$B$3),'Rates from Ireland Fedex Priort'!N15)</f>
        <v>No service</v>
      </c>
      <c r="O16" s="11" t="s">
        <v>29</v>
      </c>
      <c r="P16" s="11" t="s">
        <v>30</v>
      </c>
      <c r="Q16" s="12">
        <v>80</v>
      </c>
      <c r="R16" s="11" t="s">
        <v>25</v>
      </c>
      <c r="S16" s="3" t="s">
        <v>26</v>
      </c>
      <c r="T16" s="38" t="s">
        <v>27</v>
      </c>
    </row>
    <row r="17" spans="1:20" ht="15.75" customHeight="1" x14ac:dyDescent="0.3">
      <c r="A17" s="39" t="str">
        <f>IF('Rates from Ireland Fedex Priort'!A16="","",'Rates from Ireland Fedex Priort'!A16)</f>
        <v>EU</v>
      </c>
      <c r="B17" s="8" t="str">
        <f>IF('Rates from Ireland Fedex Priort'!B16="","",'Rates from Ireland Fedex Priort'!B16)</f>
        <v>Ireland</v>
      </c>
      <c r="C17" s="9" t="str">
        <f>IF('Rates from Ireland Fedex Priort'!C16="","",'Rates from Ireland Fedex Priort'!C16)</f>
        <v>Bahamas</v>
      </c>
      <c r="D17" s="10">
        <f>IF(ISNUMBER('Rates from Ireland Fedex Priort'!D16),_xlfn.CEILING.MATH('Rates from Ireland Fedex Priort'!D16,1)+IF($A17="EU",Variables!$B$5,Variables!$B$2),'Rates from Ireland Fedex Priort'!D16)</f>
        <v>68</v>
      </c>
      <c r="E17" s="10">
        <f>IF(ISNUMBER('Rates from Ireland Fedex Priort'!E16),_xlfn.CEILING.MATH('Rates from Ireland Fedex Priort'!E16,1)+IF($A17="EU",Variables!$B$6,Variables!$B$3),'Rates from Ireland Fedex Priort'!E16)</f>
        <v>77</v>
      </c>
      <c r="F17" s="10">
        <f>IF(ISNUMBER('Rates from Ireland Fedex Priort'!F16),_xlfn.CEILING.MATH('Rates from Ireland Fedex Priort'!F16,1)+IF($A17="EU",Variables!$B$6,Variables!$B$3),'Rates from Ireland Fedex Priort'!F16)</f>
        <v>81</v>
      </c>
      <c r="G17" s="10">
        <f>IF(ISNUMBER('Rates from Ireland Fedex Priort'!G16),_xlfn.CEILING.MATH('Rates from Ireland Fedex Priort'!G16,1)+IF($A17="EU",Variables!$B$6,Variables!$B$3),'Rates from Ireland Fedex Priort'!G16)</f>
        <v>96</v>
      </c>
      <c r="H17" s="10">
        <f>IF(ISNUMBER('Rates from Ireland Fedex Priort'!H16),_xlfn.CEILING.MATH('Rates from Ireland Fedex Priort'!H16,1)+IF($A17="EU",Variables!$B$6,Variables!$B$3),'Rates from Ireland Fedex Priort'!H16)</f>
        <v>117</v>
      </c>
      <c r="I17" s="10">
        <f>IF(ISNUMBER('Rates from Ireland Fedex Priort'!I16),_xlfn.CEILING.MATH('Rates from Ireland Fedex Priort'!I16,1)+IF($A17="EU",Variables!$B$6,Variables!$B$3),'Rates from Ireland Fedex Priort'!I16)</f>
        <v>219</v>
      </c>
      <c r="J17" s="10" t="str">
        <f>IF(ISNUMBER('Rates from Ireland Fedex Priort'!J16),_xlfn.CEILING.MATH('Rates from Ireland Fedex Priort'!J16,1)+IF($A17="EU",Variables!$B$6,Variables!$B$3),'Rates from Ireland Fedex Priort'!J16)</f>
        <v>No service</v>
      </c>
      <c r="K17" s="10" t="str">
        <f>IF(ISNUMBER('Rates from Ireland Fedex Priort'!K16),_xlfn.CEILING.MATH('Rates from Ireland Fedex Priort'!K16,1)+IF($A17="EU",Variables!$B$6,Variables!$B$3),'Rates from Ireland Fedex Priort'!K16)</f>
        <v>No service</v>
      </c>
      <c r="L17" s="10" t="str">
        <f>IF(ISNUMBER('Rates from Ireland Fedex Priort'!L16),_xlfn.CEILING.MATH('Rates from Ireland Fedex Priort'!L16,1)+IF($A17="EU",Variables!$B$6,Variables!$B$3),'Rates from Ireland Fedex Priort'!L16)</f>
        <v>No service</v>
      </c>
      <c r="M17" s="10" t="str">
        <f>IF(ISNUMBER('Rates from Ireland Fedex Priort'!M16),_xlfn.CEILING.MATH('Rates from Ireland Fedex Priort'!M16,1)+IF($A17="EU",Variables!$B$6,Variables!$B$3),'Rates from Ireland Fedex Priort'!M16)</f>
        <v>No service</v>
      </c>
      <c r="N17" s="10" t="str">
        <f>IF(ISNUMBER('Rates from Ireland Fedex Priort'!N16),_xlfn.CEILING.MATH('Rates from Ireland Fedex Priort'!N16,1)+IF($A17="EU",Variables!$B$6,Variables!$B$3),'Rates from Ireland Fedex Priort'!N16)</f>
        <v>No service</v>
      </c>
      <c r="O17" s="11" t="s">
        <v>41</v>
      </c>
      <c r="P17" s="11" t="s">
        <v>23</v>
      </c>
      <c r="Q17" s="12">
        <v>80</v>
      </c>
      <c r="R17" s="11" t="s">
        <v>25</v>
      </c>
      <c r="S17" s="3" t="s">
        <v>26</v>
      </c>
      <c r="T17" s="38" t="s">
        <v>27</v>
      </c>
    </row>
    <row r="18" spans="1:20" ht="15.75" customHeight="1" x14ac:dyDescent="0.3">
      <c r="A18" s="39" t="str">
        <f>IF('Rates from Ireland Fedex Priort'!A17="","",'Rates from Ireland Fedex Priort'!A17)</f>
        <v>EU</v>
      </c>
      <c r="B18" s="8" t="str">
        <f>IF('Rates from Ireland Fedex Priort'!B17="","",'Rates from Ireland Fedex Priort'!B17)</f>
        <v>Ireland</v>
      </c>
      <c r="C18" s="9" t="str">
        <f>IF('Rates from Ireland Fedex Priort'!C17="","",'Rates from Ireland Fedex Priort'!C17)</f>
        <v>Bahrain</v>
      </c>
      <c r="D18" s="10">
        <f>IF(ISNUMBER('Rates from Ireland Fedex Priort'!D17),_xlfn.CEILING.MATH('Rates from Ireland Fedex Priort'!D17,1)+IF($A18="EU",Variables!$B$5,Variables!$B$2),'Rates from Ireland Fedex Priort'!D17)</f>
        <v>62</v>
      </c>
      <c r="E18" s="10">
        <f>IF(ISNUMBER('Rates from Ireland Fedex Priort'!E17),_xlfn.CEILING.MATH('Rates from Ireland Fedex Priort'!E17,1)+IF($A18="EU",Variables!$B$6,Variables!$B$3),'Rates from Ireland Fedex Priort'!E17)</f>
        <v>69</v>
      </c>
      <c r="F18" s="10">
        <f>IF(ISNUMBER('Rates from Ireland Fedex Priort'!F17),_xlfn.CEILING.MATH('Rates from Ireland Fedex Priort'!F17,1)+IF($A18="EU",Variables!$B$6,Variables!$B$3),'Rates from Ireland Fedex Priort'!F17)</f>
        <v>72</v>
      </c>
      <c r="G18" s="10">
        <f>IF(ISNUMBER('Rates from Ireland Fedex Priort'!G17),_xlfn.CEILING.MATH('Rates from Ireland Fedex Priort'!G17,1)+IF($A18="EU",Variables!$B$6,Variables!$B$3),'Rates from Ireland Fedex Priort'!G17)</f>
        <v>86</v>
      </c>
      <c r="H18" s="10">
        <f>IF(ISNUMBER('Rates from Ireland Fedex Priort'!H17),_xlfn.CEILING.MATH('Rates from Ireland Fedex Priort'!H17,1)+IF($A18="EU",Variables!$B$6,Variables!$B$3),'Rates from Ireland Fedex Priort'!H17)</f>
        <v>111</v>
      </c>
      <c r="I18" s="10">
        <f>IF(ISNUMBER('Rates from Ireland Fedex Priort'!I17),_xlfn.CEILING.MATH('Rates from Ireland Fedex Priort'!I17,1)+IF($A18="EU",Variables!$B$6,Variables!$B$3),'Rates from Ireland Fedex Priort'!I17)</f>
        <v>174</v>
      </c>
      <c r="J18" s="10" t="str">
        <f>IF(ISNUMBER('Rates from Ireland Fedex Priort'!J17),_xlfn.CEILING.MATH('Rates from Ireland Fedex Priort'!J17,1)+IF($A18="EU",Variables!$B$6,Variables!$B$3),'Rates from Ireland Fedex Priort'!J17)</f>
        <v>No service</v>
      </c>
      <c r="K18" s="10" t="str">
        <f>IF(ISNUMBER('Rates from Ireland Fedex Priort'!K17),_xlfn.CEILING.MATH('Rates from Ireland Fedex Priort'!K17,1)+IF($A18="EU",Variables!$B$6,Variables!$B$3),'Rates from Ireland Fedex Priort'!K17)</f>
        <v>No service</v>
      </c>
      <c r="L18" s="10" t="str">
        <f>IF(ISNUMBER('Rates from Ireland Fedex Priort'!L17),_xlfn.CEILING.MATH('Rates from Ireland Fedex Priort'!L17,1)+IF($A18="EU",Variables!$B$6,Variables!$B$3),'Rates from Ireland Fedex Priort'!L17)</f>
        <v>No service</v>
      </c>
      <c r="M18" s="10" t="str">
        <f>IF(ISNUMBER('Rates from Ireland Fedex Priort'!M17),_xlfn.CEILING.MATH('Rates from Ireland Fedex Priort'!M17,1)+IF($A18="EU",Variables!$B$6,Variables!$B$3),'Rates from Ireland Fedex Priort'!M17)</f>
        <v>No service</v>
      </c>
      <c r="N18" s="10" t="str">
        <f>IF(ISNUMBER('Rates from Ireland Fedex Priort'!N17),_xlfn.CEILING.MATH('Rates from Ireland Fedex Priort'!N17,1)+IF($A18="EU",Variables!$B$6,Variables!$B$3),'Rates from Ireland Fedex Priort'!N17)</f>
        <v>No service</v>
      </c>
      <c r="O18" s="11" t="s">
        <v>29</v>
      </c>
      <c r="P18" s="11" t="s">
        <v>30</v>
      </c>
      <c r="Q18" s="12">
        <v>80</v>
      </c>
      <c r="R18" s="11" t="s">
        <v>25</v>
      </c>
      <c r="S18" s="3" t="s">
        <v>26</v>
      </c>
      <c r="T18" s="38" t="s">
        <v>27</v>
      </c>
    </row>
    <row r="19" spans="1:20" ht="15.75" customHeight="1" x14ac:dyDescent="0.3">
      <c r="A19" s="39" t="str">
        <f>IF('Rates from Ireland Fedex Priort'!A18="","",'Rates from Ireland Fedex Priort'!A18)</f>
        <v>EU</v>
      </c>
      <c r="B19" s="8" t="str">
        <f>IF('Rates from Ireland Fedex Priort'!B18="","",'Rates from Ireland Fedex Priort'!B18)</f>
        <v>Ireland</v>
      </c>
      <c r="C19" s="9" t="str">
        <f>IF('Rates from Ireland Fedex Priort'!C18="","",'Rates from Ireland Fedex Priort'!C18)</f>
        <v>Bangladesh</v>
      </c>
      <c r="D19" s="10">
        <f>IF(ISNUMBER('Rates from Ireland Fedex Priort'!D18),_xlfn.CEILING.MATH('Rates from Ireland Fedex Priort'!D18,1)+IF($A19="EU",Variables!$B$5,Variables!$B$2),'Rates from Ireland Fedex Priort'!D18)</f>
        <v>62</v>
      </c>
      <c r="E19" s="10">
        <f>IF(ISNUMBER('Rates from Ireland Fedex Priort'!E18),_xlfn.CEILING.MATH('Rates from Ireland Fedex Priort'!E18,1)+IF($A19="EU",Variables!$B$6,Variables!$B$3),'Rates from Ireland Fedex Priort'!E18)</f>
        <v>69</v>
      </c>
      <c r="F19" s="10">
        <f>IF(ISNUMBER('Rates from Ireland Fedex Priort'!F18),_xlfn.CEILING.MATH('Rates from Ireland Fedex Priort'!F18,1)+IF($A19="EU",Variables!$B$6,Variables!$B$3),'Rates from Ireland Fedex Priort'!F18)</f>
        <v>72</v>
      </c>
      <c r="G19" s="10">
        <f>IF(ISNUMBER('Rates from Ireland Fedex Priort'!G18),_xlfn.CEILING.MATH('Rates from Ireland Fedex Priort'!G18,1)+IF($A19="EU",Variables!$B$6,Variables!$B$3),'Rates from Ireland Fedex Priort'!G18)</f>
        <v>86</v>
      </c>
      <c r="H19" s="10">
        <f>IF(ISNUMBER('Rates from Ireland Fedex Priort'!H18),_xlfn.CEILING.MATH('Rates from Ireland Fedex Priort'!H18,1)+IF($A19="EU",Variables!$B$6,Variables!$B$3),'Rates from Ireland Fedex Priort'!H18)</f>
        <v>111</v>
      </c>
      <c r="I19" s="10">
        <f>IF(ISNUMBER('Rates from Ireland Fedex Priort'!I18),_xlfn.CEILING.MATH('Rates from Ireland Fedex Priort'!I18,1)+IF($A19="EU",Variables!$B$6,Variables!$B$3),'Rates from Ireland Fedex Priort'!I18)</f>
        <v>174</v>
      </c>
      <c r="J19" s="10" t="str">
        <f>IF(ISNUMBER('Rates from Ireland Fedex Priort'!J18),_xlfn.CEILING.MATH('Rates from Ireland Fedex Priort'!J18,1)+IF($A19="EU",Variables!$B$6,Variables!$B$3),'Rates from Ireland Fedex Priort'!J18)</f>
        <v>No service</v>
      </c>
      <c r="K19" s="10" t="str">
        <f>IF(ISNUMBER('Rates from Ireland Fedex Priort'!K18),_xlfn.CEILING.MATH('Rates from Ireland Fedex Priort'!K18,1)+IF($A19="EU",Variables!$B$6,Variables!$B$3),'Rates from Ireland Fedex Priort'!K18)</f>
        <v>No service</v>
      </c>
      <c r="L19" s="10" t="str">
        <f>IF(ISNUMBER('Rates from Ireland Fedex Priort'!L18),_xlfn.CEILING.MATH('Rates from Ireland Fedex Priort'!L18,1)+IF($A19="EU",Variables!$B$6,Variables!$B$3),'Rates from Ireland Fedex Priort'!L18)</f>
        <v>No service</v>
      </c>
      <c r="M19" s="10" t="str">
        <f>IF(ISNUMBER('Rates from Ireland Fedex Priort'!M18),_xlfn.CEILING.MATH('Rates from Ireland Fedex Priort'!M18,1)+IF($A19="EU",Variables!$B$6,Variables!$B$3),'Rates from Ireland Fedex Priort'!M18)</f>
        <v>No service</v>
      </c>
      <c r="N19" s="10" t="str">
        <f>IF(ISNUMBER('Rates from Ireland Fedex Priort'!N18),_xlfn.CEILING.MATH('Rates from Ireland Fedex Priort'!N18,1)+IF($A19="EU",Variables!$B$6,Variables!$B$3),'Rates from Ireland Fedex Priort'!N18)</f>
        <v>No service</v>
      </c>
      <c r="O19" s="11" t="s">
        <v>29</v>
      </c>
      <c r="P19" s="11" t="s">
        <v>30</v>
      </c>
      <c r="Q19" s="12">
        <v>80</v>
      </c>
      <c r="R19" s="11" t="s">
        <v>25</v>
      </c>
      <c r="S19" s="3" t="s">
        <v>26</v>
      </c>
      <c r="T19" s="38" t="s">
        <v>27</v>
      </c>
    </row>
    <row r="20" spans="1:20" ht="15.75" customHeight="1" x14ac:dyDescent="0.3">
      <c r="A20" s="39" t="str">
        <f>IF('Rates from Ireland Fedex Priort'!A19="","",'Rates from Ireland Fedex Priort'!A19)</f>
        <v>EU</v>
      </c>
      <c r="B20" s="8" t="str">
        <f>IF('Rates from Ireland Fedex Priort'!B19="","",'Rates from Ireland Fedex Priort'!B19)</f>
        <v>Ireland</v>
      </c>
      <c r="C20" s="9" t="str">
        <f>IF('Rates from Ireland Fedex Priort'!C19="","",'Rates from Ireland Fedex Priort'!C19)</f>
        <v>Barbados</v>
      </c>
      <c r="D20" s="10">
        <f>IF(ISNUMBER('Rates from Ireland Fedex Priort'!D19),_xlfn.CEILING.MATH('Rates from Ireland Fedex Priort'!D19,1)+IF($A20="EU",Variables!$B$5,Variables!$B$2),'Rates from Ireland Fedex Priort'!D19)</f>
        <v>68</v>
      </c>
      <c r="E20" s="10">
        <f>IF(ISNUMBER('Rates from Ireland Fedex Priort'!E19),_xlfn.CEILING.MATH('Rates from Ireland Fedex Priort'!E19,1)+IF($A20="EU",Variables!$B$6,Variables!$B$3),'Rates from Ireland Fedex Priort'!E19)</f>
        <v>77</v>
      </c>
      <c r="F20" s="10">
        <f>IF(ISNUMBER('Rates from Ireland Fedex Priort'!F19),_xlfn.CEILING.MATH('Rates from Ireland Fedex Priort'!F19,1)+IF($A20="EU",Variables!$B$6,Variables!$B$3),'Rates from Ireland Fedex Priort'!F19)</f>
        <v>81</v>
      </c>
      <c r="G20" s="10">
        <f>IF(ISNUMBER('Rates from Ireland Fedex Priort'!G19),_xlfn.CEILING.MATH('Rates from Ireland Fedex Priort'!G19,1)+IF($A20="EU",Variables!$B$6,Variables!$B$3),'Rates from Ireland Fedex Priort'!G19)</f>
        <v>96</v>
      </c>
      <c r="H20" s="10">
        <f>IF(ISNUMBER('Rates from Ireland Fedex Priort'!H19),_xlfn.CEILING.MATH('Rates from Ireland Fedex Priort'!H19,1)+IF($A20="EU",Variables!$B$6,Variables!$B$3),'Rates from Ireland Fedex Priort'!H19)</f>
        <v>117</v>
      </c>
      <c r="I20" s="10">
        <f>IF(ISNUMBER('Rates from Ireland Fedex Priort'!I19),_xlfn.CEILING.MATH('Rates from Ireland Fedex Priort'!I19,1)+IF($A20="EU",Variables!$B$6,Variables!$B$3),'Rates from Ireland Fedex Priort'!I19)</f>
        <v>219</v>
      </c>
      <c r="J20" s="10" t="str">
        <f>IF(ISNUMBER('Rates from Ireland Fedex Priort'!J19),_xlfn.CEILING.MATH('Rates from Ireland Fedex Priort'!J19,1)+IF($A20="EU",Variables!$B$6,Variables!$B$3),'Rates from Ireland Fedex Priort'!J19)</f>
        <v>No service</v>
      </c>
      <c r="K20" s="10" t="str">
        <f>IF(ISNUMBER('Rates from Ireland Fedex Priort'!K19),_xlfn.CEILING.MATH('Rates from Ireland Fedex Priort'!K19,1)+IF($A20="EU",Variables!$B$6,Variables!$B$3),'Rates from Ireland Fedex Priort'!K19)</f>
        <v>No service</v>
      </c>
      <c r="L20" s="10" t="str">
        <f>IF(ISNUMBER('Rates from Ireland Fedex Priort'!L19),_xlfn.CEILING.MATH('Rates from Ireland Fedex Priort'!L19,1)+IF($A20="EU",Variables!$B$6,Variables!$B$3),'Rates from Ireland Fedex Priort'!L19)</f>
        <v>No service</v>
      </c>
      <c r="M20" s="10" t="str">
        <f>IF(ISNUMBER('Rates from Ireland Fedex Priort'!M19),_xlfn.CEILING.MATH('Rates from Ireland Fedex Priort'!M19,1)+IF($A20="EU",Variables!$B$6,Variables!$B$3),'Rates from Ireland Fedex Priort'!M19)</f>
        <v>No service</v>
      </c>
      <c r="N20" s="10" t="str">
        <f>IF(ISNUMBER('Rates from Ireland Fedex Priort'!N19),_xlfn.CEILING.MATH('Rates from Ireland Fedex Priort'!N19,1)+IF($A20="EU",Variables!$B$6,Variables!$B$3),'Rates from Ireland Fedex Priort'!N19)</f>
        <v>No service</v>
      </c>
      <c r="O20" s="11" t="s">
        <v>41</v>
      </c>
      <c r="P20" s="11" t="s">
        <v>23</v>
      </c>
      <c r="Q20" s="12">
        <v>80</v>
      </c>
      <c r="R20" s="11" t="s">
        <v>25</v>
      </c>
      <c r="S20" s="3" t="s">
        <v>26</v>
      </c>
      <c r="T20" s="38" t="s">
        <v>27</v>
      </c>
    </row>
    <row r="21" spans="1:20" ht="15.75" customHeight="1" x14ac:dyDescent="0.3">
      <c r="A21" s="39" t="str">
        <f>IF('Rates from Ireland Fedex Priort'!A20="","",'Rates from Ireland Fedex Priort'!A20)</f>
        <v>EU</v>
      </c>
      <c r="B21" s="8" t="str">
        <f>IF('Rates from Ireland Fedex Priort'!B20="","",'Rates from Ireland Fedex Priort'!B20)</f>
        <v>Ireland</v>
      </c>
      <c r="C21" s="9" t="str">
        <f>IF('Rates from Ireland Fedex Priort'!C20="","",'Rates from Ireland Fedex Priort'!C20)</f>
        <v>Belarus</v>
      </c>
      <c r="D21" s="10" t="str">
        <f>IF(ISNUMBER('Rates from Ireland Fedex Priort'!D20),_xlfn.CEILING.MATH('Rates from Ireland Fedex Priort'!D20,1)+IF($A21="EU",Variables!$B$5,Variables!$B$2),'Rates from Ireland Fedex Priort'!D20)</f>
        <v>No service</v>
      </c>
      <c r="E21" s="10" t="str">
        <f>IF(ISNUMBER('Rates from Ireland Fedex Priort'!E20),_xlfn.CEILING.MATH('Rates from Ireland Fedex Priort'!E20,1)+IF($A21="EU",Variables!$B$6,Variables!$B$3),'Rates from Ireland Fedex Priort'!E20)</f>
        <v>No service</v>
      </c>
      <c r="F21" s="10" t="str">
        <f>IF(ISNUMBER('Rates from Ireland Fedex Priort'!F20),_xlfn.CEILING.MATH('Rates from Ireland Fedex Priort'!F20,1)+IF($A21="EU",Variables!$B$6,Variables!$B$3),'Rates from Ireland Fedex Priort'!F20)</f>
        <v>No service</v>
      </c>
      <c r="G21" s="10" t="str">
        <f>IF(ISNUMBER('Rates from Ireland Fedex Priort'!G20),_xlfn.CEILING.MATH('Rates from Ireland Fedex Priort'!G20,1)+IF($A21="EU",Variables!$B$6,Variables!$B$3),'Rates from Ireland Fedex Priort'!G20)</f>
        <v>No service</v>
      </c>
      <c r="H21" s="10" t="str">
        <f>IF(ISNUMBER('Rates from Ireland Fedex Priort'!H20),_xlfn.CEILING.MATH('Rates from Ireland Fedex Priort'!H20,1)+IF($A21="EU",Variables!$B$6,Variables!$B$3),'Rates from Ireland Fedex Priort'!H20)</f>
        <v>No service</v>
      </c>
      <c r="I21" s="10" t="str">
        <f>IF(ISNUMBER('Rates from Ireland Fedex Priort'!I20),_xlfn.CEILING.MATH('Rates from Ireland Fedex Priort'!I20,1)+IF($A21="EU",Variables!$B$6,Variables!$B$3),'Rates from Ireland Fedex Priort'!I20)</f>
        <v>No service</v>
      </c>
      <c r="J21" s="10" t="str">
        <f>IF(ISNUMBER('Rates from Ireland Fedex Priort'!J20),_xlfn.CEILING.MATH('Rates from Ireland Fedex Priort'!J20,1)+IF($A21="EU",Variables!$B$6,Variables!$B$3),'Rates from Ireland Fedex Priort'!J20)</f>
        <v>No service</v>
      </c>
      <c r="K21" s="10" t="str">
        <f>IF(ISNUMBER('Rates from Ireland Fedex Priort'!K20),_xlfn.CEILING.MATH('Rates from Ireland Fedex Priort'!K20,1)+IF($A21="EU",Variables!$B$6,Variables!$B$3),'Rates from Ireland Fedex Priort'!K20)</f>
        <v>No service</v>
      </c>
      <c r="L21" s="10" t="str">
        <f>IF(ISNUMBER('Rates from Ireland Fedex Priort'!L20),_xlfn.CEILING.MATH('Rates from Ireland Fedex Priort'!L20,1)+IF($A21="EU",Variables!$B$6,Variables!$B$3),'Rates from Ireland Fedex Priort'!L20)</f>
        <v>No service</v>
      </c>
      <c r="M21" s="10" t="str">
        <f>IF(ISNUMBER('Rates from Ireland Fedex Priort'!M20),_xlfn.CEILING.MATH('Rates from Ireland Fedex Priort'!M20,1)+IF($A21="EU",Variables!$B$6,Variables!$B$3),'Rates from Ireland Fedex Priort'!M20)</f>
        <v>No service</v>
      </c>
      <c r="N21" s="10" t="str">
        <f>IF(ISNUMBER('Rates from Ireland Fedex Priort'!N20),_xlfn.CEILING.MATH('Rates from Ireland Fedex Priort'!N20,1)+IF($A21="EU",Variables!$B$6,Variables!$B$3),'Rates from Ireland Fedex Priort'!N20)</f>
        <v>No service</v>
      </c>
      <c r="O21" s="11"/>
      <c r="P21" s="11"/>
      <c r="Q21" s="11"/>
      <c r="R21" s="11"/>
      <c r="S21" s="3" t="s">
        <v>26</v>
      </c>
      <c r="T21" s="38" t="s">
        <v>27</v>
      </c>
    </row>
    <row r="22" spans="1:20" ht="15.75" customHeight="1" x14ac:dyDescent="0.3">
      <c r="A22" s="39" t="str">
        <f>IF('Rates from Ireland Fedex Priort'!A21="","",'Rates from Ireland Fedex Priort'!A21)</f>
        <v>EU</v>
      </c>
      <c r="B22" s="8" t="str">
        <f>IF('Rates from Ireland Fedex Priort'!B21="","",'Rates from Ireland Fedex Priort'!B21)</f>
        <v>Ireland</v>
      </c>
      <c r="C22" s="9" t="str">
        <f>IF('Rates from Ireland Fedex Priort'!C21="","",'Rates from Ireland Fedex Priort'!C21)</f>
        <v>Belgium</v>
      </c>
      <c r="D22" s="10">
        <f>IF(ISNUMBER('Rates from Ireland Fedex Priort'!D21),_xlfn.CEILING.MATH('Rates from Ireland Fedex Priort'!D21,1)+IF($A22="EU",Variables!$B$5,Variables!$B$2),'Rates from Ireland Fedex Priort'!D21)</f>
        <v>62</v>
      </c>
      <c r="E22" s="10">
        <f>IF(ISNUMBER('Rates from Ireland Fedex Priort'!E21),_xlfn.CEILING.MATH('Rates from Ireland Fedex Priort'!E21,1)+IF($A22="EU",Variables!$B$6,Variables!$B$3),'Rates from Ireland Fedex Priort'!E21)</f>
        <v>64</v>
      </c>
      <c r="F22" s="10">
        <f>IF(ISNUMBER('Rates from Ireland Fedex Priort'!F21),_xlfn.CEILING.MATH('Rates from Ireland Fedex Priort'!F21,1)+IF($A22="EU",Variables!$B$6,Variables!$B$3),'Rates from Ireland Fedex Priort'!F21)</f>
        <v>67</v>
      </c>
      <c r="G22" s="10">
        <f>IF(ISNUMBER('Rates from Ireland Fedex Priort'!G21),_xlfn.CEILING.MATH('Rates from Ireland Fedex Priort'!G21,1)+IF($A22="EU",Variables!$B$6,Variables!$B$3),'Rates from Ireland Fedex Priort'!G21)</f>
        <v>69</v>
      </c>
      <c r="H22" s="10">
        <f>IF(ISNUMBER('Rates from Ireland Fedex Priort'!H21),_xlfn.CEILING.MATH('Rates from Ireland Fedex Priort'!H21,1)+IF($A22="EU",Variables!$B$6,Variables!$B$3),'Rates from Ireland Fedex Priort'!H21)</f>
        <v>72</v>
      </c>
      <c r="I22" s="10">
        <f>IF(ISNUMBER('Rates from Ireland Fedex Priort'!I21),_xlfn.CEILING.MATH('Rates from Ireland Fedex Priort'!I21,1)+IF($A22="EU",Variables!$B$6,Variables!$B$3),'Rates from Ireland Fedex Priort'!I21)</f>
        <v>77</v>
      </c>
      <c r="J22" s="10">
        <f>IF(ISNUMBER('Rates from Ireland Fedex Priort'!J21),_xlfn.CEILING.MATH('Rates from Ireland Fedex Priort'!J21,1)+IF($A22="EU",Variables!$B$6,Variables!$B$3),'Rates from Ireland Fedex Priort'!J21)</f>
        <v>85</v>
      </c>
      <c r="K22" s="10">
        <f>IF(ISNUMBER('Rates from Ireland Fedex Priort'!K21),_xlfn.CEILING.MATH('Rates from Ireland Fedex Priort'!K21,1)+IF($A22="EU",Variables!$B$6,Variables!$B$3),'Rates from Ireland Fedex Priort'!K21)</f>
        <v>92</v>
      </c>
      <c r="L22" s="10">
        <f>IF(ISNUMBER('Rates from Ireland Fedex Priort'!L21),_xlfn.CEILING.MATH('Rates from Ireland Fedex Priort'!L21,1)+IF($A22="EU",Variables!$B$6,Variables!$B$3),'Rates from Ireland Fedex Priort'!L21)</f>
        <v>119</v>
      </c>
      <c r="M22" s="10">
        <f>IF(ISNUMBER('Rates from Ireland Fedex Priort'!M21),_xlfn.CEILING.MATH('Rates from Ireland Fedex Priort'!M21,1)+IF($A22="EU",Variables!$B$6,Variables!$B$3),'Rates from Ireland Fedex Priort'!M21)</f>
        <v>127</v>
      </c>
      <c r="N22" s="10">
        <f>IF(ISNUMBER('Rates from Ireland Fedex Priort'!N21),_xlfn.CEILING.MATH('Rates from Ireland Fedex Priort'!N21,1)+IF($A22="EU",Variables!$B$6,Variables!$B$3),'Rates from Ireland Fedex Priort'!N21)</f>
        <v>132</v>
      </c>
      <c r="O22" s="15" t="s">
        <v>29</v>
      </c>
      <c r="P22" s="15" t="s">
        <v>41</v>
      </c>
      <c r="Q22" s="16">
        <v>80</v>
      </c>
      <c r="R22" s="15" t="s">
        <v>25</v>
      </c>
      <c r="S22" s="17" t="s">
        <v>26</v>
      </c>
      <c r="T22" s="40" t="s">
        <v>27</v>
      </c>
    </row>
    <row r="23" spans="1:20" ht="15.75" customHeight="1" x14ac:dyDescent="0.3">
      <c r="A23" s="39" t="str">
        <f>IF('Rates from Ireland Fedex Priort'!A22="","",'Rates from Ireland Fedex Priort'!A22)</f>
        <v>EU</v>
      </c>
      <c r="B23" s="8" t="str">
        <f>IF('Rates from Ireland Fedex Priort'!B22="","",'Rates from Ireland Fedex Priort'!B22)</f>
        <v>Ireland</v>
      </c>
      <c r="C23" s="9" t="str">
        <f>IF('Rates from Ireland Fedex Priort'!C22="","",'Rates from Ireland Fedex Priort'!C22)</f>
        <v>Belize</v>
      </c>
      <c r="D23" s="10">
        <f>IF(ISNUMBER('Rates from Ireland Fedex Priort'!D22),_xlfn.CEILING.MATH('Rates from Ireland Fedex Priort'!D22,1)+IF($A23="EU",Variables!$B$5,Variables!$B$2),'Rates from Ireland Fedex Priort'!D22)</f>
        <v>68</v>
      </c>
      <c r="E23" s="10">
        <f>IF(ISNUMBER('Rates from Ireland Fedex Priort'!E22),_xlfn.CEILING.MATH('Rates from Ireland Fedex Priort'!E22,1)+IF($A23="EU",Variables!$B$6,Variables!$B$3),'Rates from Ireland Fedex Priort'!E22)</f>
        <v>77</v>
      </c>
      <c r="F23" s="10">
        <f>IF(ISNUMBER('Rates from Ireland Fedex Priort'!F22),_xlfn.CEILING.MATH('Rates from Ireland Fedex Priort'!F22,1)+IF($A23="EU",Variables!$B$6,Variables!$B$3),'Rates from Ireland Fedex Priort'!F22)</f>
        <v>81</v>
      </c>
      <c r="G23" s="10">
        <f>IF(ISNUMBER('Rates from Ireland Fedex Priort'!G22),_xlfn.CEILING.MATH('Rates from Ireland Fedex Priort'!G22,1)+IF($A23="EU",Variables!$B$6,Variables!$B$3),'Rates from Ireland Fedex Priort'!G22)</f>
        <v>96</v>
      </c>
      <c r="H23" s="10">
        <f>IF(ISNUMBER('Rates from Ireland Fedex Priort'!H22),_xlfn.CEILING.MATH('Rates from Ireland Fedex Priort'!H22,1)+IF($A23="EU",Variables!$B$6,Variables!$B$3),'Rates from Ireland Fedex Priort'!H22)</f>
        <v>117</v>
      </c>
      <c r="I23" s="10">
        <f>IF(ISNUMBER('Rates from Ireland Fedex Priort'!I22),_xlfn.CEILING.MATH('Rates from Ireland Fedex Priort'!I22,1)+IF($A23="EU",Variables!$B$6,Variables!$B$3),'Rates from Ireland Fedex Priort'!I22)</f>
        <v>219</v>
      </c>
      <c r="J23" s="10" t="str">
        <f>IF(ISNUMBER('Rates from Ireland Fedex Priort'!J22),_xlfn.CEILING.MATH('Rates from Ireland Fedex Priort'!J22,1)+IF($A23="EU",Variables!$B$6,Variables!$B$3),'Rates from Ireland Fedex Priort'!J22)</f>
        <v>No service</v>
      </c>
      <c r="K23" s="10" t="str">
        <f>IF(ISNUMBER('Rates from Ireland Fedex Priort'!K22),_xlfn.CEILING.MATH('Rates from Ireland Fedex Priort'!K22,1)+IF($A23="EU",Variables!$B$6,Variables!$B$3),'Rates from Ireland Fedex Priort'!K22)</f>
        <v>No service</v>
      </c>
      <c r="L23" s="10" t="str">
        <f>IF(ISNUMBER('Rates from Ireland Fedex Priort'!L22),_xlfn.CEILING.MATH('Rates from Ireland Fedex Priort'!L22,1)+IF($A23="EU",Variables!$B$6,Variables!$B$3),'Rates from Ireland Fedex Priort'!L22)</f>
        <v>No service</v>
      </c>
      <c r="M23" s="10" t="str">
        <f>IF(ISNUMBER('Rates from Ireland Fedex Priort'!M22),_xlfn.CEILING.MATH('Rates from Ireland Fedex Priort'!M22,1)+IF($A23="EU",Variables!$B$6,Variables!$B$3),'Rates from Ireland Fedex Priort'!M22)</f>
        <v>No service</v>
      </c>
      <c r="N23" s="10" t="str">
        <f>IF(ISNUMBER('Rates from Ireland Fedex Priort'!N22),_xlfn.CEILING.MATH('Rates from Ireland Fedex Priort'!N22,1)+IF($A23="EU",Variables!$B$6,Variables!$B$3),'Rates from Ireland Fedex Priort'!N22)</f>
        <v>No service</v>
      </c>
      <c r="O23" s="11" t="s">
        <v>41</v>
      </c>
      <c r="P23" s="11" t="s">
        <v>23</v>
      </c>
      <c r="Q23" s="12">
        <v>80</v>
      </c>
      <c r="R23" s="11" t="s">
        <v>25</v>
      </c>
      <c r="S23" s="3" t="s">
        <v>26</v>
      </c>
      <c r="T23" s="38" t="s">
        <v>27</v>
      </c>
    </row>
    <row r="24" spans="1:20" ht="15.75" customHeight="1" x14ac:dyDescent="0.3">
      <c r="A24" s="39" t="str">
        <f>IF('Rates from Ireland Fedex Priort'!A23="","",'Rates from Ireland Fedex Priort'!A23)</f>
        <v>EU</v>
      </c>
      <c r="B24" s="8" t="str">
        <f>IF('Rates from Ireland Fedex Priort'!B23="","",'Rates from Ireland Fedex Priort'!B23)</f>
        <v>Ireland</v>
      </c>
      <c r="C24" s="9" t="str">
        <f>IF('Rates from Ireland Fedex Priort'!C23="","",'Rates from Ireland Fedex Priort'!C23)</f>
        <v>Benin</v>
      </c>
      <c r="D24" s="10">
        <f>IF(ISNUMBER('Rates from Ireland Fedex Priort'!D23),_xlfn.CEILING.MATH('Rates from Ireland Fedex Priort'!D23,1)+IF($A24="EU",Variables!$B$5,Variables!$B$2),'Rates from Ireland Fedex Priort'!D23)</f>
        <v>75</v>
      </c>
      <c r="E24" s="10">
        <f>IF(ISNUMBER('Rates from Ireland Fedex Priort'!E23),_xlfn.CEILING.MATH('Rates from Ireland Fedex Priort'!E23,1)+IF($A24="EU",Variables!$B$6,Variables!$B$3),'Rates from Ireland Fedex Priort'!E23)</f>
        <v>83</v>
      </c>
      <c r="F24" s="10">
        <f>IF(ISNUMBER('Rates from Ireland Fedex Priort'!F23),_xlfn.CEILING.MATH('Rates from Ireland Fedex Priort'!F23,1)+IF($A24="EU",Variables!$B$6,Variables!$B$3),'Rates from Ireland Fedex Priort'!F23)</f>
        <v>88</v>
      </c>
      <c r="G24" s="10">
        <f>IF(ISNUMBER('Rates from Ireland Fedex Priort'!G23),_xlfn.CEILING.MATH('Rates from Ireland Fedex Priort'!G23,1)+IF($A24="EU",Variables!$B$6,Variables!$B$3),'Rates from Ireland Fedex Priort'!G23)</f>
        <v>106</v>
      </c>
      <c r="H24" s="10">
        <f>IF(ISNUMBER('Rates from Ireland Fedex Priort'!H23),_xlfn.CEILING.MATH('Rates from Ireland Fedex Priort'!H23,1)+IF($A24="EU",Variables!$B$6,Variables!$B$3),'Rates from Ireland Fedex Priort'!H23)</f>
        <v>134</v>
      </c>
      <c r="I24" s="10">
        <f>IF(ISNUMBER('Rates from Ireland Fedex Priort'!I23),_xlfn.CEILING.MATH('Rates from Ireland Fedex Priort'!I23,1)+IF($A24="EU",Variables!$B$6,Variables!$B$3),'Rates from Ireland Fedex Priort'!I23)</f>
        <v>242</v>
      </c>
      <c r="J24" s="10" t="str">
        <f>IF(ISNUMBER('Rates from Ireland Fedex Priort'!J23),_xlfn.CEILING.MATH('Rates from Ireland Fedex Priort'!J23,1)+IF($A24="EU",Variables!$B$6,Variables!$B$3),'Rates from Ireland Fedex Priort'!J23)</f>
        <v>No service</v>
      </c>
      <c r="K24" s="10" t="str">
        <f>IF(ISNUMBER('Rates from Ireland Fedex Priort'!K23),_xlfn.CEILING.MATH('Rates from Ireland Fedex Priort'!K23,1)+IF($A24="EU",Variables!$B$6,Variables!$B$3),'Rates from Ireland Fedex Priort'!K23)</f>
        <v>No service</v>
      </c>
      <c r="L24" s="10" t="str">
        <f>IF(ISNUMBER('Rates from Ireland Fedex Priort'!L23),_xlfn.CEILING.MATH('Rates from Ireland Fedex Priort'!L23,1)+IF($A24="EU",Variables!$B$6,Variables!$B$3),'Rates from Ireland Fedex Priort'!L23)</f>
        <v>No service</v>
      </c>
      <c r="M24" s="10" t="str">
        <f>IF(ISNUMBER('Rates from Ireland Fedex Priort'!M23),_xlfn.CEILING.MATH('Rates from Ireland Fedex Priort'!M23,1)+IF($A24="EU",Variables!$B$6,Variables!$B$3),'Rates from Ireland Fedex Priort'!M23)</f>
        <v>No service</v>
      </c>
      <c r="N24" s="10" t="str">
        <f>IF(ISNUMBER('Rates from Ireland Fedex Priort'!N23),_xlfn.CEILING.MATH('Rates from Ireland Fedex Priort'!N23,1)+IF($A24="EU",Variables!$B$6,Variables!$B$3),'Rates from Ireland Fedex Priort'!N23)</f>
        <v>No service</v>
      </c>
      <c r="O24" s="11" t="s">
        <v>41</v>
      </c>
      <c r="P24" s="11" t="s">
        <v>24</v>
      </c>
      <c r="Q24" s="12">
        <v>80</v>
      </c>
      <c r="R24" s="11" t="s">
        <v>25</v>
      </c>
      <c r="S24" s="3" t="s">
        <v>26</v>
      </c>
      <c r="T24" s="38" t="s">
        <v>27</v>
      </c>
    </row>
    <row r="25" spans="1:20" ht="15.75" customHeight="1" x14ac:dyDescent="0.3">
      <c r="A25" s="39" t="str">
        <f>IF('Rates from Ireland Fedex Priort'!A24="","",'Rates from Ireland Fedex Priort'!A24)</f>
        <v>EU</v>
      </c>
      <c r="B25" s="8" t="str">
        <f>IF('Rates from Ireland Fedex Priort'!B24="","",'Rates from Ireland Fedex Priort'!B24)</f>
        <v>Ireland</v>
      </c>
      <c r="C25" s="9" t="str">
        <f>IF('Rates from Ireland Fedex Priort'!C24="","",'Rates from Ireland Fedex Priort'!C24)</f>
        <v>Bermuda (BOT)</v>
      </c>
      <c r="D25" s="10">
        <f>IF(ISNUMBER('Rates from Ireland Fedex Priort'!D24),_xlfn.CEILING.MATH('Rates from Ireland Fedex Priort'!D24,1)+IF($A25="EU",Variables!$B$5,Variables!$B$2),'Rates from Ireland Fedex Priort'!D24)</f>
        <v>68</v>
      </c>
      <c r="E25" s="10">
        <f>IF(ISNUMBER('Rates from Ireland Fedex Priort'!E24),_xlfn.CEILING.MATH('Rates from Ireland Fedex Priort'!E24,1)+IF($A25="EU",Variables!$B$6,Variables!$B$3),'Rates from Ireland Fedex Priort'!E24)</f>
        <v>77</v>
      </c>
      <c r="F25" s="10">
        <f>IF(ISNUMBER('Rates from Ireland Fedex Priort'!F24),_xlfn.CEILING.MATH('Rates from Ireland Fedex Priort'!F24,1)+IF($A25="EU",Variables!$B$6,Variables!$B$3),'Rates from Ireland Fedex Priort'!F24)</f>
        <v>81</v>
      </c>
      <c r="G25" s="10">
        <f>IF(ISNUMBER('Rates from Ireland Fedex Priort'!G24),_xlfn.CEILING.MATH('Rates from Ireland Fedex Priort'!G24,1)+IF($A25="EU",Variables!$B$6,Variables!$B$3),'Rates from Ireland Fedex Priort'!G24)</f>
        <v>96</v>
      </c>
      <c r="H25" s="10">
        <f>IF(ISNUMBER('Rates from Ireland Fedex Priort'!H24),_xlfn.CEILING.MATH('Rates from Ireland Fedex Priort'!H24,1)+IF($A25="EU",Variables!$B$6,Variables!$B$3),'Rates from Ireland Fedex Priort'!H24)</f>
        <v>117</v>
      </c>
      <c r="I25" s="10">
        <f>IF(ISNUMBER('Rates from Ireland Fedex Priort'!I24),_xlfn.CEILING.MATH('Rates from Ireland Fedex Priort'!I24,1)+IF($A25="EU",Variables!$B$6,Variables!$B$3),'Rates from Ireland Fedex Priort'!I24)</f>
        <v>219</v>
      </c>
      <c r="J25" s="10" t="str">
        <f>IF(ISNUMBER('Rates from Ireland Fedex Priort'!J24),_xlfn.CEILING.MATH('Rates from Ireland Fedex Priort'!J24,1)+IF($A25="EU",Variables!$B$6,Variables!$B$3),'Rates from Ireland Fedex Priort'!J24)</f>
        <v>No service</v>
      </c>
      <c r="K25" s="10" t="str">
        <f>IF(ISNUMBER('Rates from Ireland Fedex Priort'!K24),_xlfn.CEILING.MATH('Rates from Ireland Fedex Priort'!K24,1)+IF($A25="EU",Variables!$B$6,Variables!$B$3),'Rates from Ireland Fedex Priort'!K24)</f>
        <v>No service</v>
      </c>
      <c r="L25" s="10" t="str">
        <f>IF(ISNUMBER('Rates from Ireland Fedex Priort'!L24),_xlfn.CEILING.MATH('Rates from Ireland Fedex Priort'!L24,1)+IF($A25="EU",Variables!$B$6,Variables!$B$3),'Rates from Ireland Fedex Priort'!L24)</f>
        <v>No service</v>
      </c>
      <c r="M25" s="10" t="str">
        <f>IF(ISNUMBER('Rates from Ireland Fedex Priort'!M24),_xlfn.CEILING.MATH('Rates from Ireland Fedex Priort'!M24,1)+IF($A25="EU",Variables!$B$6,Variables!$B$3),'Rates from Ireland Fedex Priort'!M24)</f>
        <v>No service</v>
      </c>
      <c r="N25" s="10" t="str">
        <f>IF(ISNUMBER('Rates from Ireland Fedex Priort'!N24),_xlfn.CEILING.MATH('Rates from Ireland Fedex Priort'!N24,1)+IF($A25="EU",Variables!$B$6,Variables!$B$3),'Rates from Ireland Fedex Priort'!N24)</f>
        <v>No service</v>
      </c>
      <c r="O25" s="11" t="s">
        <v>41</v>
      </c>
      <c r="P25" s="11" t="s">
        <v>23</v>
      </c>
      <c r="Q25" s="12">
        <v>80</v>
      </c>
      <c r="R25" s="11" t="s">
        <v>25</v>
      </c>
      <c r="S25" s="3" t="s">
        <v>26</v>
      </c>
      <c r="T25" s="38" t="s">
        <v>27</v>
      </c>
    </row>
    <row r="26" spans="1:20" ht="15.75" customHeight="1" x14ac:dyDescent="0.3">
      <c r="A26" s="39" t="str">
        <f>IF('Rates from Ireland Fedex Priort'!A25="","",'Rates from Ireland Fedex Priort'!A25)</f>
        <v>EU</v>
      </c>
      <c r="B26" s="8" t="str">
        <f>IF('Rates from Ireland Fedex Priort'!B25="","",'Rates from Ireland Fedex Priort'!B25)</f>
        <v>Ireland</v>
      </c>
      <c r="C26" s="9" t="str">
        <f>IF('Rates from Ireland Fedex Priort'!C25="","",'Rates from Ireland Fedex Priort'!C25)</f>
        <v>Bhutan</v>
      </c>
      <c r="D26" s="10">
        <f>IF(ISNUMBER('Rates from Ireland Fedex Priort'!D25),_xlfn.CEILING.MATH('Rates from Ireland Fedex Priort'!D25,1)+IF($A26="EU",Variables!$B$5,Variables!$B$2),'Rates from Ireland Fedex Priort'!D25)</f>
        <v>62</v>
      </c>
      <c r="E26" s="10">
        <f>IF(ISNUMBER('Rates from Ireland Fedex Priort'!E25),_xlfn.CEILING.MATH('Rates from Ireland Fedex Priort'!E25,1)+IF($A26="EU",Variables!$B$6,Variables!$B$3),'Rates from Ireland Fedex Priort'!E25)</f>
        <v>69</v>
      </c>
      <c r="F26" s="10">
        <f>IF(ISNUMBER('Rates from Ireland Fedex Priort'!F25),_xlfn.CEILING.MATH('Rates from Ireland Fedex Priort'!F25,1)+IF($A26="EU",Variables!$B$6,Variables!$B$3),'Rates from Ireland Fedex Priort'!F25)</f>
        <v>72</v>
      </c>
      <c r="G26" s="10">
        <f>IF(ISNUMBER('Rates from Ireland Fedex Priort'!G25),_xlfn.CEILING.MATH('Rates from Ireland Fedex Priort'!G25,1)+IF($A26="EU",Variables!$B$6,Variables!$B$3),'Rates from Ireland Fedex Priort'!G25)</f>
        <v>86</v>
      </c>
      <c r="H26" s="10">
        <f>IF(ISNUMBER('Rates from Ireland Fedex Priort'!H25),_xlfn.CEILING.MATH('Rates from Ireland Fedex Priort'!H25,1)+IF($A26="EU",Variables!$B$6,Variables!$B$3),'Rates from Ireland Fedex Priort'!H25)</f>
        <v>111</v>
      </c>
      <c r="I26" s="10">
        <f>IF(ISNUMBER('Rates from Ireland Fedex Priort'!I25),_xlfn.CEILING.MATH('Rates from Ireland Fedex Priort'!I25,1)+IF($A26="EU",Variables!$B$6,Variables!$B$3),'Rates from Ireland Fedex Priort'!I25)</f>
        <v>174</v>
      </c>
      <c r="J26" s="10" t="str">
        <f>IF(ISNUMBER('Rates from Ireland Fedex Priort'!J25),_xlfn.CEILING.MATH('Rates from Ireland Fedex Priort'!J25,1)+IF($A26="EU",Variables!$B$6,Variables!$B$3),'Rates from Ireland Fedex Priort'!J25)</f>
        <v>No service</v>
      </c>
      <c r="K26" s="10" t="str">
        <f>IF(ISNUMBER('Rates from Ireland Fedex Priort'!K25),_xlfn.CEILING.MATH('Rates from Ireland Fedex Priort'!K25,1)+IF($A26="EU",Variables!$B$6,Variables!$B$3),'Rates from Ireland Fedex Priort'!K25)</f>
        <v>No service</v>
      </c>
      <c r="L26" s="10" t="str">
        <f>IF(ISNUMBER('Rates from Ireland Fedex Priort'!L25),_xlfn.CEILING.MATH('Rates from Ireland Fedex Priort'!L25,1)+IF($A26="EU",Variables!$B$6,Variables!$B$3),'Rates from Ireland Fedex Priort'!L25)</f>
        <v>No service</v>
      </c>
      <c r="M26" s="10" t="str">
        <f>IF(ISNUMBER('Rates from Ireland Fedex Priort'!M25),_xlfn.CEILING.MATH('Rates from Ireland Fedex Priort'!M25,1)+IF($A26="EU",Variables!$B$6,Variables!$B$3),'Rates from Ireland Fedex Priort'!M25)</f>
        <v>No service</v>
      </c>
      <c r="N26" s="10" t="str">
        <f>IF(ISNUMBER('Rates from Ireland Fedex Priort'!N25),_xlfn.CEILING.MATH('Rates from Ireland Fedex Priort'!N25,1)+IF($A26="EU",Variables!$B$6,Variables!$B$3),'Rates from Ireland Fedex Priort'!N25)</f>
        <v>No service</v>
      </c>
      <c r="O26" s="11" t="s">
        <v>29</v>
      </c>
      <c r="P26" s="11" t="s">
        <v>30</v>
      </c>
      <c r="Q26" s="12">
        <v>80</v>
      </c>
      <c r="R26" s="11" t="s">
        <v>25</v>
      </c>
      <c r="S26" s="3" t="s">
        <v>26</v>
      </c>
      <c r="T26" s="38" t="s">
        <v>27</v>
      </c>
    </row>
    <row r="27" spans="1:20" ht="15.75" customHeight="1" x14ac:dyDescent="0.3">
      <c r="A27" s="39" t="str">
        <f>IF('Rates from Ireland Fedex Priort'!A26="","",'Rates from Ireland Fedex Priort'!A26)</f>
        <v>EU</v>
      </c>
      <c r="B27" s="8" t="str">
        <f>IF('Rates from Ireland Fedex Priort'!B26="","",'Rates from Ireland Fedex Priort'!B26)</f>
        <v>Ireland</v>
      </c>
      <c r="C27" s="9" t="str">
        <f>IF('Rates from Ireland Fedex Priort'!C26="","",'Rates from Ireland Fedex Priort'!C26)</f>
        <v>Bolivia</v>
      </c>
      <c r="D27" s="10">
        <f>IF(ISNUMBER('Rates from Ireland Fedex Priort'!D26),_xlfn.CEILING.MATH('Rates from Ireland Fedex Priort'!D26,1)+IF($A27="EU",Variables!$B$5,Variables!$B$2),'Rates from Ireland Fedex Priort'!D26)</f>
        <v>71</v>
      </c>
      <c r="E27" s="10">
        <f>IF(ISNUMBER('Rates from Ireland Fedex Priort'!E26),_xlfn.CEILING.MATH('Rates from Ireland Fedex Priort'!E26,1)+IF($A27="EU",Variables!$B$6,Variables!$B$3),'Rates from Ireland Fedex Priort'!E26)</f>
        <v>77</v>
      </c>
      <c r="F27" s="10">
        <f>IF(ISNUMBER('Rates from Ireland Fedex Priort'!F26),_xlfn.CEILING.MATH('Rates from Ireland Fedex Priort'!F26,1)+IF($A27="EU",Variables!$B$6,Variables!$B$3),'Rates from Ireland Fedex Priort'!F26)</f>
        <v>81</v>
      </c>
      <c r="G27" s="10">
        <f>IF(ISNUMBER('Rates from Ireland Fedex Priort'!G26),_xlfn.CEILING.MATH('Rates from Ireland Fedex Priort'!G26,1)+IF($A27="EU",Variables!$B$6,Variables!$B$3),'Rates from Ireland Fedex Priort'!G26)</f>
        <v>96</v>
      </c>
      <c r="H27" s="10">
        <f>IF(ISNUMBER('Rates from Ireland Fedex Priort'!H26),_xlfn.CEILING.MATH('Rates from Ireland Fedex Priort'!H26,1)+IF($A27="EU",Variables!$B$6,Variables!$B$3),'Rates from Ireland Fedex Priort'!H26)</f>
        <v>117</v>
      </c>
      <c r="I27" s="10">
        <f>IF(ISNUMBER('Rates from Ireland Fedex Priort'!I26),_xlfn.CEILING.MATH('Rates from Ireland Fedex Priort'!I26,1)+IF($A27="EU",Variables!$B$6,Variables!$B$3),'Rates from Ireland Fedex Priort'!I26)</f>
        <v>219</v>
      </c>
      <c r="J27" s="10" t="str">
        <f>IF(ISNUMBER('Rates from Ireland Fedex Priort'!J26),_xlfn.CEILING.MATH('Rates from Ireland Fedex Priort'!J26,1)+IF($A27="EU",Variables!$B$6,Variables!$B$3),'Rates from Ireland Fedex Priort'!J26)</f>
        <v>No service</v>
      </c>
      <c r="K27" s="10" t="str">
        <f>IF(ISNUMBER('Rates from Ireland Fedex Priort'!K26),_xlfn.CEILING.MATH('Rates from Ireland Fedex Priort'!K26,1)+IF($A27="EU",Variables!$B$6,Variables!$B$3),'Rates from Ireland Fedex Priort'!K26)</f>
        <v>No service</v>
      </c>
      <c r="L27" s="10" t="str">
        <f>IF(ISNUMBER('Rates from Ireland Fedex Priort'!L26),_xlfn.CEILING.MATH('Rates from Ireland Fedex Priort'!L26,1)+IF($A27="EU",Variables!$B$6,Variables!$B$3),'Rates from Ireland Fedex Priort'!L26)</f>
        <v>No service</v>
      </c>
      <c r="M27" s="10" t="str">
        <f>IF(ISNUMBER('Rates from Ireland Fedex Priort'!M26),_xlfn.CEILING.MATH('Rates from Ireland Fedex Priort'!M26,1)+IF($A27="EU",Variables!$B$6,Variables!$B$3),'Rates from Ireland Fedex Priort'!M26)</f>
        <v>No service</v>
      </c>
      <c r="N27" s="10" t="str">
        <f>IF(ISNUMBER('Rates from Ireland Fedex Priort'!N26),_xlfn.CEILING.MATH('Rates from Ireland Fedex Priort'!N26,1)+IF($A27="EU",Variables!$B$6,Variables!$B$3),'Rates from Ireland Fedex Priort'!N26)</f>
        <v>No service</v>
      </c>
      <c r="O27" s="11" t="s">
        <v>23</v>
      </c>
      <c r="P27" s="11" t="s">
        <v>24</v>
      </c>
      <c r="Q27" s="12">
        <v>80</v>
      </c>
      <c r="R27" s="11" t="s">
        <v>25</v>
      </c>
      <c r="S27" s="3" t="s">
        <v>26</v>
      </c>
      <c r="T27" s="38" t="s">
        <v>27</v>
      </c>
    </row>
    <row r="28" spans="1:20" ht="15.75" customHeight="1" x14ac:dyDescent="0.3">
      <c r="A28" s="39" t="str">
        <f>IF('Rates from Ireland Fedex Priort'!A27="","",'Rates from Ireland Fedex Priort'!A27)</f>
        <v>EU</v>
      </c>
      <c r="B28" s="8" t="str">
        <f>IF('Rates from Ireland Fedex Priort'!B27="","",'Rates from Ireland Fedex Priort'!B27)</f>
        <v>Ireland</v>
      </c>
      <c r="C28" s="9" t="str">
        <f>IF('Rates from Ireland Fedex Priort'!C27="","",'Rates from Ireland Fedex Priort'!C27)</f>
        <v>Bonaire</v>
      </c>
      <c r="D28" s="10">
        <f>IF(ISNUMBER('Rates from Ireland Fedex Priort'!D27),_xlfn.CEILING.MATH('Rates from Ireland Fedex Priort'!D27,1)+IF($A28="EU",Variables!$B$5,Variables!$B$2),'Rates from Ireland Fedex Priort'!D27)</f>
        <v>71</v>
      </c>
      <c r="E28" s="10">
        <f>IF(ISNUMBER('Rates from Ireland Fedex Priort'!E27),_xlfn.CEILING.MATH('Rates from Ireland Fedex Priort'!E27,1)+IF($A28="EU",Variables!$B$6,Variables!$B$3),'Rates from Ireland Fedex Priort'!E27)</f>
        <v>77</v>
      </c>
      <c r="F28" s="10">
        <f>IF(ISNUMBER('Rates from Ireland Fedex Priort'!F27),_xlfn.CEILING.MATH('Rates from Ireland Fedex Priort'!F27,1)+IF($A28="EU",Variables!$B$6,Variables!$B$3),'Rates from Ireland Fedex Priort'!F27)</f>
        <v>81</v>
      </c>
      <c r="G28" s="10">
        <f>IF(ISNUMBER('Rates from Ireland Fedex Priort'!G27),_xlfn.CEILING.MATH('Rates from Ireland Fedex Priort'!G27,1)+IF($A28="EU",Variables!$B$6,Variables!$B$3),'Rates from Ireland Fedex Priort'!G27)</f>
        <v>96</v>
      </c>
      <c r="H28" s="10">
        <f>IF(ISNUMBER('Rates from Ireland Fedex Priort'!H27),_xlfn.CEILING.MATH('Rates from Ireland Fedex Priort'!H27,1)+IF($A28="EU",Variables!$B$6,Variables!$B$3),'Rates from Ireland Fedex Priort'!H27)</f>
        <v>117</v>
      </c>
      <c r="I28" s="10">
        <f>IF(ISNUMBER('Rates from Ireland Fedex Priort'!I27),_xlfn.CEILING.MATH('Rates from Ireland Fedex Priort'!I27,1)+IF($A28="EU",Variables!$B$6,Variables!$B$3),'Rates from Ireland Fedex Priort'!I27)</f>
        <v>219</v>
      </c>
      <c r="J28" s="10" t="str">
        <f>IF(ISNUMBER('Rates from Ireland Fedex Priort'!J27),_xlfn.CEILING.MATH('Rates from Ireland Fedex Priort'!J27,1)+IF($A28="EU",Variables!$B$6,Variables!$B$3),'Rates from Ireland Fedex Priort'!J27)</f>
        <v>No service</v>
      </c>
      <c r="K28" s="10" t="str">
        <f>IF(ISNUMBER('Rates from Ireland Fedex Priort'!K27),_xlfn.CEILING.MATH('Rates from Ireland Fedex Priort'!K27,1)+IF($A28="EU",Variables!$B$6,Variables!$B$3),'Rates from Ireland Fedex Priort'!K27)</f>
        <v>No service</v>
      </c>
      <c r="L28" s="10" t="str">
        <f>IF(ISNUMBER('Rates from Ireland Fedex Priort'!L27),_xlfn.CEILING.MATH('Rates from Ireland Fedex Priort'!L27,1)+IF($A28="EU",Variables!$B$6,Variables!$B$3),'Rates from Ireland Fedex Priort'!L27)</f>
        <v>No service</v>
      </c>
      <c r="M28" s="10" t="str">
        <f>IF(ISNUMBER('Rates from Ireland Fedex Priort'!M27),_xlfn.CEILING.MATH('Rates from Ireland Fedex Priort'!M27,1)+IF($A28="EU",Variables!$B$6,Variables!$B$3),'Rates from Ireland Fedex Priort'!M27)</f>
        <v>No service</v>
      </c>
      <c r="N28" s="10" t="str">
        <f>IF(ISNUMBER('Rates from Ireland Fedex Priort'!N27),_xlfn.CEILING.MATH('Rates from Ireland Fedex Priort'!N27,1)+IF($A28="EU",Variables!$B$6,Variables!$B$3),'Rates from Ireland Fedex Priort'!N27)</f>
        <v>No service</v>
      </c>
      <c r="O28" s="11" t="s">
        <v>23</v>
      </c>
      <c r="P28" s="11" t="s">
        <v>24</v>
      </c>
      <c r="Q28" s="12">
        <v>80</v>
      </c>
      <c r="R28" s="11" t="s">
        <v>25</v>
      </c>
      <c r="S28" s="3" t="s">
        <v>26</v>
      </c>
      <c r="T28" s="38" t="s">
        <v>27</v>
      </c>
    </row>
    <row r="29" spans="1:20" ht="15.75" customHeight="1" x14ac:dyDescent="0.3">
      <c r="A29" s="39" t="str">
        <f>IF('Rates from Ireland Fedex Priort'!A28="","",'Rates from Ireland Fedex Priort'!A28)</f>
        <v>EU</v>
      </c>
      <c r="B29" s="8" t="str">
        <f>IF('Rates from Ireland Fedex Priort'!B28="","",'Rates from Ireland Fedex Priort'!B28)</f>
        <v>Ireland</v>
      </c>
      <c r="C29" s="9" t="str">
        <f>IF('Rates from Ireland Fedex Priort'!C28="","",'Rates from Ireland Fedex Priort'!C28)</f>
        <v>Bosnia and Herzegovina</v>
      </c>
      <c r="D29" s="10">
        <f>IF(ISNUMBER('Rates from Ireland Fedex Priort'!D28),_xlfn.CEILING.MATH('Rates from Ireland Fedex Priort'!D28,1)+IF($A29="EU",Variables!$B$5,Variables!$B$2),'Rates from Ireland Fedex Priort'!D28)</f>
        <v>76</v>
      </c>
      <c r="E29" s="10">
        <f>IF(ISNUMBER('Rates from Ireland Fedex Priort'!E28),_xlfn.CEILING.MATH('Rates from Ireland Fedex Priort'!E28,1)+IF($A29="EU",Variables!$B$6,Variables!$B$3),'Rates from Ireland Fedex Priort'!E28)</f>
        <v>85</v>
      </c>
      <c r="F29" s="10">
        <f>IF(ISNUMBER('Rates from Ireland Fedex Priort'!F28),_xlfn.CEILING.MATH('Rates from Ireland Fedex Priort'!F28,1)+IF($A29="EU",Variables!$B$6,Variables!$B$3),'Rates from Ireland Fedex Priort'!F28)</f>
        <v>88</v>
      </c>
      <c r="G29" s="10">
        <f>IF(ISNUMBER('Rates from Ireland Fedex Priort'!G28),_xlfn.CEILING.MATH('Rates from Ireland Fedex Priort'!G28,1)+IF($A29="EU",Variables!$B$6,Variables!$B$3),'Rates from Ireland Fedex Priort'!G28)</f>
        <v>97</v>
      </c>
      <c r="H29" s="10">
        <f>IF(ISNUMBER('Rates from Ireland Fedex Priort'!H28),_xlfn.CEILING.MATH('Rates from Ireland Fedex Priort'!H28,1)+IF($A29="EU",Variables!$B$6,Variables!$B$3),'Rates from Ireland Fedex Priort'!H28)</f>
        <v>102</v>
      </c>
      <c r="I29" s="10">
        <f>IF(ISNUMBER('Rates from Ireland Fedex Priort'!I28),_xlfn.CEILING.MATH('Rates from Ireland Fedex Priort'!I28,1)+IF($A29="EU",Variables!$B$6,Variables!$B$3),'Rates from Ireland Fedex Priort'!I28)</f>
        <v>109</v>
      </c>
      <c r="J29" s="10" t="str">
        <f>IF(ISNUMBER('Rates from Ireland Fedex Priort'!J28),_xlfn.CEILING.MATH('Rates from Ireland Fedex Priort'!J28,1)+IF($A29="EU",Variables!$B$6,Variables!$B$3),'Rates from Ireland Fedex Priort'!J28)</f>
        <v>No service</v>
      </c>
      <c r="K29" s="10" t="str">
        <f>IF(ISNUMBER('Rates from Ireland Fedex Priort'!K28),_xlfn.CEILING.MATH('Rates from Ireland Fedex Priort'!K28,1)+IF($A29="EU",Variables!$B$6,Variables!$B$3),'Rates from Ireland Fedex Priort'!K28)</f>
        <v>No service</v>
      </c>
      <c r="L29" s="10" t="str">
        <f>IF(ISNUMBER('Rates from Ireland Fedex Priort'!L28),_xlfn.CEILING.MATH('Rates from Ireland Fedex Priort'!L28,1)+IF($A29="EU",Variables!$B$6,Variables!$B$3),'Rates from Ireland Fedex Priort'!L28)</f>
        <v>No service</v>
      </c>
      <c r="M29" s="10" t="str">
        <f>IF(ISNUMBER('Rates from Ireland Fedex Priort'!M28),_xlfn.CEILING.MATH('Rates from Ireland Fedex Priort'!M28,1)+IF($A29="EU",Variables!$B$6,Variables!$B$3),'Rates from Ireland Fedex Priort'!M28)</f>
        <v>No service</v>
      </c>
      <c r="N29" s="10" t="str">
        <f>IF(ISNUMBER('Rates from Ireland Fedex Priort'!N28),_xlfn.CEILING.MATH('Rates from Ireland Fedex Priort'!N28,1)+IF($A29="EU",Variables!$B$6,Variables!$B$3),'Rates from Ireland Fedex Priort'!N28)</f>
        <v>No service</v>
      </c>
      <c r="O29" s="11" t="s">
        <v>29</v>
      </c>
      <c r="P29" s="11" t="s">
        <v>61</v>
      </c>
      <c r="Q29" s="12">
        <v>80</v>
      </c>
      <c r="R29" s="11" t="s">
        <v>25</v>
      </c>
      <c r="S29" s="3" t="s">
        <v>26</v>
      </c>
      <c r="T29" s="38" t="s">
        <v>27</v>
      </c>
    </row>
    <row r="30" spans="1:20" ht="15.75" customHeight="1" x14ac:dyDescent="0.3">
      <c r="A30" s="39" t="str">
        <f>IF('Rates from Ireland Fedex Priort'!A29="","",'Rates from Ireland Fedex Priort'!A29)</f>
        <v>EU</v>
      </c>
      <c r="B30" s="8" t="str">
        <f>IF('Rates from Ireland Fedex Priort'!B29="","",'Rates from Ireland Fedex Priort'!B29)</f>
        <v>Ireland</v>
      </c>
      <c r="C30" s="9" t="str">
        <f>IF('Rates from Ireland Fedex Priort'!C29="","",'Rates from Ireland Fedex Priort'!C29)</f>
        <v>Botswana</v>
      </c>
      <c r="D30" s="10">
        <f>IF(ISNUMBER('Rates from Ireland Fedex Priort'!D29),_xlfn.CEILING.MATH('Rates from Ireland Fedex Priort'!D29,1)+IF($A30="EU",Variables!$B$5,Variables!$B$2),'Rates from Ireland Fedex Priort'!D29)</f>
        <v>72</v>
      </c>
      <c r="E30" s="10">
        <f>IF(ISNUMBER('Rates from Ireland Fedex Priort'!E29),_xlfn.CEILING.MATH('Rates from Ireland Fedex Priort'!E29,1)+IF($A30="EU",Variables!$B$6,Variables!$B$3),'Rates from Ireland Fedex Priort'!E29)</f>
        <v>83</v>
      </c>
      <c r="F30" s="10">
        <f>IF(ISNUMBER('Rates from Ireland Fedex Priort'!F29),_xlfn.CEILING.MATH('Rates from Ireland Fedex Priort'!F29,1)+IF($A30="EU",Variables!$B$6,Variables!$B$3),'Rates from Ireland Fedex Priort'!F29)</f>
        <v>88</v>
      </c>
      <c r="G30" s="10">
        <f>IF(ISNUMBER('Rates from Ireland Fedex Priort'!G29),_xlfn.CEILING.MATH('Rates from Ireland Fedex Priort'!G29,1)+IF($A30="EU",Variables!$B$6,Variables!$B$3),'Rates from Ireland Fedex Priort'!G29)</f>
        <v>106</v>
      </c>
      <c r="H30" s="10">
        <f>IF(ISNUMBER('Rates from Ireland Fedex Priort'!H29),_xlfn.CEILING.MATH('Rates from Ireland Fedex Priort'!H29,1)+IF($A30="EU",Variables!$B$6,Variables!$B$3),'Rates from Ireland Fedex Priort'!H29)</f>
        <v>134</v>
      </c>
      <c r="I30" s="10">
        <f>IF(ISNUMBER('Rates from Ireland Fedex Priort'!I29),_xlfn.CEILING.MATH('Rates from Ireland Fedex Priort'!I29,1)+IF($A30="EU",Variables!$B$6,Variables!$B$3),'Rates from Ireland Fedex Priort'!I29)</f>
        <v>242</v>
      </c>
      <c r="J30" s="10" t="str">
        <f>IF(ISNUMBER('Rates from Ireland Fedex Priort'!J29),_xlfn.CEILING.MATH('Rates from Ireland Fedex Priort'!J29,1)+IF($A30="EU",Variables!$B$6,Variables!$B$3),'Rates from Ireland Fedex Priort'!J29)</f>
        <v>No service</v>
      </c>
      <c r="K30" s="10" t="str">
        <f>IF(ISNUMBER('Rates from Ireland Fedex Priort'!K29),_xlfn.CEILING.MATH('Rates from Ireland Fedex Priort'!K29,1)+IF($A30="EU",Variables!$B$6,Variables!$B$3),'Rates from Ireland Fedex Priort'!K29)</f>
        <v>No service</v>
      </c>
      <c r="L30" s="10" t="str">
        <f>IF(ISNUMBER('Rates from Ireland Fedex Priort'!L29),_xlfn.CEILING.MATH('Rates from Ireland Fedex Priort'!L29,1)+IF($A30="EU",Variables!$B$6,Variables!$B$3),'Rates from Ireland Fedex Priort'!L29)</f>
        <v>No service</v>
      </c>
      <c r="M30" s="10" t="str">
        <f>IF(ISNUMBER('Rates from Ireland Fedex Priort'!M29),_xlfn.CEILING.MATH('Rates from Ireland Fedex Priort'!M29,1)+IF($A30="EU",Variables!$B$6,Variables!$B$3),'Rates from Ireland Fedex Priort'!M29)</f>
        <v>No service</v>
      </c>
      <c r="N30" s="10" t="str">
        <f>IF(ISNUMBER('Rates from Ireland Fedex Priort'!N29),_xlfn.CEILING.MATH('Rates from Ireland Fedex Priort'!N29,1)+IF($A30="EU",Variables!$B$6,Variables!$B$3),'Rates from Ireland Fedex Priort'!N29)</f>
        <v>No service</v>
      </c>
      <c r="O30" s="11" t="s">
        <v>35</v>
      </c>
      <c r="P30" s="11" t="s">
        <v>36</v>
      </c>
      <c r="Q30" s="12">
        <v>80</v>
      </c>
      <c r="R30" s="11" t="s">
        <v>25</v>
      </c>
      <c r="S30" s="3" t="s">
        <v>26</v>
      </c>
      <c r="T30" s="38" t="s">
        <v>27</v>
      </c>
    </row>
    <row r="31" spans="1:20" ht="15.75" customHeight="1" x14ac:dyDescent="0.3">
      <c r="A31" s="39" t="str">
        <f>IF('Rates from Ireland Fedex Priort'!A30="","",'Rates from Ireland Fedex Priort'!A30)</f>
        <v>EU</v>
      </c>
      <c r="B31" s="8" t="str">
        <f>IF('Rates from Ireland Fedex Priort'!B30="","",'Rates from Ireland Fedex Priort'!B30)</f>
        <v>Ireland</v>
      </c>
      <c r="C31" s="9" t="str">
        <f>IF('Rates from Ireland Fedex Priort'!C30="","",'Rates from Ireland Fedex Priort'!C30)</f>
        <v>Brazil</v>
      </c>
      <c r="D31" s="10">
        <f>IF(ISNUMBER('Rates from Ireland Fedex Priort'!D30),_xlfn.CEILING.MATH('Rates from Ireland Fedex Priort'!D30,1)+IF($A31="EU",Variables!$B$5,Variables!$B$2),'Rates from Ireland Fedex Priort'!D30)</f>
        <v>68</v>
      </c>
      <c r="E31" s="10">
        <f>IF(ISNUMBER('Rates from Ireland Fedex Priort'!E30),_xlfn.CEILING.MATH('Rates from Ireland Fedex Priort'!E30,1)+IF($A31="EU",Variables!$B$6,Variables!$B$3),'Rates from Ireland Fedex Priort'!E30)</f>
        <v>77</v>
      </c>
      <c r="F31" s="10">
        <f>IF(ISNUMBER('Rates from Ireland Fedex Priort'!F30),_xlfn.CEILING.MATH('Rates from Ireland Fedex Priort'!F30,1)+IF($A31="EU",Variables!$B$6,Variables!$B$3),'Rates from Ireland Fedex Priort'!F30)</f>
        <v>81</v>
      </c>
      <c r="G31" s="10">
        <f>IF(ISNUMBER('Rates from Ireland Fedex Priort'!G30),_xlfn.CEILING.MATH('Rates from Ireland Fedex Priort'!G30,1)+IF($A31="EU",Variables!$B$6,Variables!$B$3),'Rates from Ireland Fedex Priort'!G30)</f>
        <v>96</v>
      </c>
      <c r="H31" s="10">
        <f>IF(ISNUMBER('Rates from Ireland Fedex Priort'!H30),_xlfn.CEILING.MATH('Rates from Ireland Fedex Priort'!H30,1)+IF($A31="EU",Variables!$B$6,Variables!$B$3),'Rates from Ireland Fedex Priort'!H30)</f>
        <v>117</v>
      </c>
      <c r="I31" s="10">
        <f>IF(ISNUMBER('Rates from Ireland Fedex Priort'!I30),_xlfn.CEILING.MATH('Rates from Ireland Fedex Priort'!I30,1)+IF($A31="EU",Variables!$B$6,Variables!$B$3),'Rates from Ireland Fedex Priort'!I30)</f>
        <v>219</v>
      </c>
      <c r="J31" s="10" t="str">
        <f>IF(ISNUMBER('Rates from Ireland Fedex Priort'!J30),_xlfn.CEILING.MATH('Rates from Ireland Fedex Priort'!J30,1)+IF($A31="EU",Variables!$B$6,Variables!$B$3),'Rates from Ireland Fedex Priort'!J30)</f>
        <v>No service</v>
      </c>
      <c r="K31" s="10" t="str">
        <f>IF(ISNUMBER('Rates from Ireland Fedex Priort'!K30),_xlfn.CEILING.MATH('Rates from Ireland Fedex Priort'!K30,1)+IF($A31="EU",Variables!$B$6,Variables!$B$3),'Rates from Ireland Fedex Priort'!K30)</f>
        <v>No service</v>
      </c>
      <c r="L31" s="10" t="str">
        <f>IF(ISNUMBER('Rates from Ireland Fedex Priort'!L30),_xlfn.CEILING.MATH('Rates from Ireland Fedex Priort'!L30,1)+IF($A31="EU",Variables!$B$6,Variables!$B$3),'Rates from Ireland Fedex Priort'!L30)</f>
        <v>No service</v>
      </c>
      <c r="M31" s="10" t="str">
        <f>IF(ISNUMBER('Rates from Ireland Fedex Priort'!M30),_xlfn.CEILING.MATH('Rates from Ireland Fedex Priort'!M30,1)+IF($A31="EU",Variables!$B$6,Variables!$B$3),'Rates from Ireland Fedex Priort'!M30)</f>
        <v>No service</v>
      </c>
      <c r="N31" s="10" t="str">
        <f>IF(ISNUMBER('Rates from Ireland Fedex Priort'!N30),_xlfn.CEILING.MATH('Rates from Ireland Fedex Priort'!N30,1)+IF($A31="EU",Variables!$B$6,Variables!$B$3),'Rates from Ireland Fedex Priort'!N30)</f>
        <v>No service</v>
      </c>
      <c r="O31" s="11" t="s">
        <v>41</v>
      </c>
      <c r="P31" s="11" t="s">
        <v>23</v>
      </c>
      <c r="Q31" s="12">
        <v>80</v>
      </c>
      <c r="R31" s="11" t="s">
        <v>25</v>
      </c>
      <c r="S31" s="3" t="s">
        <v>26</v>
      </c>
      <c r="T31" s="38" t="s">
        <v>27</v>
      </c>
    </row>
    <row r="32" spans="1:20" ht="15.75" customHeight="1" x14ac:dyDescent="0.3">
      <c r="A32" s="39" t="str">
        <f>IF('Rates from Ireland Fedex Priort'!A31="","",'Rates from Ireland Fedex Priort'!A31)</f>
        <v>EU</v>
      </c>
      <c r="B32" s="8" t="str">
        <f>IF('Rates from Ireland Fedex Priort'!B31="","",'Rates from Ireland Fedex Priort'!B31)</f>
        <v>Ireland</v>
      </c>
      <c r="C32" s="9" t="str">
        <f>IF('Rates from Ireland Fedex Priort'!C31="","",'Rates from Ireland Fedex Priort'!C31)</f>
        <v>British Virgin Islands</v>
      </c>
      <c r="D32" s="10">
        <f>IF(ISNUMBER('Rates from Ireland Fedex Priort'!D31),_xlfn.CEILING.MATH('Rates from Ireland Fedex Priort'!D31,1)+IF($A32="EU",Variables!$B$5,Variables!$B$2),'Rates from Ireland Fedex Priort'!D31)</f>
        <v>71</v>
      </c>
      <c r="E32" s="10">
        <f>IF(ISNUMBER('Rates from Ireland Fedex Priort'!E31),_xlfn.CEILING.MATH('Rates from Ireland Fedex Priort'!E31,1)+IF($A32="EU",Variables!$B$6,Variables!$B$3),'Rates from Ireland Fedex Priort'!E31)</f>
        <v>77</v>
      </c>
      <c r="F32" s="10">
        <f>IF(ISNUMBER('Rates from Ireland Fedex Priort'!F31),_xlfn.CEILING.MATH('Rates from Ireland Fedex Priort'!F31,1)+IF($A32="EU",Variables!$B$6,Variables!$B$3),'Rates from Ireland Fedex Priort'!F31)</f>
        <v>81</v>
      </c>
      <c r="G32" s="10">
        <f>IF(ISNUMBER('Rates from Ireland Fedex Priort'!G31),_xlfn.CEILING.MATH('Rates from Ireland Fedex Priort'!G31,1)+IF($A32="EU",Variables!$B$6,Variables!$B$3),'Rates from Ireland Fedex Priort'!G31)</f>
        <v>96</v>
      </c>
      <c r="H32" s="10">
        <f>IF(ISNUMBER('Rates from Ireland Fedex Priort'!H31),_xlfn.CEILING.MATH('Rates from Ireland Fedex Priort'!H31,1)+IF($A32="EU",Variables!$B$6,Variables!$B$3),'Rates from Ireland Fedex Priort'!H31)</f>
        <v>117</v>
      </c>
      <c r="I32" s="10">
        <f>IF(ISNUMBER('Rates from Ireland Fedex Priort'!I31),_xlfn.CEILING.MATH('Rates from Ireland Fedex Priort'!I31,1)+IF($A32="EU",Variables!$B$6,Variables!$B$3),'Rates from Ireland Fedex Priort'!I31)</f>
        <v>219</v>
      </c>
      <c r="J32" s="10" t="str">
        <f>IF(ISNUMBER('Rates from Ireland Fedex Priort'!J31),_xlfn.CEILING.MATH('Rates from Ireland Fedex Priort'!J31,1)+IF($A32="EU",Variables!$B$6,Variables!$B$3),'Rates from Ireland Fedex Priort'!J31)</f>
        <v>No service</v>
      </c>
      <c r="K32" s="10" t="str">
        <f>IF(ISNUMBER('Rates from Ireland Fedex Priort'!K31),_xlfn.CEILING.MATH('Rates from Ireland Fedex Priort'!K31,1)+IF($A32="EU",Variables!$B$6,Variables!$B$3),'Rates from Ireland Fedex Priort'!K31)</f>
        <v>No service</v>
      </c>
      <c r="L32" s="10" t="str">
        <f>IF(ISNUMBER('Rates from Ireland Fedex Priort'!L31),_xlfn.CEILING.MATH('Rates from Ireland Fedex Priort'!L31,1)+IF($A32="EU",Variables!$B$6,Variables!$B$3),'Rates from Ireland Fedex Priort'!L31)</f>
        <v>No service</v>
      </c>
      <c r="M32" s="10" t="str">
        <f>IF(ISNUMBER('Rates from Ireland Fedex Priort'!M31),_xlfn.CEILING.MATH('Rates from Ireland Fedex Priort'!M31,1)+IF($A32="EU",Variables!$B$6,Variables!$B$3),'Rates from Ireland Fedex Priort'!M31)</f>
        <v>No service</v>
      </c>
      <c r="N32" s="10" t="str">
        <f>IF(ISNUMBER('Rates from Ireland Fedex Priort'!N31),_xlfn.CEILING.MATH('Rates from Ireland Fedex Priort'!N31,1)+IF($A32="EU",Variables!$B$6,Variables!$B$3),'Rates from Ireland Fedex Priort'!N31)</f>
        <v>No service</v>
      </c>
      <c r="O32" s="11" t="s">
        <v>23</v>
      </c>
      <c r="P32" s="11" t="s">
        <v>24</v>
      </c>
      <c r="Q32" s="12">
        <v>80</v>
      </c>
      <c r="R32" s="11" t="s">
        <v>25</v>
      </c>
      <c r="S32" s="3" t="s">
        <v>26</v>
      </c>
      <c r="T32" s="38" t="s">
        <v>27</v>
      </c>
    </row>
    <row r="33" spans="1:20" ht="15.75" customHeight="1" x14ac:dyDescent="0.3">
      <c r="A33" s="39" t="str">
        <f>IF('Rates from Ireland Fedex Priort'!A32="","",'Rates from Ireland Fedex Priort'!A32)</f>
        <v>EU</v>
      </c>
      <c r="B33" s="8" t="str">
        <f>IF('Rates from Ireland Fedex Priort'!B32="","",'Rates from Ireland Fedex Priort'!B32)</f>
        <v>Ireland</v>
      </c>
      <c r="C33" s="9" t="str">
        <f>IF('Rates from Ireland Fedex Priort'!C32="","",'Rates from Ireland Fedex Priort'!C32)</f>
        <v>Brunei</v>
      </c>
      <c r="D33" s="10">
        <f>IF(ISNUMBER('Rates from Ireland Fedex Priort'!D32),_xlfn.CEILING.MATH('Rates from Ireland Fedex Priort'!D32,1)+IF($A33="EU",Variables!$B$5,Variables!$B$2),'Rates from Ireland Fedex Priort'!D32)</f>
        <v>62</v>
      </c>
      <c r="E33" s="10">
        <f>IF(ISNUMBER('Rates from Ireland Fedex Priort'!E32),_xlfn.CEILING.MATH('Rates from Ireland Fedex Priort'!E32,1)+IF($A33="EU",Variables!$B$6,Variables!$B$3),'Rates from Ireland Fedex Priort'!E32)</f>
        <v>69</v>
      </c>
      <c r="F33" s="10">
        <f>IF(ISNUMBER('Rates from Ireland Fedex Priort'!F32),_xlfn.CEILING.MATH('Rates from Ireland Fedex Priort'!F32,1)+IF($A33="EU",Variables!$B$6,Variables!$B$3),'Rates from Ireland Fedex Priort'!F32)</f>
        <v>72</v>
      </c>
      <c r="G33" s="10">
        <f>IF(ISNUMBER('Rates from Ireland Fedex Priort'!G32),_xlfn.CEILING.MATH('Rates from Ireland Fedex Priort'!G32,1)+IF($A33="EU",Variables!$B$6,Variables!$B$3),'Rates from Ireland Fedex Priort'!G32)</f>
        <v>86</v>
      </c>
      <c r="H33" s="10">
        <f>IF(ISNUMBER('Rates from Ireland Fedex Priort'!H32),_xlfn.CEILING.MATH('Rates from Ireland Fedex Priort'!H32,1)+IF($A33="EU",Variables!$B$6,Variables!$B$3),'Rates from Ireland Fedex Priort'!H32)</f>
        <v>111</v>
      </c>
      <c r="I33" s="10">
        <f>IF(ISNUMBER('Rates from Ireland Fedex Priort'!I32),_xlfn.CEILING.MATH('Rates from Ireland Fedex Priort'!I32,1)+IF($A33="EU",Variables!$B$6,Variables!$B$3),'Rates from Ireland Fedex Priort'!I32)</f>
        <v>174</v>
      </c>
      <c r="J33" s="10" t="str">
        <f>IF(ISNUMBER('Rates from Ireland Fedex Priort'!J32),_xlfn.CEILING.MATH('Rates from Ireland Fedex Priort'!J32,1)+IF($A33="EU",Variables!$B$6,Variables!$B$3),'Rates from Ireland Fedex Priort'!J32)</f>
        <v>No service</v>
      </c>
      <c r="K33" s="10" t="str">
        <f>IF(ISNUMBER('Rates from Ireland Fedex Priort'!K32),_xlfn.CEILING.MATH('Rates from Ireland Fedex Priort'!K32,1)+IF($A33="EU",Variables!$B$6,Variables!$B$3),'Rates from Ireland Fedex Priort'!K32)</f>
        <v>No service</v>
      </c>
      <c r="L33" s="10" t="str">
        <f>IF(ISNUMBER('Rates from Ireland Fedex Priort'!L32),_xlfn.CEILING.MATH('Rates from Ireland Fedex Priort'!L32,1)+IF($A33="EU",Variables!$B$6,Variables!$B$3),'Rates from Ireland Fedex Priort'!L32)</f>
        <v>No service</v>
      </c>
      <c r="M33" s="10" t="str">
        <f>IF(ISNUMBER('Rates from Ireland Fedex Priort'!M32),_xlfn.CEILING.MATH('Rates from Ireland Fedex Priort'!M32,1)+IF($A33="EU",Variables!$B$6,Variables!$B$3),'Rates from Ireland Fedex Priort'!M32)</f>
        <v>No service</v>
      </c>
      <c r="N33" s="10" t="str">
        <f>IF(ISNUMBER('Rates from Ireland Fedex Priort'!N32),_xlfn.CEILING.MATH('Rates from Ireland Fedex Priort'!N32,1)+IF($A33="EU",Variables!$B$6,Variables!$B$3),'Rates from Ireland Fedex Priort'!N32)</f>
        <v>No service</v>
      </c>
      <c r="O33" s="11" t="s">
        <v>29</v>
      </c>
      <c r="P33" s="11" t="s">
        <v>30</v>
      </c>
      <c r="Q33" s="12">
        <v>80</v>
      </c>
      <c r="R33" s="11" t="s">
        <v>25</v>
      </c>
      <c r="S33" s="3" t="s">
        <v>26</v>
      </c>
      <c r="T33" s="38" t="s">
        <v>27</v>
      </c>
    </row>
    <row r="34" spans="1:20" ht="15.75" customHeight="1" x14ac:dyDescent="0.3">
      <c r="A34" s="39" t="str">
        <f>IF('Rates from Ireland Fedex Priort'!A33="","",'Rates from Ireland Fedex Priort'!A33)</f>
        <v>EU</v>
      </c>
      <c r="B34" s="8" t="str">
        <f>IF('Rates from Ireland Fedex Priort'!B33="","",'Rates from Ireland Fedex Priort'!B33)</f>
        <v>Ireland</v>
      </c>
      <c r="C34" s="9" t="str">
        <f>IF('Rates from Ireland Fedex Priort'!C33="","",'Rates from Ireland Fedex Priort'!C33)</f>
        <v>Bulgaria</v>
      </c>
      <c r="D34" s="10">
        <f>IF(ISNUMBER('Rates from Ireland Fedex Priort'!D33),_xlfn.CEILING.MATH('Rates from Ireland Fedex Priort'!D33,1)+IF($A34="EU",Variables!$B$5,Variables!$B$2),'Rates from Ireland Fedex Priort'!D33)</f>
        <v>68</v>
      </c>
      <c r="E34" s="10">
        <f>IF(ISNUMBER('Rates from Ireland Fedex Priort'!E33),_xlfn.CEILING.MATH('Rates from Ireland Fedex Priort'!E33,1)+IF($A34="EU",Variables!$B$6,Variables!$B$3),'Rates from Ireland Fedex Priort'!E33)</f>
        <v>74</v>
      </c>
      <c r="F34" s="10">
        <f>IF(ISNUMBER('Rates from Ireland Fedex Priort'!F33),_xlfn.CEILING.MATH('Rates from Ireland Fedex Priort'!F33,1)+IF($A34="EU",Variables!$B$6,Variables!$B$3),'Rates from Ireland Fedex Priort'!F33)</f>
        <v>77</v>
      </c>
      <c r="G34" s="10">
        <f>IF(ISNUMBER('Rates from Ireland Fedex Priort'!G33),_xlfn.CEILING.MATH('Rates from Ireland Fedex Priort'!G33,1)+IF($A34="EU",Variables!$B$6,Variables!$B$3),'Rates from Ireland Fedex Priort'!G33)</f>
        <v>79</v>
      </c>
      <c r="H34" s="10">
        <f>IF(ISNUMBER('Rates from Ireland Fedex Priort'!H33),_xlfn.CEILING.MATH('Rates from Ireland Fedex Priort'!H33,1)+IF($A34="EU",Variables!$B$6,Variables!$B$3),'Rates from Ireland Fedex Priort'!H33)</f>
        <v>82</v>
      </c>
      <c r="I34" s="10">
        <f>IF(ISNUMBER('Rates from Ireland Fedex Priort'!I33),_xlfn.CEILING.MATH('Rates from Ireland Fedex Priort'!I33,1)+IF($A34="EU",Variables!$B$6,Variables!$B$3),'Rates from Ireland Fedex Priort'!I33)</f>
        <v>95</v>
      </c>
      <c r="J34" s="10">
        <f>IF(ISNUMBER('Rates from Ireland Fedex Priort'!J33),_xlfn.CEILING.MATH('Rates from Ireland Fedex Priort'!J33,1)+IF($A34="EU",Variables!$B$6,Variables!$B$3),'Rates from Ireland Fedex Priort'!J33)</f>
        <v>103</v>
      </c>
      <c r="K34" s="10">
        <f>IF(ISNUMBER('Rates from Ireland Fedex Priort'!K33),_xlfn.CEILING.MATH('Rates from Ireland Fedex Priort'!K33,1)+IF($A34="EU",Variables!$B$6,Variables!$B$3),'Rates from Ireland Fedex Priort'!K33)</f>
        <v>112</v>
      </c>
      <c r="L34" s="10">
        <f>IF(ISNUMBER('Rates from Ireland Fedex Priort'!L33),_xlfn.CEILING.MATH('Rates from Ireland Fedex Priort'!L33,1)+IF($A34="EU",Variables!$B$6,Variables!$B$3),'Rates from Ireland Fedex Priort'!L33)</f>
        <v>139</v>
      </c>
      <c r="M34" s="10">
        <f>IF(ISNUMBER('Rates from Ireland Fedex Priort'!M33),_xlfn.CEILING.MATH('Rates from Ireland Fedex Priort'!M33,1)+IF($A34="EU",Variables!$B$6,Variables!$B$3),'Rates from Ireland Fedex Priort'!M33)</f>
        <v>147</v>
      </c>
      <c r="N34" s="10">
        <f>IF(ISNUMBER('Rates from Ireland Fedex Priort'!N33),_xlfn.CEILING.MATH('Rates from Ireland Fedex Priort'!N33,1)+IF($A34="EU",Variables!$B$6,Variables!$B$3),'Rates from Ireland Fedex Priort'!N33)</f>
        <v>152</v>
      </c>
      <c r="O34" s="15" t="s">
        <v>61</v>
      </c>
      <c r="P34" s="15" t="s">
        <v>67</v>
      </c>
      <c r="Q34" s="16">
        <v>80</v>
      </c>
      <c r="R34" s="15" t="s">
        <v>25</v>
      </c>
      <c r="S34" s="17" t="s">
        <v>26</v>
      </c>
      <c r="T34" s="40" t="s">
        <v>27</v>
      </c>
    </row>
    <row r="35" spans="1:20" ht="15.75" customHeight="1" x14ac:dyDescent="0.3">
      <c r="A35" s="39" t="str">
        <f>IF('Rates from Ireland Fedex Priort'!A34="","",'Rates from Ireland Fedex Priort'!A34)</f>
        <v>EU</v>
      </c>
      <c r="B35" s="8" t="str">
        <f>IF('Rates from Ireland Fedex Priort'!B34="","",'Rates from Ireland Fedex Priort'!B34)</f>
        <v>Ireland</v>
      </c>
      <c r="C35" s="9" t="str">
        <f>IF('Rates from Ireland Fedex Priort'!C34="","",'Rates from Ireland Fedex Priort'!C34)</f>
        <v>Burkina Faso</v>
      </c>
      <c r="D35" s="10">
        <f>IF(ISNUMBER('Rates from Ireland Fedex Priort'!D34),_xlfn.CEILING.MATH('Rates from Ireland Fedex Priort'!D34,1)+IF($A35="EU",Variables!$B$5,Variables!$B$2),'Rates from Ireland Fedex Priort'!D34)</f>
        <v>72</v>
      </c>
      <c r="E35" s="10">
        <f>IF(ISNUMBER('Rates from Ireland Fedex Priort'!E34),_xlfn.CEILING.MATH('Rates from Ireland Fedex Priort'!E34,1)+IF($A35="EU",Variables!$B$6,Variables!$B$3),'Rates from Ireland Fedex Priort'!E34)</f>
        <v>83</v>
      </c>
      <c r="F35" s="10">
        <f>IF(ISNUMBER('Rates from Ireland Fedex Priort'!F34),_xlfn.CEILING.MATH('Rates from Ireland Fedex Priort'!F34,1)+IF($A35="EU",Variables!$B$6,Variables!$B$3),'Rates from Ireland Fedex Priort'!F34)</f>
        <v>88</v>
      </c>
      <c r="G35" s="10">
        <f>IF(ISNUMBER('Rates from Ireland Fedex Priort'!G34),_xlfn.CEILING.MATH('Rates from Ireland Fedex Priort'!G34,1)+IF($A35="EU",Variables!$B$6,Variables!$B$3),'Rates from Ireland Fedex Priort'!G34)</f>
        <v>106</v>
      </c>
      <c r="H35" s="10">
        <f>IF(ISNUMBER('Rates from Ireland Fedex Priort'!H34),_xlfn.CEILING.MATH('Rates from Ireland Fedex Priort'!H34,1)+IF($A35="EU",Variables!$B$6,Variables!$B$3),'Rates from Ireland Fedex Priort'!H34)</f>
        <v>134</v>
      </c>
      <c r="I35" s="10">
        <f>IF(ISNUMBER('Rates from Ireland Fedex Priort'!I34),_xlfn.CEILING.MATH('Rates from Ireland Fedex Priort'!I34,1)+IF($A35="EU",Variables!$B$6,Variables!$B$3),'Rates from Ireland Fedex Priort'!I34)</f>
        <v>242</v>
      </c>
      <c r="J35" s="10" t="str">
        <f>IF(ISNUMBER('Rates from Ireland Fedex Priort'!J34),_xlfn.CEILING.MATH('Rates from Ireland Fedex Priort'!J34,1)+IF($A35="EU",Variables!$B$6,Variables!$B$3),'Rates from Ireland Fedex Priort'!J34)</f>
        <v>No service</v>
      </c>
      <c r="K35" s="10" t="str">
        <f>IF(ISNUMBER('Rates from Ireland Fedex Priort'!K34),_xlfn.CEILING.MATH('Rates from Ireland Fedex Priort'!K34,1)+IF($A35="EU",Variables!$B$6,Variables!$B$3),'Rates from Ireland Fedex Priort'!K34)</f>
        <v>No service</v>
      </c>
      <c r="L35" s="10" t="str">
        <f>IF(ISNUMBER('Rates from Ireland Fedex Priort'!L34),_xlfn.CEILING.MATH('Rates from Ireland Fedex Priort'!L34,1)+IF($A35="EU",Variables!$B$6,Variables!$B$3),'Rates from Ireland Fedex Priort'!L34)</f>
        <v>No service</v>
      </c>
      <c r="M35" s="10" t="str">
        <f>IF(ISNUMBER('Rates from Ireland Fedex Priort'!M34),_xlfn.CEILING.MATH('Rates from Ireland Fedex Priort'!M34,1)+IF($A35="EU",Variables!$B$6,Variables!$B$3),'Rates from Ireland Fedex Priort'!M34)</f>
        <v>No service</v>
      </c>
      <c r="N35" s="10" t="str">
        <f>IF(ISNUMBER('Rates from Ireland Fedex Priort'!N34),_xlfn.CEILING.MATH('Rates from Ireland Fedex Priort'!N34,1)+IF($A35="EU",Variables!$B$6,Variables!$B$3),'Rates from Ireland Fedex Priort'!N34)</f>
        <v>No service</v>
      </c>
      <c r="O35" s="11" t="s">
        <v>24</v>
      </c>
      <c r="P35" s="11" t="s">
        <v>69</v>
      </c>
      <c r="Q35" s="12">
        <v>80</v>
      </c>
      <c r="R35" s="11" t="s">
        <v>25</v>
      </c>
      <c r="S35" s="3" t="s">
        <v>26</v>
      </c>
      <c r="T35" s="38" t="s">
        <v>27</v>
      </c>
    </row>
    <row r="36" spans="1:20" ht="15.75" customHeight="1" x14ac:dyDescent="0.3">
      <c r="A36" s="39" t="str">
        <f>IF('Rates from Ireland Fedex Priort'!A35="","",'Rates from Ireland Fedex Priort'!A35)</f>
        <v>EU</v>
      </c>
      <c r="B36" s="8" t="str">
        <f>IF('Rates from Ireland Fedex Priort'!B35="","",'Rates from Ireland Fedex Priort'!B35)</f>
        <v>Ireland</v>
      </c>
      <c r="C36" s="9" t="str">
        <f>IF('Rates from Ireland Fedex Priort'!C35="","",'Rates from Ireland Fedex Priort'!C35)</f>
        <v>Burundi</v>
      </c>
      <c r="D36" s="10">
        <f>IF(ISNUMBER('Rates from Ireland Fedex Priort'!D35),_xlfn.CEILING.MATH('Rates from Ireland Fedex Priort'!D35,1)+IF($A36="EU",Variables!$B$5,Variables!$B$2),'Rates from Ireland Fedex Priort'!D35)</f>
        <v>72</v>
      </c>
      <c r="E36" s="10">
        <f>IF(ISNUMBER('Rates from Ireland Fedex Priort'!E35),_xlfn.CEILING.MATH('Rates from Ireland Fedex Priort'!E35,1)+IF($A36="EU",Variables!$B$6,Variables!$B$3),'Rates from Ireland Fedex Priort'!E35)</f>
        <v>83</v>
      </c>
      <c r="F36" s="10">
        <f>IF(ISNUMBER('Rates from Ireland Fedex Priort'!F35),_xlfn.CEILING.MATH('Rates from Ireland Fedex Priort'!F35,1)+IF($A36="EU",Variables!$B$6,Variables!$B$3),'Rates from Ireland Fedex Priort'!F35)</f>
        <v>88</v>
      </c>
      <c r="G36" s="10">
        <f>IF(ISNUMBER('Rates from Ireland Fedex Priort'!G35),_xlfn.CEILING.MATH('Rates from Ireland Fedex Priort'!G35,1)+IF($A36="EU",Variables!$B$6,Variables!$B$3),'Rates from Ireland Fedex Priort'!G35)</f>
        <v>106</v>
      </c>
      <c r="H36" s="10">
        <f>IF(ISNUMBER('Rates from Ireland Fedex Priort'!H35),_xlfn.CEILING.MATH('Rates from Ireland Fedex Priort'!H35,1)+IF($A36="EU",Variables!$B$6,Variables!$B$3),'Rates from Ireland Fedex Priort'!H35)</f>
        <v>134</v>
      </c>
      <c r="I36" s="10">
        <f>IF(ISNUMBER('Rates from Ireland Fedex Priort'!I35),_xlfn.CEILING.MATH('Rates from Ireland Fedex Priort'!I35,1)+IF($A36="EU",Variables!$B$6,Variables!$B$3),'Rates from Ireland Fedex Priort'!I35)</f>
        <v>242</v>
      </c>
      <c r="J36" s="10" t="str">
        <f>IF(ISNUMBER('Rates from Ireland Fedex Priort'!J35),_xlfn.CEILING.MATH('Rates from Ireland Fedex Priort'!J35,1)+IF($A36="EU",Variables!$B$6,Variables!$B$3),'Rates from Ireland Fedex Priort'!J35)</f>
        <v>No service</v>
      </c>
      <c r="K36" s="10" t="str">
        <f>IF(ISNUMBER('Rates from Ireland Fedex Priort'!K35),_xlfn.CEILING.MATH('Rates from Ireland Fedex Priort'!K35,1)+IF($A36="EU",Variables!$B$6,Variables!$B$3),'Rates from Ireland Fedex Priort'!K35)</f>
        <v>No service</v>
      </c>
      <c r="L36" s="10" t="str">
        <f>IF(ISNUMBER('Rates from Ireland Fedex Priort'!L35),_xlfn.CEILING.MATH('Rates from Ireland Fedex Priort'!L35,1)+IF($A36="EU",Variables!$B$6,Variables!$B$3),'Rates from Ireland Fedex Priort'!L35)</f>
        <v>No service</v>
      </c>
      <c r="M36" s="10" t="str">
        <f>IF(ISNUMBER('Rates from Ireland Fedex Priort'!M35),_xlfn.CEILING.MATH('Rates from Ireland Fedex Priort'!M35,1)+IF($A36="EU",Variables!$B$6,Variables!$B$3),'Rates from Ireland Fedex Priort'!M35)</f>
        <v>No service</v>
      </c>
      <c r="N36" s="10" t="str">
        <f>IF(ISNUMBER('Rates from Ireland Fedex Priort'!N35),_xlfn.CEILING.MATH('Rates from Ireland Fedex Priort'!N35,1)+IF($A36="EU",Variables!$B$6,Variables!$B$3),'Rates from Ireland Fedex Priort'!N35)</f>
        <v>No service</v>
      </c>
      <c r="O36" s="11" t="s">
        <v>24</v>
      </c>
      <c r="P36" s="11" t="s">
        <v>69</v>
      </c>
      <c r="Q36" s="12">
        <v>80</v>
      </c>
      <c r="R36" s="11" t="s">
        <v>25</v>
      </c>
      <c r="S36" s="3" t="s">
        <v>26</v>
      </c>
      <c r="T36" s="38" t="s">
        <v>27</v>
      </c>
    </row>
    <row r="37" spans="1:20" ht="15.75" customHeight="1" x14ac:dyDescent="0.3">
      <c r="A37" s="39" t="str">
        <f>IF('Rates from Ireland Fedex Priort'!A36="","",'Rates from Ireland Fedex Priort'!A36)</f>
        <v>EU</v>
      </c>
      <c r="B37" s="8" t="str">
        <f>IF('Rates from Ireland Fedex Priort'!B36="","",'Rates from Ireland Fedex Priort'!B36)</f>
        <v>Ireland</v>
      </c>
      <c r="C37" s="9" t="str">
        <f>IF('Rates from Ireland Fedex Priort'!C36="","",'Rates from Ireland Fedex Priort'!C36)</f>
        <v>Cambodia</v>
      </c>
      <c r="D37" s="10">
        <f>IF(ISNUMBER('Rates from Ireland Fedex Priort'!D36),_xlfn.CEILING.MATH('Rates from Ireland Fedex Priort'!D36,1)+IF($A37="EU",Variables!$B$5,Variables!$B$2),'Rates from Ireland Fedex Priort'!D36)</f>
        <v>66</v>
      </c>
      <c r="E37" s="10">
        <f>IF(ISNUMBER('Rates from Ireland Fedex Priort'!E36),_xlfn.CEILING.MATH('Rates from Ireland Fedex Priort'!E36,1)+IF($A37="EU",Variables!$B$6,Variables!$B$3),'Rates from Ireland Fedex Priort'!E36)</f>
        <v>74</v>
      </c>
      <c r="F37" s="10">
        <f>IF(ISNUMBER('Rates from Ireland Fedex Priort'!F36),_xlfn.CEILING.MATH('Rates from Ireland Fedex Priort'!F36,1)+IF($A37="EU",Variables!$B$6,Variables!$B$3),'Rates from Ireland Fedex Priort'!F36)</f>
        <v>78</v>
      </c>
      <c r="G37" s="10">
        <f>IF(ISNUMBER('Rates from Ireland Fedex Priort'!G36),_xlfn.CEILING.MATH('Rates from Ireland Fedex Priort'!G36,1)+IF($A37="EU",Variables!$B$6,Variables!$B$3),'Rates from Ireland Fedex Priort'!G36)</f>
        <v>95</v>
      </c>
      <c r="H37" s="10">
        <f>IF(ISNUMBER('Rates from Ireland Fedex Priort'!H36),_xlfn.CEILING.MATH('Rates from Ireland Fedex Priort'!H36,1)+IF($A37="EU",Variables!$B$6,Variables!$B$3),'Rates from Ireland Fedex Priort'!H36)</f>
        <v>118</v>
      </c>
      <c r="I37" s="10">
        <f>IF(ISNUMBER('Rates from Ireland Fedex Priort'!I36),_xlfn.CEILING.MATH('Rates from Ireland Fedex Priort'!I36,1)+IF($A37="EU",Variables!$B$6,Variables!$B$3),'Rates from Ireland Fedex Priort'!I36)</f>
        <v>178</v>
      </c>
      <c r="J37" s="10" t="str">
        <f>IF(ISNUMBER('Rates from Ireland Fedex Priort'!J36),_xlfn.CEILING.MATH('Rates from Ireland Fedex Priort'!J36,1)+IF($A37="EU",Variables!$B$6,Variables!$B$3),'Rates from Ireland Fedex Priort'!J36)</f>
        <v>No service</v>
      </c>
      <c r="K37" s="10" t="str">
        <f>IF(ISNUMBER('Rates from Ireland Fedex Priort'!K36),_xlfn.CEILING.MATH('Rates from Ireland Fedex Priort'!K36,1)+IF($A37="EU",Variables!$B$6,Variables!$B$3),'Rates from Ireland Fedex Priort'!K36)</f>
        <v>No service</v>
      </c>
      <c r="L37" s="10" t="str">
        <f>IF(ISNUMBER('Rates from Ireland Fedex Priort'!L36),_xlfn.CEILING.MATH('Rates from Ireland Fedex Priort'!L36,1)+IF($A37="EU",Variables!$B$6,Variables!$B$3),'Rates from Ireland Fedex Priort'!L36)</f>
        <v>No service</v>
      </c>
      <c r="M37" s="10" t="str">
        <f>IF(ISNUMBER('Rates from Ireland Fedex Priort'!M36),_xlfn.CEILING.MATH('Rates from Ireland Fedex Priort'!M36,1)+IF($A37="EU",Variables!$B$6,Variables!$B$3),'Rates from Ireland Fedex Priort'!M36)</f>
        <v>No service</v>
      </c>
      <c r="N37" s="10" t="str">
        <f>IF(ISNUMBER('Rates from Ireland Fedex Priort'!N36),_xlfn.CEILING.MATH('Rates from Ireland Fedex Priort'!N36,1)+IF($A37="EU",Variables!$B$6,Variables!$B$3),'Rates from Ireland Fedex Priort'!N36)</f>
        <v>No service</v>
      </c>
      <c r="O37" s="11" t="s">
        <v>38</v>
      </c>
      <c r="P37" s="11" t="s">
        <v>72</v>
      </c>
      <c r="Q37" s="12">
        <v>80</v>
      </c>
      <c r="R37" s="11" t="s">
        <v>25</v>
      </c>
      <c r="S37" s="3" t="s">
        <v>26</v>
      </c>
      <c r="T37" s="38" t="s">
        <v>27</v>
      </c>
    </row>
    <row r="38" spans="1:20" ht="15.75" customHeight="1" x14ac:dyDescent="0.3">
      <c r="A38" s="39" t="str">
        <f>IF('Rates from Ireland Fedex Priort'!A37="","",'Rates from Ireland Fedex Priort'!A37)</f>
        <v>EU</v>
      </c>
      <c r="B38" s="8" t="str">
        <f>IF('Rates from Ireland Fedex Priort'!B37="","",'Rates from Ireland Fedex Priort'!B37)</f>
        <v>Ireland</v>
      </c>
      <c r="C38" s="9" t="str">
        <f>IF('Rates from Ireland Fedex Priort'!C37="","",'Rates from Ireland Fedex Priort'!C37)</f>
        <v>Cameroon</v>
      </c>
      <c r="D38" s="10">
        <f>IF(ISNUMBER('Rates from Ireland Fedex Priort'!D37),_xlfn.CEILING.MATH('Rates from Ireland Fedex Priort'!D37,1)+IF($A38="EU",Variables!$B$5,Variables!$B$2),'Rates from Ireland Fedex Priort'!D37)</f>
        <v>72</v>
      </c>
      <c r="E38" s="10">
        <f>IF(ISNUMBER('Rates from Ireland Fedex Priort'!E37),_xlfn.CEILING.MATH('Rates from Ireland Fedex Priort'!E37,1)+IF($A38="EU",Variables!$B$6,Variables!$B$3),'Rates from Ireland Fedex Priort'!E37)</f>
        <v>83</v>
      </c>
      <c r="F38" s="10">
        <f>IF(ISNUMBER('Rates from Ireland Fedex Priort'!F37),_xlfn.CEILING.MATH('Rates from Ireland Fedex Priort'!F37,1)+IF($A38="EU",Variables!$B$6,Variables!$B$3),'Rates from Ireland Fedex Priort'!F37)</f>
        <v>88</v>
      </c>
      <c r="G38" s="10">
        <f>IF(ISNUMBER('Rates from Ireland Fedex Priort'!G37),_xlfn.CEILING.MATH('Rates from Ireland Fedex Priort'!G37,1)+IF($A38="EU",Variables!$B$6,Variables!$B$3),'Rates from Ireland Fedex Priort'!G37)</f>
        <v>106</v>
      </c>
      <c r="H38" s="10">
        <f>IF(ISNUMBER('Rates from Ireland Fedex Priort'!H37),_xlfn.CEILING.MATH('Rates from Ireland Fedex Priort'!H37,1)+IF($A38="EU",Variables!$B$6,Variables!$B$3),'Rates from Ireland Fedex Priort'!H37)</f>
        <v>134</v>
      </c>
      <c r="I38" s="10">
        <f>IF(ISNUMBER('Rates from Ireland Fedex Priort'!I37),_xlfn.CEILING.MATH('Rates from Ireland Fedex Priort'!I37,1)+IF($A38="EU",Variables!$B$6,Variables!$B$3),'Rates from Ireland Fedex Priort'!I37)</f>
        <v>242</v>
      </c>
      <c r="J38" s="10" t="str">
        <f>IF(ISNUMBER('Rates from Ireland Fedex Priort'!J37),_xlfn.CEILING.MATH('Rates from Ireland Fedex Priort'!J37,1)+IF($A38="EU",Variables!$B$6,Variables!$B$3),'Rates from Ireland Fedex Priort'!J37)</f>
        <v>No service</v>
      </c>
      <c r="K38" s="10" t="str">
        <f>IF(ISNUMBER('Rates from Ireland Fedex Priort'!K37),_xlfn.CEILING.MATH('Rates from Ireland Fedex Priort'!K37,1)+IF($A38="EU",Variables!$B$6,Variables!$B$3),'Rates from Ireland Fedex Priort'!K37)</f>
        <v>No service</v>
      </c>
      <c r="L38" s="10" t="str">
        <f>IF(ISNUMBER('Rates from Ireland Fedex Priort'!L37),_xlfn.CEILING.MATH('Rates from Ireland Fedex Priort'!L37,1)+IF($A38="EU",Variables!$B$6,Variables!$B$3),'Rates from Ireland Fedex Priort'!L37)</f>
        <v>No service</v>
      </c>
      <c r="M38" s="10" t="str">
        <f>IF(ISNUMBER('Rates from Ireland Fedex Priort'!M37),_xlfn.CEILING.MATH('Rates from Ireland Fedex Priort'!M37,1)+IF($A38="EU",Variables!$B$6,Variables!$B$3),'Rates from Ireland Fedex Priort'!M37)</f>
        <v>No service</v>
      </c>
      <c r="N38" s="10" t="str">
        <f>IF(ISNUMBER('Rates from Ireland Fedex Priort'!N37),_xlfn.CEILING.MATH('Rates from Ireland Fedex Priort'!N37,1)+IF($A38="EU",Variables!$B$6,Variables!$B$3),'Rates from Ireland Fedex Priort'!N37)</f>
        <v>No service</v>
      </c>
      <c r="O38" s="11" t="s">
        <v>35</v>
      </c>
      <c r="P38" s="11" t="s">
        <v>36</v>
      </c>
      <c r="Q38" s="12">
        <v>80</v>
      </c>
      <c r="R38" s="11" t="s">
        <v>25</v>
      </c>
      <c r="S38" s="3" t="s">
        <v>26</v>
      </c>
      <c r="T38" s="38" t="s">
        <v>27</v>
      </c>
    </row>
    <row r="39" spans="1:20" ht="15.75" customHeight="1" x14ac:dyDescent="0.3">
      <c r="A39" s="39" t="str">
        <f>IF('Rates from Ireland Fedex Priort'!A38="","",'Rates from Ireland Fedex Priort'!A38)</f>
        <v>EU</v>
      </c>
      <c r="B39" s="8" t="str">
        <f>IF('Rates from Ireland Fedex Priort'!B38="","",'Rates from Ireland Fedex Priort'!B38)</f>
        <v>Ireland</v>
      </c>
      <c r="C39" s="9" t="str">
        <f>IF('Rates from Ireland Fedex Priort'!C38="","",'Rates from Ireland Fedex Priort'!C38)</f>
        <v>Canada</v>
      </c>
      <c r="D39" s="10">
        <f>IF(ISNUMBER('Rates from Ireland Fedex Priort'!D38),_xlfn.CEILING.MATH('Rates from Ireland Fedex Priort'!D38,1)+IF($A39="EU",Variables!$B$5,Variables!$B$2),'Rates from Ireland Fedex Priort'!D38)</f>
        <v>70</v>
      </c>
      <c r="E39" s="10">
        <f>IF(ISNUMBER('Rates from Ireland Fedex Priort'!E38),_xlfn.CEILING.MATH('Rates from Ireland Fedex Priort'!E38,1)+IF($A39="EU",Variables!$B$6,Variables!$B$3),'Rates from Ireland Fedex Priort'!E38)</f>
        <v>70</v>
      </c>
      <c r="F39" s="10">
        <f>IF(ISNUMBER('Rates from Ireland Fedex Priort'!F38),_xlfn.CEILING.MATH('Rates from Ireland Fedex Priort'!F38,1)+IF($A39="EU",Variables!$B$6,Variables!$B$3),'Rates from Ireland Fedex Priort'!F38)</f>
        <v>74</v>
      </c>
      <c r="G39" s="10">
        <f>IF(ISNUMBER('Rates from Ireland Fedex Priort'!G38),_xlfn.CEILING.MATH('Rates from Ireland Fedex Priort'!G38,1)+IF($A39="EU",Variables!$B$6,Variables!$B$3),'Rates from Ireland Fedex Priort'!G38)</f>
        <v>92</v>
      </c>
      <c r="H39" s="10">
        <f>IF(ISNUMBER('Rates from Ireland Fedex Priort'!H38),_xlfn.CEILING.MATH('Rates from Ireland Fedex Priort'!H38,1)+IF($A39="EU",Variables!$B$6,Variables!$B$3),'Rates from Ireland Fedex Priort'!H38)</f>
        <v>112</v>
      </c>
      <c r="I39" s="10">
        <f>IF(ISNUMBER('Rates from Ireland Fedex Priort'!I38),_xlfn.CEILING.MATH('Rates from Ireland Fedex Priort'!I38,1)+IF($A39="EU",Variables!$B$6,Variables!$B$3),'Rates from Ireland Fedex Priort'!I38)</f>
        <v>180</v>
      </c>
      <c r="J39" s="10" t="str">
        <f>IF(ISNUMBER('Rates from Ireland Fedex Priort'!J38),_xlfn.CEILING.MATH('Rates from Ireland Fedex Priort'!J38,1)+IF($A39="EU",Variables!$B$6,Variables!$B$3),'Rates from Ireland Fedex Priort'!J38)</f>
        <v>No service</v>
      </c>
      <c r="K39" s="10" t="str">
        <f>IF(ISNUMBER('Rates from Ireland Fedex Priort'!K38),_xlfn.CEILING.MATH('Rates from Ireland Fedex Priort'!K38,1)+IF($A39="EU",Variables!$B$6,Variables!$B$3),'Rates from Ireland Fedex Priort'!K38)</f>
        <v>No service</v>
      </c>
      <c r="L39" s="10" t="str">
        <f>IF(ISNUMBER('Rates from Ireland Fedex Priort'!L38),_xlfn.CEILING.MATH('Rates from Ireland Fedex Priort'!L38,1)+IF($A39="EU",Variables!$B$6,Variables!$B$3),'Rates from Ireland Fedex Priort'!L38)</f>
        <v>No service</v>
      </c>
      <c r="M39" s="10" t="str">
        <f>IF(ISNUMBER('Rates from Ireland Fedex Priort'!M38),_xlfn.CEILING.MATH('Rates from Ireland Fedex Priort'!M38,1)+IF($A39="EU",Variables!$B$6,Variables!$B$3),'Rates from Ireland Fedex Priort'!M38)</f>
        <v>No service</v>
      </c>
      <c r="N39" s="10" t="str">
        <f>IF(ISNUMBER('Rates from Ireland Fedex Priort'!N38),_xlfn.CEILING.MATH('Rates from Ireland Fedex Priort'!N38,1)+IF($A39="EU",Variables!$B$6,Variables!$B$3),'Rates from Ireland Fedex Priort'!N38)</f>
        <v>No service</v>
      </c>
      <c r="O39" s="11" t="s">
        <v>35</v>
      </c>
      <c r="P39" s="11" t="s">
        <v>75</v>
      </c>
      <c r="Q39" s="12">
        <v>80</v>
      </c>
      <c r="R39" s="11" t="s">
        <v>25</v>
      </c>
      <c r="S39" s="3" t="s">
        <v>26</v>
      </c>
      <c r="T39" s="38" t="s">
        <v>27</v>
      </c>
    </row>
    <row r="40" spans="1:20" ht="15.75" customHeight="1" x14ac:dyDescent="0.3">
      <c r="A40" s="39" t="str">
        <f>IF('Rates from Ireland Fedex Priort'!A39="","",'Rates from Ireland Fedex Priort'!A39)</f>
        <v>EU</v>
      </c>
      <c r="B40" s="8" t="str">
        <f>IF('Rates from Ireland Fedex Priort'!B39="","",'Rates from Ireland Fedex Priort'!B39)</f>
        <v>Ireland</v>
      </c>
      <c r="C40" s="9" t="str">
        <f>IF('Rates from Ireland Fedex Priort'!C39="","",'Rates from Ireland Fedex Priort'!C39)</f>
        <v>Cape Verde</v>
      </c>
      <c r="D40" s="10">
        <f>IF(ISNUMBER('Rates from Ireland Fedex Priort'!D39),_xlfn.CEILING.MATH('Rates from Ireland Fedex Priort'!D39,1)+IF($A40="EU",Variables!$B$5,Variables!$B$2),'Rates from Ireland Fedex Priort'!D39)</f>
        <v>72</v>
      </c>
      <c r="E40" s="10">
        <f>IF(ISNUMBER('Rates from Ireland Fedex Priort'!E39),_xlfn.CEILING.MATH('Rates from Ireland Fedex Priort'!E39,1)+IF($A40="EU",Variables!$B$6,Variables!$B$3),'Rates from Ireland Fedex Priort'!E39)</f>
        <v>83</v>
      </c>
      <c r="F40" s="10">
        <f>IF(ISNUMBER('Rates from Ireland Fedex Priort'!F39),_xlfn.CEILING.MATH('Rates from Ireland Fedex Priort'!F39,1)+IF($A40="EU",Variables!$B$6,Variables!$B$3),'Rates from Ireland Fedex Priort'!F39)</f>
        <v>88</v>
      </c>
      <c r="G40" s="10">
        <f>IF(ISNUMBER('Rates from Ireland Fedex Priort'!G39),_xlfn.CEILING.MATH('Rates from Ireland Fedex Priort'!G39,1)+IF($A40="EU",Variables!$B$6,Variables!$B$3),'Rates from Ireland Fedex Priort'!G39)</f>
        <v>106</v>
      </c>
      <c r="H40" s="10">
        <f>IF(ISNUMBER('Rates from Ireland Fedex Priort'!H39),_xlfn.CEILING.MATH('Rates from Ireland Fedex Priort'!H39,1)+IF($A40="EU",Variables!$B$6,Variables!$B$3),'Rates from Ireland Fedex Priort'!H39)</f>
        <v>134</v>
      </c>
      <c r="I40" s="10">
        <f>IF(ISNUMBER('Rates from Ireland Fedex Priort'!I39),_xlfn.CEILING.MATH('Rates from Ireland Fedex Priort'!I39,1)+IF($A40="EU",Variables!$B$6,Variables!$B$3),'Rates from Ireland Fedex Priort'!I39)</f>
        <v>242</v>
      </c>
      <c r="J40" s="10" t="str">
        <f>IF(ISNUMBER('Rates from Ireland Fedex Priort'!J39),_xlfn.CEILING.MATH('Rates from Ireland Fedex Priort'!J39,1)+IF($A40="EU",Variables!$B$6,Variables!$B$3),'Rates from Ireland Fedex Priort'!J39)</f>
        <v>No service</v>
      </c>
      <c r="K40" s="10" t="str">
        <f>IF(ISNUMBER('Rates from Ireland Fedex Priort'!K39),_xlfn.CEILING.MATH('Rates from Ireland Fedex Priort'!K39,1)+IF($A40="EU",Variables!$B$6,Variables!$B$3),'Rates from Ireland Fedex Priort'!K39)</f>
        <v>No service</v>
      </c>
      <c r="L40" s="10" t="str">
        <f>IF(ISNUMBER('Rates from Ireland Fedex Priort'!L39),_xlfn.CEILING.MATH('Rates from Ireland Fedex Priort'!L39,1)+IF($A40="EU",Variables!$B$6,Variables!$B$3),'Rates from Ireland Fedex Priort'!L39)</f>
        <v>No service</v>
      </c>
      <c r="M40" s="10" t="str">
        <f>IF(ISNUMBER('Rates from Ireland Fedex Priort'!M39),_xlfn.CEILING.MATH('Rates from Ireland Fedex Priort'!M39,1)+IF($A40="EU",Variables!$B$6,Variables!$B$3),'Rates from Ireland Fedex Priort'!M39)</f>
        <v>No service</v>
      </c>
      <c r="N40" s="10" t="str">
        <f>IF(ISNUMBER('Rates from Ireland Fedex Priort'!N39),_xlfn.CEILING.MATH('Rates from Ireland Fedex Priort'!N39,1)+IF($A40="EU",Variables!$B$6,Variables!$B$3),'Rates from Ireland Fedex Priort'!N39)</f>
        <v>No service</v>
      </c>
      <c r="O40" s="11" t="s">
        <v>35</v>
      </c>
      <c r="P40" s="11" t="s">
        <v>36</v>
      </c>
      <c r="Q40" s="12">
        <v>80</v>
      </c>
      <c r="R40" s="11" t="s">
        <v>25</v>
      </c>
      <c r="S40" s="3" t="s">
        <v>26</v>
      </c>
      <c r="T40" s="38" t="s">
        <v>27</v>
      </c>
    </row>
    <row r="41" spans="1:20" ht="15.75" customHeight="1" x14ac:dyDescent="0.3">
      <c r="A41" s="39" t="str">
        <f>IF('Rates from Ireland Fedex Priort'!A40="","",'Rates from Ireland Fedex Priort'!A40)</f>
        <v>EU</v>
      </c>
      <c r="B41" s="8" t="str">
        <f>IF('Rates from Ireland Fedex Priort'!B40="","",'Rates from Ireland Fedex Priort'!B40)</f>
        <v>Ireland</v>
      </c>
      <c r="C41" s="9" t="str">
        <f>IF('Rates from Ireland Fedex Priort'!C40="","",'Rates from Ireland Fedex Priort'!C40)</f>
        <v xml:space="preserve">Cayman Islands </v>
      </c>
      <c r="D41" s="10">
        <f>IF(ISNUMBER('Rates from Ireland Fedex Priort'!D40),_xlfn.CEILING.MATH('Rates from Ireland Fedex Priort'!D40,1)+IF($A41="EU",Variables!$B$5,Variables!$B$2),'Rates from Ireland Fedex Priort'!D40)</f>
        <v>68</v>
      </c>
      <c r="E41" s="10">
        <f>IF(ISNUMBER('Rates from Ireland Fedex Priort'!E40),_xlfn.CEILING.MATH('Rates from Ireland Fedex Priort'!E40,1)+IF($A41="EU",Variables!$B$6,Variables!$B$3),'Rates from Ireland Fedex Priort'!E40)</f>
        <v>77</v>
      </c>
      <c r="F41" s="10">
        <f>IF(ISNUMBER('Rates from Ireland Fedex Priort'!F40),_xlfn.CEILING.MATH('Rates from Ireland Fedex Priort'!F40,1)+IF($A41="EU",Variables!$B$6,Variables!$B$3),'Rates from Ireland Fedex Priort'!F40)</f>
        <v>81</v>
      </c>
      <c r="G41" s="10">
        <f>IF(ISNUMBER('Rates from Ireland Fedex Priort'!G40),_xlfn.CEILING.MATH('Rates from Ireland Fedex Priort'!G40,1)+IF($A41="EU",Variables!$B$6,Variables!$B$3),'Rates from Ireland Fedex Priort'!G40)</f>
        <v>96</v>
      </c>
      <c r="H41" s="10">
        <f>IF(ISNUMBER('Rates from Ireland Fedex Priort'!H40),_xlfn.CEILING.MATH('Rates from Ireland Fedex Priort'!H40,1)+IF($A41="EU",Variables!$B$6,Variables!$B$3),'Rates from Ireland Fedex Priort'!H40)</f>
        <v>117</v>
      </c>
      <c r="I41" s="10">
        <f>IF(ISNUMBER('Rates from Ireland Fedex Priort'!I40),_xlfn.CEILING.MATH('Rates from Ireland Fedex Priort'!I40,1)+IF($A41="EU",Variables!$B$6,Variables!$B$3),'Rates from Ireland Fedex Priort'!I40)</f>
        <v>219</v>
      </c>
      <c r="J41" s="10" t="str">
        <f>IF(ISNUMBER('Rates from Ireland Fedex Priort'!J40),_xlfn.CEILING.MATH('Rates from Ireland Fedex Priort'!J40,1)+IF($A41="EU",Variables!$B$6,Variables!$B$3),'Rates from Ireland Fedex Priort'!J40)</f>
        <v>No service</v>
      </c>
      <c r="K41" s="10" t="str">
        <f>IF(ISNUMBER('Rates from Ireland Fedex Priort'!K40),_xlfn.CEILING.MATH('Rates from Ireland Fedex Priort'!K40,1)+IF($A41="EU",Variables!$B$6,Variables!$B$3),'Rates from Ireland Fedex Priort'!K40)</f>
        <v>No service</v>
      </c>
      <c r="L41" s="10" t="str">
        <f>IF(ISNUMBER('Rates from Ireland Fedex Priort'!L40),_xlfn.CEILING.MATH('Rates from Ireland Fedex Priort'!L40,1)+IF($A41="EU",Variables!$B$6,Variables!$B$3),'Rates from Ireland Fedex Priort'!L40)</f>
        <v>No service</v>
      </c>
      <c r="M41" s="10" t="str">
        <f>IF(ISNUMBER('Rates from Ireland Fedex Priort'!M40),_xlfn.CEILING.MATH('Rates from Ireland Fedex Priort'!M40,1)+IF($A41="EU",Variables!$B$6,Variables!$B$3),'Rates from Ireland Fedex Priort'!M40)</f>
        <v>No service</v>
      </c>
      <c r="N41" s="10" t="str">
        <f>IF(ISNUMBER('Rates from Ireland Fedex Priort'!N40),_xlfn.CEILING.MATH('Rates from Ireland Fedex Priort'!N40,1)+IF($A41="EU",Variables!$B$6,Variables!$B$3),'Rates from Ireland Fedex Priort'!N40)</f>
        <v>No service</v>
      </c>
      <c r="O41" s="11" t="s">
        <v>41</v>
      </c>
      <c r="P41" s="11" t="s">
        <v>23</v>
      </c>
      <c r="Q41" s="12">
        <v>80</v>
      </c>
      <c r="R41" s="11" t="s">
        <v>25</v>
      </c>
      <c r="S41" s="3" t="s">
        <v>26</v>
      </c>
      <c r="T41" s="38" t="s">
        <v>27</v>
      </c>
    </row>
    <row r="42" spans="1:20" ht="15.75" customHeight="1" x14ac:dyDescent="0.3">
      <c r="A42" s="39" t="str">
        <f>IF('Rates from Ireland Fedex Priort'!A41="","",'Rates from Ireland Fedex Priort'!A41)</f>
        <v>EU</v>
      </c>
      <c r="B42" s="8" t="str">
        <f>IF('Rates from Ireland Fedex Priort'!B41="","",'Rates from Ireland Fedex Priort'!B41)</f>
        <v>Ireland</v>
      </c>
      <c r="C42" s="9" t="str">
        <f>IF('Rates from Ireland Fedex Priort'!C41="","",'Rates from Ireland Fedex Priort'!C41)</f>
        <v>Central African Republic</v>
      </c>
      <c r="D42" s="10" t="str">
        <f>IF(ISNUMBER('Rates from Ireland Fedex Priort'!D41),_xlfn.CEILING.MATH('Rates from Ireland Fedex Priort'!D41,1)+IF($A42="EU",Variables!$B$5,Variables!$B$2),'Rates from Ireland Fedex Priort'!D41)</f>
        <v>No service</v>
      </c>
      <c r="E42" s="10" t="str">
        <f>IF(ISNUMBER('Rates from Ireland Fedex Priort'!E41),_xlfn.CEILING.MATH('Rates from Ireland Fedex Priort'!E41,1)+IF($A42="EU",Variables!$B$6,Variables!$B$3),'Rates from Ireland Fedex Priort'!E41)</f>
        <v>No service</v>
      </c>
      <c r="F42" s="10" t="str">
        <f>IF(ISNUMBER('Rates from Ireland Fedex Priort'!F41),_xlfn.CEILING.MATH('Rates from Ireland Fedex Priort'!F41,1)+IF($A42="EU",Variables!$B$6,Variables!$B$3),'Rates from Ireland Fedex Priort'!F41)</f>
        <v>No service</v>
      </c>
      <c r="G42" s="10" t="str">
        <f>IF(ISNUMBER('Rates from Ireland Fedex Priort'!G41),_xlfn.CEILING.MATH('Rates from Ireland Fedex Priort'!G41,1)+IF($A42="EU",Variables!$B$6,Variables!$B$3),'Rates from Ireland Fedex Priort'!G41)</f>
        <v>No service</v>
      </c>
      <c r="H42" s="10" t="str">
        <f>IF(ISNUMBER('Rates from Ireland Fedex Priort'!H41),_xlfn.CEILING.MATH('Rates from Ireland Fedex Priort'!H41,1)+IF($A42="EU",Variables!$B$6,Variables!$B$3),'Rates from Ireland Fedex Priort'!H41)</f>
        <v>No service</v>
      </c>
      <c r="I42" s="10" t="str">
        <f>IF(ISNUMBER('Rates from Ireland Fedex Priort'!I41),_xlfn.CEILING.MATH('Rates from Ireland Fedex Priort'!I41,1)+IF($A42="EU",Variables!$B$6,Variables!$B$3),'Rates from Ireland Fedex Priort'!I41)</f>
        <v>No service</v>
      </c>
      <c r="J42" s="10" t="str">
        <f>IF(ISNUMBER('Rates from Ireland Fedex Priort'!J41),_xlfn.CEILING.MATH('Rates from Ireland Fedex Priort'!J41,1)+IF($A42="EU",Variables!$B$6,Variables!$B$3),'Rates from Ireland Fedex Priort'!J41)</f>
        <v>No service</v>
      </c>
      <c r="K42" s="10" t="str">
        <f>IF(ISNUMBER('Rates from Ireland Fedex Priort'!K41),_xlfn.CEILING.MATH('Rates from Ireland Fedex Priort'!K41,1)+IF($A42="EU",Variables!$B$6,Variables!$B$3),'Rates from Ireland Fedex Priort'!K41)</f>
        <v>No service</v>
      </c>
      <c r="L42" s="10" t="str">
        <f>IF(ISNUMBER('Rates from Ireland Fedex Priort'!L41),_xlfn.CEILING.MATH('Rates from Ireland Fedex Priort'!L41,1)+IF($A42="EU",Variables!$B$6,Variables!$B$3),'Rates from Ireland Fedex Priort'!L41)</f>
        <v>No service</v>
      </c>
      <c r="M42" s="10" t="str">
        <f>IF(ISNUMBER('Rates from Ireland Fedex Priort'!M41),_xlfn.CEILING.MATH('Rates from Ireland Fedex Priort'!M41,1)+IF($A42="EU",Variables!$B$6,Variables!$B$3),'Rates from Ireland Fedex Priort'!M41)</f>
        <v>No service</v>
      </c>
      <c r="N42" s="10" t="str">
        <f>IF(ISNUMBER('Rates from Ireland Fedex Priort'!N41),_xlfn.CEILING.MATH('Rates from Ireland Fedex Priort'!N41,1)+IF($A42="EU",Variables!$B$6,Variables!$B$3),'Rates from Ireland Fedex Priort'!N41)</f>
        <v>No service</v>
      </c>
      <c r="O42" s="11"/>
      <c r="P42" s="11"/>
      <c r="Q42" s="11"/>
      <c r="R42" s="11"/>
      <c r="S42" s="3" t="s">
        <v>26</v>
      </c>
      <c r="T42" s="38" t="s">
        <v>27</v>
      </c>
    </row>
    <row r="43" spans="1:20" ht="15.75" customHeight="1" x14ac:dyDescent="0.3">
      <c r="A43" s="39" t="str">
        <f>IF('Rates from Ireland Fedex Priort'!A42="","",'Rates from Ireland Fedex Priort'!A42)</f>
        <v>EU</v>
      </c>
      <c r="B43" s="8" t="str">
        <f>IF('Rates from Ireland Fedex Priort'!B42="","",'Rates from Ireland Fedex Priort'!B42)</f>
        <v>Ireland</v>
      </c>
      <c r="C43" s="9" t="str">
        <f>IF('Rates from Ireland Fedex Priort'!C42="","",'Rates from Ireland Fedex Priort'!C42)</f>
        <v>Chad</v>
      </c>
      <c r="D43" s="10">
        <f>IF(ISNUMBER('Rates from Ireland Fedex Priort'!D42),_xlfn.CEILING.MATH('Rates from Ireland Fedex Priort'!D42,1)+IF($A43="EU",Variables!$B$5,Variables!$B$2),'Rates from Ireland Fedex Priort'!D42)</f>
        <v>72</v>
      </c>
      <c r="E43" s="10">
        <f>IF(ISNUMBER('Rates from Ireland Fedex Priort'!E42),_xlfn.CEILING.MATH('Rates from Ireland Fedex Priort'!E42,1)+IF($A43="EU",Variables!$B$6,Variables!$B$3),'Rates from Ireland Fedex Priort'!E42)</f>
        <v>83</v>
      </c>
      <c r="F43" s="10">
        <f>IF(ISNUMBER('Rates from Ireland Fedex Priort'!F42),_xlfn.CEILING.MATH('Rates from Ireland Fedex Priort'!F42,1)+IF($A43="EU",Variables!$B$6,Variables!$B$3),'Rates from Ireland Fedex Priort'!F42)</f>
        <v>88</v>
      </c>
      <c r="G43" s="10">
        <f>IF(ISNUMBER('Rates from Ireland Fedex Priort'!G42),_xlfn.CEILING.MATH('Rates from Ireland Fedex Priort'!G42,1)+IF($A43="EU",Variables!$B$6,Variables!$B$3),'Rates from Ireland Fedex Priort'!G42)</f>
        <v>106</v>
      </c>
      <c r="H43" s="10">
        <f>IF(ISNUMBER('Rates from Ireland Fedex Priort'!H42),_xlfn.CEILING.MATH('Rates from Ireland Fedex Priort'!H42,1)+IF($A43="EU",Variables!$B$6,Variables!$B$3),'Rates from Ireland Fedex Priort'!H42)</f>
        <v>134</v>
      </c>
      <c r="I43" s="10">
        <f>IF(ISNUMBER('Rates from Ireland Fedex Priort'!I42),_xlfn.CEILING.MATH('Rates from Ireland Fedex Priort'!I42,1)+IF($A43="EU",Variables!$B$6,Variables!$B$3),'Rates from Ireland Fedex Priort'!I42)</f>
        <v>242</v>
      </c>
      <c r="J43" s="10" t="str">
        <f>IF(ISNUMBER('Rates from Ireland Fedex Priort'!J42),_xlfn.CEILING.MATH('Rates from Ireland Fedex Priort'!J42,1)+IF($A43="EU",Variables!$B$6,Variables!$B$3),'Rates from Ireland Fedex Priort'!J42)</f>
        <v>No service</v>
      </c>
      <c r="K43" s="10" t="str">
        <f>IF(ISNUMBER('Rates from Ireland Fedex Priort'!K42),_xlfn.CEILING.MATH('Rates from Ireland Fedex Priort'!K42,1)+IF($A43="EU",Variables!$B$6,Variables!$B$3),'Rates from Ireland Fedex Priort'!K42)</f>
        <v>No service</v>
      </c>
      <c r="L43" s="10" t="str">
        <f>IF(ISNUMBER('Rates from Ireland Fedex Priort'!L42),_xlfn.CEILING.MATH('Rates from Ireland Fedex Priort'!L42,1)+IF($A43="EU",Variables!$B$6,Variables!$B$3),'Rates from Ireland Fedex Priort'!L42)</f>
        <v>No service</v>
      </c>
      <c r="M43" s="10" t="str">
        <f>IF(ISNUMBER('Rates from Ireland Fedex Priort'!M42),_xlfn.CEILING.MATH('Rates from Ireland Fedex Priort'!M42,1)+IF($A43="EU",Variables!$B$6,Variables!$B$3),'Rates from Ireland Fedex Priort'!M42)</f>
        <v>No service</v>
      </c>
      <c r="N43" s="10" t="str">
        <f>IF(ISNUMBER('Rates from Ireland Fedex Priort'!N42),_xlfn.CEILING.MATH('Rates from Ireland Fedex Priort'!N42,1)+IF($A43="EU",Variables!$B$6,Variables!$B$3),'Rates from Ireland Fedex Priort'!N42)</f>
        <v>No service</v>
      </c>
      <c r="O43" s="11" t="s">
        <v>35</v>
      </c>
      <c r="P43" s="11" t="s">
        <v>36</v>
      </c>
      <c r="Q43" s="12">
        <v>80</v>
      </c>
      <c r="R43" s="11" t="s">
        <v>25</v>
      </c>
      <c r="S43" s="3" t="s">
        <v>26</v>
      </c>
      <c r="T43" s="38" t="s">
        <v>27</v>
      </c>
    </row>
    <row r="44" spans="1:20" ht="15.75" customHeight="1" x14ac:dyDescent="0.3">
      <c r="A44" s="39" t="str">
        <f>IF('Rates from Ireland Fedex Priort'!A43="","",'Rates from Ireland Fedex Priort'!A43)</f>
        <v>EU</v>
      </c>
      <c r="B44" s="8" t="str">
        <f>IF('Rates from Ireland Fedex Priort'!B43="","",'Rates from Ireland Fedex Priort'!B43)</f>
        <v>Ireland</v>
      </c>
      <c r="C44" s="9" t="str">
        <f>IF('Rates from Ireland Fedex Priort'!C43="","",'Rates from Ireland Fedex Priort'!C43)</f>
        <v>Chile</v>
      </c>
      <c r="D44" s="10">
        <f>IF(ISNUMBER('Rates from Ireland Fedex Priort'!D43),_xlfn.CEILING.MATH('Rates from Ireland Fedex Priort'!D43,1)+IF($A44="EU",Variables!$B$5,Variables!$B$2),'Rates from Ireland Fedex Priort'!D43)</f>
        <v>68</v>
      </c>
      <c r="E44" s="10">
        <f>IF(ISNUMBER('Rates from Ireland Fedex Priort'!E43),_xlfn.CEILING.MATH('Rates from Ireland Fedex Priort'!E43,1)+IF($A44="EU",Variables!$B$6,Variables!$B$3),'Rates from Ireland Fedex Priort'!E43)</f>
        <v>77</v>
      </c>
      <c r="F44" s="10">
        <f>IF(ISNUMBER('Rates from Ireland Fedex Priort'!F43),_xlfn.CEILING.MATH('Rates from Ireland Fedex Priort'!F43,1)+IF($A44="EU",Variables!$B$6,Variables!$B$3),'Rates from Ireland Fedex Priort'!F43)</f>
        <v>81</v>
      </c>
      <c r="G44" s="10">
        <f>IF(ISNUMBER('Rates from Ireland Fedex Priort'!G43),_xlfn.CEILING.MATH('Rates from Ireland Fedex Priort'!G43,1)+IF($A44="EU",Variables!$B$6,Variables!$B$3),'Rates from Ireland Fedex Priort'!G43)</f>
        <v>96</v>
      </c>
      <c r="H44" s="10">
        <f>IF(ISNUMBER('Rates from Ireland Fedex Priort'!H43),_xlfn.CEILING.MATH('Rates from Ireland Fedex Priort'!H43,1)+IF($A44="EU",Variables!$B$6,Variables!$B$3),'Rates from Ireland Fedex Priort'!H43)</f>
        <v>117</v>
      </c>
      <c r="I44" s="10">
        <f>IF(ISNUMBER('Rates from Ireland Fedex Priort'!I43),_xlfn.CEILING.MATH('Rates from Ireland Fedex Priort'!I43,1)+IF($A44="EU",Variables!$B$6,Variables!$B$3),'Rates from Ireland Fedex Priort'!I43)</f>
        <v>219</v>
      </c>
      <c r="J44" s="10" t="str">
        <f>IF(ISNUMBER('Rates from Ireland Fedex Priort'!J43),_xlfn.CEILING.MATH('Rates from Ireland Fedex Priort'!J43,1)+IF($A44="EU",Variables!$B$6,Variables!$B$3),'Rates from Ireland Fedex Priort'!J43)</f>
        <v>No service</v>
      </c>
      <c r="K44" s="10" t="str">
        <f>IF(ISNUMBER('Rates from Ireland Fedex Priort'!K43),_xlfn.CEILING.MATH('Rates from Ireland Fedex Priort'!K43,1)+IF($A44="EU",Variables!$B$6,Variables!$B$3),'Rates from Ireland Fedex Priort'!K43)</f>
        <v>No service</v>
      </c>
      <c r="L44" s="10" t="str">
        <f>IF(ISNUMBER('Rates from Ireland Fedex Priort'!L43),_xlfn.CEILING.MATH('Rates from Ireland Fedex Priort'!L43,1)+IF($A44="EU",Variables!$B$6,Variables!$B$3),'Rates from Ireland Fedex Priort'!L43)</f>
        <v>No service</v>
      </c>
      <c r="M44" s="10" t="str">
        <f>IF(ISNUMBER('Rates from Ireland Fedex Priort'!M43),_xlfn.CEILING.MATH('Rates from Ireland Fedex Priort'!M43,1)+IF($A44="EU",Variables!$B$6,Variables!$B$3),'Rates from Ireland Fedex Priort'!M43)</f>
        <v>No service</v>
      </c>
      <c r="N44" s="10" t="str">
        <f>IF(ISNUMBER('Rates from Ireland Fedex Priort'!N43),_xlfn.CEILING.MATH('Rates from Ireland Fedex Priort'!N43,1)+IF($A44="EU",Variables!$B$6,Variables!$B$3),'Rates from Ireland Fedex Priort'!N43)</f>
        <v>No service</v>
      </c>
      <c r="O44" s="11" t="s">
        <v>41</v>
      </c>
      <c r="P44" s="11" t="s">
        <v>23</v>
      </c>
      <c r="Q44" s="12">
        <v>80</v>
      </c>
      <c r="R44" s="11" t="s">
        <v>25</v>
      </c>
      <c r="S44" s="3" t="s">
        <v>26</v>
      </c>
      <c r="T44" s="38" t="s">
        <v>27</v>
      </c>
    </row>
    <row r="45" spans="1:20" ht="15.75" customHeight="1" x14ac:dyDescent="0.3">
      <c r="A45" s="39" t="str">
        <f>IF('Rates from Ireland Fedex Priort'!A44="","",'Rates from Ireland Fedex Priort'!A44)</f>
        <v>EU</v>
      </c>
      <c r="B45" s="8" t="str">
        <f>IF('Rates from Ireland Fedex Priort'!B44="","",'Rates from Ireland Fedex Priort'!B44)</f>
        <v>Ireland</v>
      </c>
      <c r="C45" s="9" t="str">
        <f>IF('Rates from Ireland Fedex Priort'!C44="","",'Rates from Ireland Fedex Priort'!C44)</f>
        <v>China</v>
      </c>
      <c r="D45" s="10">
        <f>IF(ISNUMBER('Rates from Ireland Fedex Priort'!D44),_xlfn.CEILING.MATH('Rates from Ireland Fedex Priort'!D44,1)+IF($A45="EU",Variables!$B$5,Variables!$B$2),'Rates from Ireland Fedex Priort'!D44)</f>
        <v>59</v>
      </c>
      <c r="E45" s="10">
        <f>IF(ISNUMBER('Rates from Ireland Fedex Priort'!E44),_xlfn.CEILING.MATH('Rates from Ireland Fedex Priort'!E44,1)+IF($A45="EU",Variables!$B$6,Variables!$B$3),'Rates from Ireland Fedex Priort'!E44)</f>
        <v>101</v>
      </c>
      <c r="F45" s="10">
        <f>IF(ISNUMBER('Rates from Ireland Fedex Priort'!F44),_xlfn.CEILING.MATH('Rates from Ireland Fedex Priort'!F44,1)+IF($A45="EU",Variables!$B$6,Variables!$B$3),'Rates from Ireland Fedex Priort'!F44)</f>
        <v>104</v>
      </c>
      <c r="G45" s="10">
        <f>IF(ISNUMBER('Rates from Ireland Fedex Priort'!G44),_xlfn.CEILING.MATH('Rates from Ireland Fedex Priort'!G44,1)+IF($A45="EU",Variables!$B$6,Variables!$B$3),'Rates from Ireland Fedex Priort'!G44)</f>
        <v>117</v>
      </c>
      <c r="H45" s="10">
        <f>IF(ISNUMBER('Rates from Ireland Fedex Priort'!H44),_xlfn.CEILING.MATH('Rates from Ireland Fedex Priort'!H44,1)+IF($A45="EU",Variables!$B$6,Variables!$B$3),'Rates from Ireland Fedex Priort'!H44)</f>
        <v>131</v>
      </c>
      <c r="I45" s="10">
        <f>IF(ISNUMBER('Rates from Ireland Fedex Priort'!I44),_xlfn.CEILING.MATH('Rates from Ireland Fedex Priort'!I44,1)+IF($A45="EU",Variables!$B$6,Variables!$B$3),'Rates from Ireland Fedex Priort'!I44)</f>
        <v>196</v>
      </c>
      <c r="J45" s="10" t="str">
        <f>IF(ISNUMBER('Rates from Ireland Fedex Priort'!J44),_xlfn.CEILING.MATH('Rates from Ireland Fedex Priort'!J44,1)+IF($A45="EU",Variables!$B$6,Variables!$B$3),'Rates from Ireland Fedex Priort'!J44)</f>
        <v>No service</v>
      </c>
      <c r="K45" s="10" t="str">
        <f>IF(ISNUMBER('Rates from Ireland Fedex Priort'!K44),_xlfn.CEILING.MATH('Rates from Ireland Fedex Priort'!K44,1)+IF($A45="EU",Variables!$B$6,Variables!$B$3),'Rates from Ireland Fedex Priort'!K44)</f>
        <v>No service</v>
      </c>
      <c r="L45" s="10" t="str">
        <f>IF(ISNUMBER('Rates from Ireland Fedex Priort'!L44),_xlfn.CEILING.MATH('Rates from Ireland Fedex Priort'!L44,1)+IF($A45="EU",Variables!$B$6,Variables!$B$3),'Rates from Ireland Fedex Priort'!L44)</f>
        <v>No service</v>
      </c>
      <c r="M45" s="10" t="str">
        <f>IF(ISNUMBER('Rates from Ireland Fedex Priort'!M44),_xlfn.CEILING.MATH('Rates from Ireland Fedex Priort'!M44,1)+IF($A45="EU",Variables!$B$6,Variables!$B$3),'Rates from Ireland Fedex Priort'!M44)</f>
        <v>No service</v>
      </c>
      <c r="N45" s="10" t="str">
        <f>IF(ISNUMBER('Rates from Ireland Fedex Priort'!N44),_xlfn.CEILING.MATH('Rates from Ireland Fedex Priort'!N44,1)+IF($A45="EU",Variables!$B$6,Variables!$B$3),'Rates from Ireland Fedex Priort'!N44)</f>
        <v>No service</v>
      </c>
      <c r="O45" s="11" t="s">
        <v>30</v>
      </c>
      <c r="P45" s="11" t="s">
        <v>82</v>
      </c>
      <c r="Q45" s="12">
        <v>80</v>
      </c>
      <c r="R45" s="11"/>
      <c r="S45" s="3" t="s">
        <v>26</v>
      </c>
      <c r="T45" s="38" t="s">
        <v>27</v>
      </c>
    </row>
    <row r="46" spans="1:20" ht="15.75" customHeight="1" x14ac:dyDescent="0.3">
      <c r="A46" s="39" t="str">
        <f>IF('Rates from Ireland Fedex Priort'!A45="","",'Rates from Ireland Fedex Priort'!A45)</f>
        <v>EU</v>
      </c>
      <c r="B46" s="8" t="str">
        <f>IF('Rates from Ireland Fedex Priort'!B45="","",'Rates from Ireland Fedex Priort'!B45)</f>
        <v>Ireland</v>
      </c>
      <c r="C46" s="9" t="str">
        <f>IF('Rates from Ireland Fedex Priort'!C45="","",'Rates from Ireland Fedex Priort'!C45)</f>
        <v>Christmas Island</v>
      </c>
      <c r="D46" s="10" t="str">
        <f>IF(ISNUMBER('Rates from Ireland Fedex Priort'!D45),_xlfn.CEILING.MATH('Rates from Ireland Fedex Priort'!D45,1)+IF($A46="EU",Variables!$B$5,Variables!$B$2),'Rates from Ireland Fedex Priort'!D45)</f>
        <v>No service</v>
      </c>
      <c r="E46" s="10" t="str">
        <f>IF(ISNUMBER('Rates from Ireland Fedex Priort'!E45),_xlfn.CEILING.MATH('Rates from Ireland Fedex Priort'!E45,1)+IF($A46="EU",Variables!$B$6,Variables!$B$3),'Rates from Ireland Fedex Priort'!E45)</f>
        <v>No service</v>
      </c>
      <c r="F46" s="10" t="str">
        <f>IF(ISNUMBER('Rates from Ireland Fedex Priort'!F45),_xlfn.CEILING.MATH('Rates from Ireland Fedex Priort'!F45,1)+IF($A46="EU",Variables!$B$6,Variables!$B$3),'Rates from Ireland Fedex Priort'!F45)</f>
        <v>No service</v>
      </c>
      <c r="G46" s="10" t="str">
        <f>IF(ISNUMBER('Rates from Ireland Fedex Priort'!G45),_xlfn.CEILING.MATH('Rates from Ireland Fedex Priort'!G45,1)+IF($A46="EU",Variables!$B$6,Variables!$B$3),'Rates from Ireland Fedex Priort'!G45)</f>
        <v>No service</v>
      </c>
      <c r="H46" s="10" t="str">
        <f>IF(ISNUMBER('Rates from Ireland Fedex Priort'!H45),_xlfn.CEILING.MATH('Rates from Ireland Fedex Priort'!H45,1)+IF($A46="EU",Variables!$B$6,Variables!$B$3),'Rates from Ireland Fedex Priort'!H45)</f>
        <v>No service</v>
      </c>
      <c r="I46" s="10" t="str">
        <f>IF(ISNUMBER('Rates from Ireland Fedex Priort'!I45),_xlfn.CEILING.MATH('Rates from Ireland Fedex Priort'!I45,1)+IF($A46="EU",Variables!$B$6,Variables!$B$3),'Rates from Ireland Fedex Priort'!I45)</f>
        <v>No service</v>
      </c>
      <c r="J46" s="10" t="str">
        <f>IF(ISNUMBER('Rates from Ireland Fedex Priort'!J45),_xlfn.CEILING.MATH('Rates from Ireland Fedex Priort'!J45,1)+IF($A46="EU",Variables!$B$6,Variables!$B$3),'Rates from Ireland Fedex Priort'!J45)</f>
        <v>No service</v>
      </c>
      <c r="K46" s="10" t="str">
        <f>IF(ISNUMBER('Rates from Ireland Fedex Priort'!K45),_xlfn.CEILING.MATH('Rates from Ireland Fedex Priort'!K45,1)+IF($A46="EU",Variables!$B$6,Variables!$B$3),'Rates from Ireland Fedex Priort'!K45)</f>
        <v>No service</v>
      </c>
      <c r="L46" s="10" t="str">
        <f>IF(ISNUMBER('Rates from Ireland Fedex Priort'!L45),_xlfn.CEILING.MATH('Rates from Ireland Fedex Priort'!L45,1)+IF($A46="EU",Variables!$B$6,Variables!$B$3),'Rates from Ireland Fedex Priort'!L45)</f>
        <v>No service</v>
      </c>
      <c r="M46" s="10" t="str">
        <f>IF(ISNUMBER('Rates from Ireland Fedex Priort'!M45),_xlfn.CEILING.MATH('Rates from Ireland Fedex Priort'!M45,1)+IF($A46="EU",Variables!$B$6,Variables!$B$3),'Rates from Ireland Fedex Priort'!M45)</f>
        <v>No service</v>
      </c>
      <c r="N46" s="10" t="str">
        <f>IF(ISNUMBER('Rates from Ireland Fedex Priort'!N45),_xlfn.CEILING.MATH('Rates from Ireland Fedex Priort'!N45,1)+IF($A46="EU",Variables!$B$6,Variables!$B$3),'Rates from Ireland Fedex Priort'!N45)</f>
        <v>No service</v>
      </c>
      <c r="O46" s="11"/>
      <c r="P46" s="11"/>
      <c r="Q46" s="11"/>
      <c r="R46" s="11"/>
      <c r="S46" s="3" t="s">
        <v>26</v>
      </c>
      <c r="T46" s="38" t="s">
        <v>27</v>
      </c>
    </row>
    <row r="47" spans="1:20" ht="15.75" customHeight="1" x14ac:dyDescent="0.3">
      <c r="A47" s="39" t="str">
        <f>IF('Rates from Ireland Fedex Priort'!A46="","",'Rates from Ireland Fedex Priort'!A46)</f>
        <v>EU</v>
      </c>
      <c r="B47" s="8" t="str">
        <f>IF('Rates from Ireland Fedex Priort'!B46="","",'Rates from Ireland Fedex Priort'!B46)</f>
        <v>Ireland</v>
      </c>
      <c r="C47" s="9" t="str">
        <f>IF('Rates from Ireland Fedex Priort'!C46="","",'Rates from Ireland Fedex Priort'!C46)</f>
        <v>Cocos (Keeling) Islands</v>
      </c>
      <c r="D47" s="10" t="str">
        <f>IF(ISNUMBER('Rates from Ireland Fedex Priort'!D46),_xlfn.CEILING.MATH('Rates from Ireland Fedex Priort'!D46,1)+IF($A47="EU",Variables!$B$5,Variables!$B$2),'Rates from Ireland Fedex Priort'!D46)</f>
        <v>No service</v>
      </c>
      <c r="E47" s="10" t="str">
        <f>IF(ISNUMBER('Rates from Ireland Fedex Priort'!E46),_xlfn.CEILING.MATH('Rates from Ireland Fedex Priort'!E46,1)+IF($A47="EU",Variables!$B$6,Variables!$B$3),'Rates from Ireland Fedex Priort'!E46)</f>
        <v>No service</v>
      </c>
      <c r="F47" s="10" t="str">
        <f>IF(ISNUMBER('Rates from Ireland Fedex Priort'!F46),_xlfn.CEILING.MATH('Rates from Ireland Fedex Priort'!F46,1)+IF($A47="EU",Variables!$B$6,Variables!$B$3),'Rates from Ireland Fedex Priort'!F46)</f>
        <v>No service</v>
      </c>
      <c r="G47" s="10" t="str">
        <f>IF(ISNUMBER('Rates from Ireland Fedex Priort'!G46),_xlfn.CEILING.MATH('Rates from Ireland Fedex Priort'!G46,1)+IF($A47="EU",Variables!$B$6,Variables!$B$3),'Rates from Ireland Fedex Priort'!G46)</f>
        <v>No service</v>
      </c>
      <c r="H47" s="10" t="str">
        <f>IF(ISNUMBER('Rates from Ireland Fedex Priort'!H46),_xlfn.CEILING.MATH('Rates from Ireland Fedex Priort'!H46,1)+IF($A47="EU",Variables!$B$6,Variables!$B$3),'Rates from Ireland Fedex Priort'!H46)</f>
        <v>No service</v>
      </c>
      <c r="I47" s="10" t="str">
        <f>IF(ISNUMBER('Rates from Ireland Fedex Priort'!I46),_xlfn.CEILING.MATH('Rates from Ireland Fedex Priort'!I46,1)+IF($A47="EU",Variables!$B$6,Variables!$B$3),'Rates from Ireland Fedex Priort'!I46)</f>
        <v>No service</v>
      </c>
      <c r="J47" s="10" t="str">
        <f>IF(ISNUMBER('Rates from Ireland Fedex Priort'!J46),_xlfn.CEILING.MATH('Rates from Ireland Fedex Priort'!J46,1)+IF($A47="EU",Variables!$B$6,Variables!$B$3),'Rates from Ireland Fedex Priort'!J46)</f>
        <v>No service</v>
      </c>
      <c r="K47" s="10" t="str">
        <f>IF(ISNUMBER('Rates from Ireland Fedex Priort'!K46),_xlfn.CEILING.MATH('Rates from Ireland Fedex Priort'!K46,1)+IF($A47="EU",Variables!$B$6,Variables!$B$3),'Rates from Ireland Fedex Priort'!K46)</f>
        <v>No service</v>
      </c>
      <c r="L47" s="10" t="str">
        <f>IF(ISNUMBER('Rates from Ireland Fedex Priort'!L46),_xlfn.CEILING.MATH('Rates from Ireland Fedex Priort'!L46,1)+IF($A47="EU",Variables!$B$6,Variables!$B$3),'Rates from Ireland Fedex Priort'!L46)</f>
        <v>No service</v>
      </c>
      <c r="M47" s="10" t="str">
        <f>IF(ISNUMBER('Rates from Ireland Fedex Priort'!M46),_xlfn.CEILING.MATH('Rates from Ireland Fedex Priort'!M46,1)+IF($A47="EU",Variables!$B$6,Variables!$B$3),'Rates from Ireland Fedex Priort'!M46)</f>
        <v>No service</v>
      </c>
      <c r="N47" s="10" t="str">
        <f>IF(ISNUMBER('Rates from Ireland Fedex Priort'!N46),_xlfn.CEILING.MATH('Rates from Ireland Fedex Priort'!N46,1)+IF($A47="EU",Variables!$B$6,Variables!$B$3),'Rates from Ireland Fedex Priort'!N46)</f>
        <v>No service</v>
      </c>
      <c r="O47" s="11"/>
      <c r="P47" s="11"/>
      <c r="Q47" s="11"/>
      <c r="R47" s="11"/>
      <c r="S47" s="3" t="s">
        <v>26</v>
      </c>
      <c r="T47" s="38" t="s">
        <v>27</v>
      </c>
    </row>
    <row r="48" spans="1:20" ht="15.75" customHeight="1" x14ac:dyDescent="0.3">
      <c r="A48" s="39" t="str">
        <f>IF('Rates from Ireland Fedex Priort'!A47="","",'Rates from Ireland Fedex Priort'!A47)</f>
        <v>EU</v>
      </c>
      <c r="B48" s="8" t="str">
        <f>IF('Rates from Ireland Fedex Priort'!B47="","",'Rates from Ireland Fedex Priort'!B47)</f>
        <v>Ireland</v>
      </c>
      <c r="C48" s="9" t="str">
        <f>IF('Rates from Ireland Fedex Priort'!C47="","",'Rates from Ireland Fedex Priort'!C47)</f>
        <v>Colombia</v>
      </c>
      <c r="D48" s="10">
        <f>IF(ISNUMBER('Rates from Ireland Fedex Priort'!D47),_xlfn.CEILING.MATH('Rates from Ireland Fedex Priort'!D47,1)+IF($A48="EU",Variables!$B$5,Variables!$B$2),'Rates from Ireland Fedex Priort'!D47)</f>
        <v>68</v>
      </c>
      <c r="E48" s="10">
        <f>IF(ISNUMBER('Rates from Ireland Fedex Priort'!E47),_xlfn.CEILING.MATH('Rates from Ireland Fedex Priort'!E47,1)+IF($A48="EU",Variables!$B$6,Variables!$B$3),'Rates from Ireland Fedex Priort'!E47)</f>
        <v>77</v>
      </c>
      <c r="F48" s="10">
        <f>IF(ISNUMBER('Rates from Ireland Fedex Priort'!F47),_xlfn.CEILING.MATH('Rates from Ireland Fedex Priort'!F47,1)+IF($A48="EU",Variables!$B$6,Variables!$B$3),'Rates from Ireland Fedex Priort'!F47)</f>
        <v>81</v>
      </c>
      <c r="G48" s="10">
        <f>IF(ISNUMBER('Rates from Ireland Fedex Priort'!G47),_xlfn.CEILING.MATH('Rates from Ireland Fedex Priort'!G47,1)+IF($A48="EU",Variables!$B$6,Variables!$B$3),'Rates from Ireland Fedex Priort'!G47)</f>
        <v>96</v>
      </c>
      <c r="H48" s="10">
        <f>IF(ISNUMBER('Rates from Ireland Fedex Priort'!H47),_xlfn.CEILING.MATH('Rates from Ireland Fedex Priort'!H47,1)+IF($A48="EU",Variables!$B$6,Variables!$B$3),'Rates from Ireland Fedex Priort'!H47)</f>
        <v>117</v>
      </c>
      <c r="I48" s="10">
        <f>IF(ISNUMBER('Rates from Ireland Fedex Priort'!I47),_xlfn.CEILING.MATH('Rates from Ireland Fedex Priort'!I47,1)+IF($A48="EU",Variables!$B$6,Variables!$B$3),'Rates from Ireland Fedex Priort'!I47)</f>
        <v>219</v>
      </c>
      <c r="J48" s="10" t="str">
        <f>IF(ISNUMBER('Rates from Ireland Fedex Priort'!J47),_xlfn.CEILING.MATH('Rates from Ireland Fedex Priort'!J47,1)+IF($A48="EU",Variables!$B$6,Variables!$B$3),'Rates from Ireland Fedex Priort'!J47)</f>
        <v>No service</v>
      </c>
      <c r="K48" s="10" t="str">
        <f>IF(ISNUMBER('Rates from Ireland Fedex Priort'!K47),_xlfn.CEILING.MATH('Rates from Ireland Fedex Priort'!K47,1)+IF($A48="EU",Variables!$B$6,Variables!$B$3),'Rates from Ireland Fedex Priort'!K47)</f>
        <v>No service</v>
      </c>
      <c r="L48" s="10" t="str">
        <f>IF(ISNUMBER('Rates from Ireland Fedex Priort'!L47),_xlfn.CEILING.MATH('Rates from Ireland Fedex Priort'!L47,1)+IF($A48="EU",Variables!$B$6,Variables!$B$3),'Rates from Ireland Fedex Priort'!L47)</f>
        <v>No service</v>
      </c>
      <c r="M48" s="10" t="str">
        <f>IF(ISNUMBER('Rates from Ireland Fedex Priort'!M47),_xlfn.CEILING.MATH('Rates from Ireland Fedex Priort'!M47,1)+IF($A48="EU",Variables!$B$6,Variables!$B$3),'Rates from Ireland Fedex Priort'!M47)</f>
        <v>No service</v>
      </c>
      <c r="N48" s="10" t="str">
        <f>IF(ISNUMBER('Rates from Ireland Fedex Priort'!N47),_xlfn.CEILING.MATH('Rates from Ireland Fedex Priort'!N47,1)+IF($A48="EU",Variables!$B$6,Variables!$B$3),'Rates from Ireland Fedex Priort'!N47)</f>
        <v>No service</v>
      </c>
      <c r="O48" s="11" t="s">
        <v>41</v>
      </c>
      <c r="P48" s="11" t="s">
        <v>23</v>
      </c>
      <c r="Q48" s="12">
        <v>80</v>
      </c>
      <c r="R48" s="11" t="s">
        <v>25</v>
      </c>
      <c r="S48" s="3" t="s">
        <v>26</v>
      </c>
      <c r="T48" s="38" t="s">
        <v>27</v>
      </c>
    </row>
    <row r="49" spans="1:20" ht="15.75" customHeight="1" x14ac:dyDescent="0.3">
      <c r="A49" s="39" t="str">
        <f>IF('Rates from Ireland Fedex Priort'!A48="","",'Rates from Ireland Fedex Priort'!A48)</f>
        <v>EU</v>
      </c>
      <c r="B49" s="8" t="str">
        <f>IF('Rates from Ireland Fedex Priort'!B48="","",'Rates from Ireland Fedex Priort'!B48)</f>
        <v>Ireland</v>
      </c>
      <c r="C49" s="9" t="str">
        <f>IF('Rates from Ireland Fedex Priort'!C48="","",'Rates from Ireland Fedex Priort'!C48)</f>
        <v>Comoros</v>
      </c>
      <c r="D49" s="10" t="str">
        <f>IF(ISNUMBER('Rates from Ireland Fedex Priort'!D48),_xlfn.CEILING.MATH('Rates from Ireland Fedex Priort'!D48,1)+IF($A49="EU",Variables!$B$5,Variables!$B$2),'Rates from Ireland Fedex Priort'!D48)</f>
        <v>No service</v>
      </c>
      <c r="E49" s="10" t="str">
        <f>IF(ISNUMBER('Rates from Ireland Fedex Priort'!E48),_xlfn.CEILING.MATH('Rates from Ireland Fedex Priort'!E48,1)+IF($A49="EU",Variables!$B$6,Variables!$B$3),'Rates from Ireland Fedex Priort'!E48)</f>
        <v>No service</v>
      </c>
      <c r="F49" s="10" t="str">
        <f>IF(ISNUMBER('Rates from Ireland Fedex Priort'!F48),_xlfn.CEILING.MATH('Rates from Ireland Fedex Priort'!F48,1)+IF($A49="EU",Variables!$B$6,Variables!$B$3),'Rates from Ireland Fedex Priort'!F48)</f>
        <v>No service</v>
      </c>
      <c r="G49" s="10" t="str">
        <f>IF(ISNUMBER('Rates from Ireland Fedex Priort'!G48),_xlfn.CEILING.MATH('Rates from Ireland Fedex Priort'!G48,1)+IF($A49="EU",Variables!$B$6,Variables!$B$3),'Rates from Ireland Fedex Priort'!G48)</f>
        <v>No service</v>
      </c>
      <c r="H49" s="10" t="str">
        <f>IF(ISNUMBER('Rates from Ireland Fedex Priort'!H48),_xlfn.CEILING.MATH('Rates from Ireland Fedex Priort'!H48,1)+IF($A49="EU",Variables!$B$6,Variables!$B$3),'Rates from Ireland Fedex Priort'!H48)</f>
        <v>No service</v>
      </c>
      <c r="I49" s="10" t="str">
        <f>IF(ISNUMBER('Rates from Ireland Fedex Priort'!I48),_xlfn.CEILING.MATH('Rates from Ireland Fedex Priort'!I48,1)+IF($A49="EU",Variables!$B$6,Variables!$B$3),'Rates from Ireland Fedex Priort'!I48)</f>
        <v>No service</v>
      </c>
      <c r="J49" s="10" t="str">
        <f>IF(ISNUMBER('Rates from Ireland Fedex Priort'!J48),_xlfn.CEILING.MATH('Rates from Ireland Fedex Priort'!J48,1)+IF($A49="EU",Variables!$B$6,Variables!$B$3),'Rates from Ireland Fedex Priort'!J48)</f>
        <v>No service</v>
      </c>
      <c r="K49" s="10" t="str">
        <f>IF(ISNUMBER('Rates from Ireland Fedex Priort'!K48),_xlfn.CEILING.MATH('Rates from Ireland Fedex Priort'!K48,1)+IF($A49="EU",Variables!$B$6,Variables!$B$3),'Rates from Ireland Fedex Priort'!K48)</f>
        <v>No service</v>
      </c>
      <c r="L49" s="10" t="str">
        <f>IF(ISNUMBER('Rates from Ireland Fedex Priort'!L48),_xlfn.CEILING.MATH('Rates from Ireland Fedex Priort'!L48,1)+IF($A49="EU",Variables!$B$6,Variables!$B$3),'Rates from Ireland Fedex Priort'!L48)</f>
        <v>No service</v>
      </c>
      <c r="M49" s="10" t="str">
        <f>IF(ISNUMBER('Rates from Ireland Fedex Priort'!M48),_xlfn.CEILING.MATH('Rates from Ireland Fedex Priort'!M48,1)+IF($A49="EU",Variables!$B$6,Variables!$B$3),'Rates from Ireland Fedex Priort'!M48)</f>
        <v>No service</v>
      </c>
      <c r="N49" s="10" t="str">
        <f>IF(ISNUMBER('Rates from Ireland Fedex Priort'!N48),_xlfn.CEILING.MATH('Rates from Ireland Fedex Priort'!N48,1)+IF($A49="EU",Variables!$B$6,Variables!$B$3),'Rates from Ireland Fedex Priort'!N48)</f>
        <v>No service</v>
      </c>
      <c r="O49" s="11"/>
      <c r="P49" s="11"/>
      <c r="Q49" s="11"/>
      <c r="R49" s="11"/>
      <c r="S49" s="3" t="s">
        <v>26</v>
      </c>
      <c r="T49" s="38" t="s">
        <v>27</v>
      </c>
    </row>
    <row r="50" spans="1:20" ht="15.75" customHeight="1" x14ac:dyDescent="0.3">
      <c r="A50" s="39" t="str">
        <f>IF('Rates from Ireland Fedex Priort'!A49="","",'Rates from Ireland Fedex Priort'!A49)</f>
        <v>EU</v>
      </c>
      <c r="B50" s="8" t="str">
        <f>IF('Rates from Ireland Fedex Priort'!B49="","",'Rates from Ireland Fedex Priort'!B49)</f>
        <v>Ireland</v>
      </c>
      <c r="C50" s="9" t="str">
        <f>IF('Rates from Ireland Fedex Priort'!C49="","",'Rates from Ireland Fedex Priort'!C49)</f>
        <v>Congo</v>
      </c>
      <c r="D50" s="10">
        <f>IF(ISNUMBER('Rates from Ireland Fedex Priort'!D49),_xlfn.CEILING.MATH('Rates from Ireland Fedex Priort'!D49,1)+IF($A50="EU",Variables!$B$5,Variables!$B$2),'Rates from Ireland Fedex Priort'!D49)</f>
        <v>72</v>
      </c>
      <c r="E50" s="10">
        <f>IF(ISNUMBER('Rates from Ireland Fedex Priort'!E49),_xlfn.CEILING.MATH('Rates from Ireland Fedex Priort'!E49,1)+IF($A50="EU",Variables!$B$6,Variables!$B$3),'Rates from Ireland Fedex Priort'!E49)</f>
        <v>83</v>
      </c>
      <c r="F50" s="10">
        <f>IF(ISNUMBER('Rates from Ireland Fedex Priort'!F49),_xlfn.CEILING.MATH('Rates from Ireland Fedex Priort'!F49,1)+IF($A50="EU",Variables!$B$6,Variables!$B$3),'Rates from Ireland Fedex Priort'!F49)</f>
        <v>88</v>
      </c>
      <c r="G50" s="10">
        <f>IF(ISNUMBER('Rates from Ireland Fedex Priort'!G49),_xlfn.CEILING.MATH('Rates from Ireland Fedex Priort'!G49,1)+IF($A50="EU",Variables!$B$6,Variables!$B$3),'Rates from Ireland Fedex Priort'!G49)</f>
        <v>106</v>
      </c>
      <c r="H50" s="10">
        <f>IF(ISNUMBER('Rates from Ireland Fedex Priort'!H49),_xlfn.CEILING.MATH('Rates from Ireland Fedex Priort'!H49,1)+IF($A50="EU",Variables!$B$6,Variables!$B$3),'Rates from Ireland Fedex Priort'!H49)</f>
        <v>134</v>
      </c>
      <c r="I50" s="10">
        <f>IF(ISNUMBER('Rates from Ireland Fedex Priort'!I49),_xlfn.CEILING.MATH('Rates from Ireland Fedex Priort'!I49,1)+IF($A50="EU",Variables!$B$6,Variables!$B$3),'Rates from Ireland Fedex Priort'!I49)</f>
        <v>242</v>
      </c>
      <c r="J50" s="10" t="str">
        <f>IF(ISNUMBER('Rates from Ireland Fedex Priort'!J49),_xlfn.CEILING.MATH('Rates from Ireland Fedex Priort'!J49,1)+IF($A50="EU",Variables!$B$6,Variables!$B$3),'Rates from Ireland Fedex Priort'!J49)</f>
        <v>No service</v>
      </c>
      <c r="K50" s="10" t="str">
        <f>IF(ISNUMBER('Rates from Ireland Fedex Priort'!K49),_xlfn.CEILING.MATH('Rates from Ireland Fedex Priort'!K49,1)+IF($A50="EU",Variables!$B$6,Variables!$B$3),'Rates from Ireland Fedex Priort'!K49)</f>
        <v>No service</v>
      </c>
      <c r="L50" s="10" t="str">
        <f>IF(ISNUMBER('Rates from Ireland Fedex Priort'!L49),_xlfn.CEILING.MATH('Rates from Ireland Fedex Priort'!L49,1)+IF($A50="EU",Variables!$B$6,Variables!$B$3),'Rates from Ireland Fedex Priort'!L49)</f>
        <v>No service</v>
      </c>
      <c r="M50" s="10" t="str">
        <f>IF(ISNUMBER('Rates from Ireland Fedex Priort'!M49),_xlfn.CEILING.MATH('Rates from Ireland Fedex Priort'!M49,1)+IF($A50="EU",Variables!$B$6,Variables!$B$3),'Rates from Ireland Fedex Priort'!M49)</f>
        <v>No service</v>
      </c>
      <c r="N50" s="10" t="str">
        <f>IF(ISNUMBER('Rates from Ireland Fedex Priort'!N49),_xlfn.CEILING.MATH('Rates from Ireland Fedex Priort'!N49,1)+IF($A50="EU",Variables!$B$6,Variables!$B$3),'Rates from Ireland Fedex Priort'!N49)</f>
        <v>No service</v>
      </c>
      <c r="O50" s="11" t="s">
        <v>35</v>
      </c>
      <c r="P50" s="11" t="s">
        <v>36</v>
      </c>
      <c r="Q50" s="12">
        <v>80</v>
      </c>
      <c r="R50" s="11" t="s">
        <v>25</v>
      </c>
      <c r="S50" s="3" t="s">
        <v>26</v>
      </c>
      <c r="T50" s="38" t="s">
        <v>27</v>
      </c>
    </row>
    <row r="51" spans="1:20" ht="15.75" customHeight="1" x14ac:dyDescent="0.3">
      <c r="A51" s="39" t="str">
        <f>IF('Rates from Ireland Fedex Priort'!A50="","",'Rates from Ireland Fedex Priort'!A50)</f>
        <v>EU</v>
      </c>
      <c r="B51" s="8" t="str">
        <f>IF('Rates from Ireland Fedex Priort'!B50="","",'Rates from Ireland Fedex Priort'!B50)</f>
        <v>Ireland</v>
      </c>
      <c r="C51" s="9" t="str">
        <f>IF('Rates from Ireland Fedex Priort'!C50="","",'Rates from Ireland Fedex Priort'!C50)</f>
        <v>Cook Islands</v>
      </c>
      <c r="D51" s="10">
        <f>IF(ISNUMBER('Rates from Ireland Fedex Priort'!D50),_xlfn.CEILING.MATH('Rates from Ireland Fedex Priort'!D50,1)+IF($A51="EU",Variables!$B$5,Variables!$B$2),'Rates from Ireland Fedex Priort'!D50)</f>
        <v>72</v>
      </c>
      <c r="E51" s="10">
        <f>IF(ISNUMBER('Rates from Ireland Fedex Priort'!E50),_xlfn.CEILING.MATH('Rates from Ireland Fedex Priort'!E50,1)+IF($A51="EU",Variables!$B$6,Variables!$B$3),'Rates from Ireland Fedex Priort'!E50)</f>
        <v>83</v>
      </c>
      <c r="F51" s="10">
        <f>IF(ISNUMBER('Rates from Ireland Fedex Priort'!F50),_xlfn.CEILING.MATH('Rates from Ireland Fedex Priort'!F50,1)+IF($A51="EU",Variables!$B$6,Variables!$B$3),'Rates from Ireland Fedex Priort'!F50)</f>
        <v>88</v>
      </c>
      <c r="G51" s="10">
        <f>IF(ISNUMBER('Rates from Ireland Fedex Priort'!G50),_xlfn.CEILING.MATH('Rates from Ireland Fedex Priort'!G50,1)+IF($A51="EU",Variables!$B$6,Variables!$B$3),'Rates from Ireland Fedex Priort'!G50)</f>
        <v>106</v>
      </c>
      <c r="H51" s="10">
        <f>IF(ISNUMBER('Rates from Ireland Fedex Priort'!H50),_xlfn.CEILING.MATH('Rates from Ireland Fedex Priort'!H50,1)+IF($A51="EU",Variables!$B$6,Variables!$B$3),'Rates from Ireland Fedex Priort'!H50)</f>
        <v>134</v>
      </c>
      <c r="I51" s="10">
        <f>IF(ISNUMBER('Rates from Ireland Fedex Priort'!I50),_xlfn.CEILING.MATH('Rates from Ireland Fedex Priort'!I50,1)+IF($A51="EU",Variables!$B$6,Variables!$B$3),'Rates from Ireland Fedex Priort'!I50)</f>
        <v>242</v>
      </c>
      <c r="J51" s="10" t="str">
        <f>IF(ISNUMBER('Rates from Ireland Fedex Priort'!J50),_xlfn.CEILING.MATH('Rates from Ireland Fedex Priort'!J50,1)+IF($A51="EU",Variables!$B$6,Variables!$B$3),'Rates from Ireland Fedex Priort'!J50)</f>
        <v>No service</v>
      </c>
      <c r="K51" s="10" t="str">
        <f>IF(ISNUMBER('Rates from Ireland Fedex Priort'!K50),_xlfn.CEILING.MATH('Rates from Ireland Fedex Priort'!K50,1)+IF($A51="EU",Variables!$B$6,Variables!$B$3),'Rates from Ireland Fedex Priort'!K50)</f>
        <v>No service</v>
      </c>
      <c r="L51" s="10" t="str">
        <f>IF(ISNUMBER('Rates from Ireland Fedex Priort'!L50),_xlfn.CEILING.MATH('Rates from Ireland Fedex Priort'!L50,1)+IF($A51="EU",Variables!$B$6,Variables!$B$3),'Rates from Ireland Fedex Priort'!L50)</f>
        <v>No service</v>
      </c>
      <c r="M51" s="10" t="str">
        <f>IF(ISNUMBER('Rates from Ireland Fedex Priort'!M50),_xlfn.CEILING.MATH('Rates from Ireland Fedex Priort'!M50,1)+IF($A51="EU",Variables!$B$6,Variables!$B$3),'Rates from Ireland Fedex Priort'!M50)</f>
        <v>No service</v>
      </c>
      <c r="N51" s="10" t="str">
        <f>IF(ISNUMBER('Rates from Ireland Fedex Priort'!N50),_xlfn.CEILING.MATH('Rates from Ireland Fedex Priort'!N50,1)+IF($A51="EU",Variables!$B$6,Variables!$B$3),'Rates from Ireland Fedex Priort'!N50)</f>
        <v>No service</v>
      </c>
      <c r="O51" s="11" t="s">
        <v>35</v>
      </c>
      <c r="P51" s="11" t="s">
        <v>36</v>
      </c>
      <c r="Q51" s="12">
        <v>80</v>
      </c>
      <c r="R51" s="11" t="s">
        <v>25</v>
      </c>
      <c r="S51" s="3" t="s">
        <v>26</v>
      </c>
      <c r="T51" s="38" t="s">
        <v>27</v>
      </c>
    </row>
    <row r="52" spans="1:20" ht="15.75" customHeight="1" x14ac:dyDescent="0.3">
      <c r="A52" s="39" t="str">
        <f>IF('Rates from Ireland Fedex Priort'!A51="","",'Rates from Ireland Fedex Priort'!A51)</f>
        <v>EU</v>
      </c>
      <c r="B52" s="8" t="str">
        <f>IF('Rates from Ireland Fedex Priort'!B51="","",'Rates from Ireland Fedex Priort'!B51)</f>
        <v>Ireland</v>
      </c>
      <c r="C52" s="9" t="str">
        <f>IF('Rates from Ireland Fedex Priort'!C51="","",'Rates from Ireland Fedex Priort'!C51)</f>
        <v>Costa Rica</v>
      </c>
      <c r="D52" s="10">
        <f>IF(ISNUMBER('Rates from Ireland Fedex Priort'!D51),_xlfn.CEILING.MATH('Rates from Ireland Fedex Priort'!D51,1)+IF($A52="EU",Variables!$B$5,Variables!$B$2),'Rates from Ireland Fedex Priort'!D51)</f>
        <v>68</v>
      </c>
      <c r="E52" s="10">
        <f>IF(ISNUMBER('Rates from Ireland Fedex Priort'!E51),_xlfn.CEILING.MATH('Rates from Ireland Fedex Priort'!E51,1)+IF($A52="EU",Variables!$B$6,Variables!$B$3),'Rates from Ireland Fedex Priort'!E51)</f>
        <v>77</v>
      </c>
      <c r="F52" s="10">
        <f>IF(ISNUMBER('Rates from Ireland Fedex Priort'!F51),_xlfn.CEILING.MATH('Rates from Ireland Fedex Priort'!F51,1)+IF($A52="EU",Variables!$B$6,Variables!$B$3),'Rates from Ireland Fedex Priort'!F51)</f>
        <v>81</v>
      </c>
      <c r="G52" s="10">
        <f>IF(ISNUMBER('Rates from Ireland Fedex Priort'!G51),_xlfn.CEILING.MATH('Rates from Ireland Fedex Priort'!G51,1)+IF($A52="EU",Variables!$B$6,Variables!$B$3),'Rates from Ireland Fedex Priort'!G51)</f>
        <v>96</v>
      </c>
      <c r="H52" s="10">
        <f>IF(ISNUMBER('Rates from Ireland Fedex Priort'!H51),_xlfn.CEILING.MATH('Rates from Ireland Fedex Priort'!H51,1)+IF($A52="EU",Variables!$B$6,Variables!$B$3),'Rates from Ireland Fedex Priort'!H51)</f>
        <v>117</v>
      </c>
      <c r="I52" s="10">
        <f>IF(ISNUMBER('Rates from Ireland Fedex Priort'!I51),_xlfn.CEILING.MATH('Rates from Ireland Fedex Priort'!I51,1)+IF($A52="EU",Variables!$B$6,Variables!$B$3),'Rates from Ireland Fedex Priort'!I51)</f>
        <v>219</v>
      </c>
      <c r="J52" s="10" t="str">
        <f>IF(ISNUMBER('Rates from Ireland Fedex Priort'!J51),_xlfn.CEILING.MATH('Rates from Ireland Fedex Priort'!J51,1)+IF($A52="EU",Variables!$B$6,Variables!$B$3),'Rates from Ireland Fedex Priort'!J51)</f>
        <v>No service</v>
      </c>
      <c r="K52" s="10" t="str">
        <f>IF(ISNUMBER('Rates from Ireland Fedex Priort'!K51),_xlfn.CEILING.MATH('Rates from Ireland Fedex Priort'!K51,1)+IF($A52="EU",Variables!$B$6,Variables!$B$3),'Rates from Ireland Fedex Priort'!K51)</f>
        <v>No service</v>
      </c>
      <c r="L52" s="10" t="str">
        <f>IF(ISNUMBER('Rates from Ireland Fedex Priort'!L51),_xlfn.CEILING.MATH('Rates from Ireland Fedex Priort'!L51,1)+IF($A52="EU",Variables!$B$6,Variables!$B$3),'Rates from Ireland Fedex Priort'!L51)</f>
        <v>No service</v>
      </c>
      <c r="M52" s="10" t="str">
        <f>IF(ISNUMBER('Rates from Ireland Fedex Priort'!M51),_xlfn.CEILING.MATH('Rates from Ireland Fedex Priort'!M51,1)+IF($A52="EU",Variables!$B$6,Variables!$B$3),'Rates from Ireland Fedex Priort'!M51)</f>
        <v>No service</v>
      </c>
      <c r="N52" s="10" t="str">
        <f>IF(ISNUMBER('Rates from Ireland Fedex Priort'!N51),_xlfn.CEILING.MATH('Rates from Ireland Fedex Priort'!N51,1)+IF($A52="EU",Variables!$B$6,Variables!$B$3),'Rates from Ireland Fedex Priort'!N51)</f>
        <v>No service</v>
      </c>
      <c r="O52" s="11" t="s">
        <v>41</v>
      </c>
      <c r="P52" s="11" t="s">
        <v>23</v>
      </c>
      <c r="Q52" s="12">
        <v>80</v>
      </c>
      <c r="R52" s="11" t="s">
        <v>25</v>
      </c>
      <c r="S52" s="3" t="s">
        <v>26</v>
      </c>
      <c r="T52" s="38" t="s">
        <v>27</v>
      </c>
    </row>
    <row r="53" spans="1:20" ht="15.75" customHeight="1" x14ac:dyDescent="0.3">
      <c r="A53" s="39" t="str">
        <f>IF('Rates from Ireland Fedex Priort'!A52="","",'Rates from Ireland Fedex Priort'!A52)</f>
        <v>EU</v>
      </c>
      <c r="B53" s="8" t="str">
        <f>IF('Rates from Ireland Fedex Priort'!B52="","",'Rates from Ireland Fedex Priort'!B52)</f>
        <v>Ireland</v>
      </c>
      <c r="C53" s="9" t="str">
        <f>IF('Rates from Ireland Fedex Priort'!C52="","",'Rates from Ireland Fedex Priort'!C52)</f>
        <v>Croatia</v>
      </c>
      <c r="D53" s="10">
        <f>IF(ISNUMBER('Rates from Ireland Fedex Priort'!D52),_xlfn.CEILING.MATH('Rates from Ireland Fedex Priort'!D52,1)+IF($A53="EU",Variables!$B$5,Variables!$B$2),'Rates from Ireland Fedex Priort'!D52)</f>
        <v>68</v>
      </c>
      <c r="E53" s="10">
        <f>IF(ISNUMBER('Rates from Ireland Fedex Priort'!E52),_xlfn.CEILING.MATH('Rates from Ireland Fedex Priort'!E52,1)+IF($A53="EU",Variables!$B$6,Variables!$B$3),'Rates from Ireland Fedex Priort'!E52)</f>
        <v>74</v>
      </c>
      <c r="F53" s="10">
        <f>IF(ISNUMBER('Rates from Ireland Fedex Priort'!F52),_xlfn.CEILING.MATH('Rates from Ireland Fedex Priort'!F52,1)+IF($A53="EU",Variables!$B$6,Variables!$B$3),'Rates from Ireland Fedex Priort'!F52)</f>
        <v>77</v>
      </c>
      <c r="G53" s="10">
        <f>IF(ISNUMBER('Rates from Ireland Fedex Priort'!G52),_xlfn.CEILING.MATH('Rates from Ireland Fedex Priort'!G52,1)+IF($A53="EU",Variables!$B$6,Variables!$B$3),'Rates from Ireland Fedex Priort'!G52)</f>
        <v>79</v>
      </c>
      <c r="H53" s="10">
        <f>IF(ISNUMBER('Rates from Ireland Fedex Priort'!H52),_xlfn.CEILING.MATH('Rates from Ireland Fedex Priort'!H52,1)+IF($A53="EU",Variables!$B$6,Variables!$B$3),'Rates from Ireland Fedex Priort'!H52)</f>
        <v>82</v>
      </c>
      <c r="I53" s="10">
        <f>IF(ISNUMBER('Rates from Ireland Fedex Priort'!I52),_xlfn.CEILING.MATH('Rates from Ireland Fedex Priort'!I52,1)+IF($A53="EU",Variables!$B$6,Variables!$B$3),'Rates from Ireland Fedex Priort'!I52)</f>
        <v>95</v>
      </c>
      <c r="J53" s="10">
        <f>IF(ISNUMBER('Rates from Ireland Fedex Priort'!J52),_xlfn.CEILING.MATH('Rates from Ireland Fedex Priort'!J52,1)+IF($A53="EU",Variables!$B$6,Variables!$B$3),'Rates from Ireland Fedex Priort'!J52)</f>
        <v>103</v>
      </c>
      <c r="K53" s="10">
        <f>IF(ISNUMBER('Rates from Ireland Fedex Priort'!K52),_xlfn.CEILING.MATH('Rates from Ireland Fedex Priort'!K52,1)+IF($A53="EU",Variables!$B$6,Variables!$B$3),'Rates from Ireland Fedex Priort'!K52)</f>
        <v>112</v>
      </c>
      <c r="L53" s="10">
        <f>IF(ISNUMBER('Rates from Ireland Fedex Priort'!L52),_xlfn.CEILING.MATH('Rates from Ireland Fedex Priort'!L52,1)+IF($A53="EU",Variables!$B$6,Variables!$B$3),'Rates from Ireland Fedex Priort'!L52)</f>
        <v>139</v>
      </c>
      <c r="M53" s="10">
        <f>IF(ISNUMBER('Rates from Ireland Fedex Priort'!M52),_xlfn.CEILING.MATH('Rates from Ireland Fedex Priort'!M52,1)+IF($A53="EU",Variables!$B$6,Variables!$B$3),'Rates from Ireland Fedex Priort'!M52)</f>
        <v>147</v>
      </c>
      <c r="N53" s="10">
        <f>IF(ISNUMBER('Rates from Ireland Fedex Priort'!N52),_xlfn.CEILING.MATH('Rates from Ireland Fedex Priort'!N52,1)+IF($A53="EU",Variables!$B$6,Variables!$B$3),'Rates from Ireland Fedex Priort'!N52)</f>
        <v>152</v>
      </c>
      <c r="O53" s="15" t="s">
        <v>61</v>
      </c>
      <c r="P53" s="15" t="s">
        <v>67</v>
      </c>
      <c r="Q53" s="16">
        <v>80</v>
      </c>
      <c r="R53" s="15" t="s">
        <v>25</v>
      </c>
      <c r="S53" s="17" t="s">
        <v>26</v>
      </c>
      <c r="T53" s="40" t="s">
        <v>27</v>
      </c>
    </row>
    <row r="54" spans="1:20" ht="15.75" customHeight="1" x14ac:dyDescent="0.3">
      <c r="A54" s="39" t="str">
        <f>IF('Rates from Ireland Fedex Priort'!A53="","",'Rates from Ireland Fedex Priort'!A53)</f>
        <v>EU</v>
      </c>
      <c r="B54" s="8" t="str">
        <f>IF('Rates from Ireland Fedex Priort'!B53="","",'Rates from Ireland Fedex Priort'!B53)</f>
        <v>Ireland</v>
      </c>
      <c r="C54" s="9" t="str">
        <f>IF('Rates from Ireland Fedex Priort'!C53="","",'Rates from Ireland Fedex Priort'!C53)</f>
        <v>Cuba</v>
      </c>
      <c r="D54" s="10" t="str">
        <f>IF(ISNUMBER('Rates from Ireland Fedex Priort'!D53),_xlfn.CEILING.MATH('Rates from Ireland Fedex Priort'!D53,1)+IF($A54="EU",Variables!$B$5,Variables!$B$2),'Rates from Ireland Fedex Priort'!D53)</f>
        <v>No service</v>
      </c>
      <c r="E54" s="10" t="str">
        <f>IF(ISNUMBER('Rates from Ireland Fedex Priort'!E53),_xlfn.CEILING.MATH('Rates from Ireland Fedex Priort'!E53,1)+IF($A54="EU",Variables!$B$6,Variables!$B$3),'Rates from Ireland Fedex Priort'!E53)</f>
        <v>No service</v>
      </c>
      <c r="F54" s="10" t="str">
        <f>IF(ISNUMBER('Rates from Ireland Fedex Priort'!F53),_xlfn.CEILING.MATH('Rates from Ireland Fedex Priort'!F53,1)+IF($A54="EU",Variables!$B$6,Variables!$B$3),'Rates from Ireland Fedex Priort'!F53)</f>
        <v>No service</v>
      </c>
      <c r="G54" s="10" t="str">
        <f>IF(ISNUMBER('Rates from Ireland Fedex Priort'!G53),_xlfn.CEILING.MATH('Rates from Ireland Fedex Priort'!G53,1)+IF($A54="EU",Variables!$B$6,Variables!$B$3),'Rates from Ireland Fedex Priort'!G53)</f>
        <v>No service</v>
      </c>
      <c r="H54" s="10" t="str">
        <f>IF(ISNUMBER('Rates from Ireland Fedex Priort'!H53),_xlfn.CEILING.MATH('Rates from Ireland Fedex Priort'!H53,1)+IF($A54="EU",Variables!$B$6,Variables!$B$3),'Rates from Ireland Fedex Priort'!H53)</f>
        <v>No service</v>
      </c>
      <c r="I54" s="10" t="str">
        <f>IF(ISNUMBER('Rates from Ireland Fedex Priort'!I53),_xlfn.CEILING.MATH('Rates from Ireland Fedex Priort'!I53,1)+IF($A54="EU",Variables!$B$6,Variables!$B$3),'Rates from Ireland Fedex Priort'!I53)</f>
        <v>No service</v>
      </c>
      <c r="J54" s="10" t="str">
        <f>IF(ISNUMBER('Rates from Ireland Fedex Priort'!J53),_xlfn.CEILING.MATH('Rates from Ireland Fedex Priort'!J53,1)+IF($A54="EU",Variables!$B$6,Variables!$B$3),'Rates from Ireland Fedex Priort'!J53)</f>
        <v>No service</v>
      </c>
      <c r="K54" s="10" t="str">
        <f>IF(ISNUMBER('Rates from Ireland Fedex Priort'!K53),_xlfn.CEILING.MATH('Rates from Ireland Fedex Priort'!K53,1)+IF($A54="EU",Variables!$B$6,Variables!$B$3),'Rates from Ireland Fedex Priort'!K53)</f>
        <v>No service</v>
      </c>
      <c r="L54" s="10" t="str">
        <f>IF(ISNUMBER('Rates from Ireland Fedex Priort'!L53),_xlfn.CEILING.MATH('Rates from Ireland Fedex Priort'!L53,1)+IF($A54="EU",Variables!$B$6,Variables!$B$3),'Rates from Ireland Fedex Priort'!L53)</f>
        <v>No service</v>
      </c>
      <c r="M54" s="10" t="str">
        <f>IF(ISNUMBER('Rates from Ireland Fedex Priort'!M53),_xlfn.CEILING.MATH('Rates from Ireland Fedex Priort'!M53,1)+IF($A54="EU",Variables!$B$6,Variables!$B$3),'Rates from Ireland Fedex Priort'!M53)</f>
        <v>No service</v>
      </c>
      <c r="N54" s="10" t="str">
        <f>IF(ISNUMBER('Rates from Ireland Fedex Priort'!N53),_xlfn.CEILING.MATH('Rates from Ireland Fedex Priort'!N53,1)+IF($A54="EU",Variables!$B$6,Variables!$B$3),'Rates from Ireland Fedex Priort'!N53)</f>
        <v>No service</v>
      </c>
      <c r="O54" s="11"/>
      <c r="P54" s="11"/>
      <c r="Q54" s="11"/>
      <c r="R54" s="11"/>
      <c r="S54" s="3" t="s">
        <v>26</v>
      </c>
      <c r="T54" s="38" t="s">
        <v>27</v>
      </c>
    </row>
    <row r="55" spans="1:20" ht="15.75" customHeight="1" x14ac:dyDescent="0.3">
      <c r="A55" s="39" t="str">
        <f>IF('Rates from Ireland Fedex Priort'!A54="","",'Rates from Ireland Fedex Priort'!A54)</f>
        <v>EU</v>
      </c>
      <c r="B55" s="8" t="str">
        <f>IF('Rates from Ireland Fedex Priort'!B54="","",'Rates from Ireland Fedex Priort'!B54)</f>
        <v>Ireland</v>
      </c>
      <c r="C55" s="9" t="str">
        <f>IF('Rates from Ireland Fedex Priort'!C54="","",'Rates from Ireland Fedex Priort'!C54)</f>
        <v>Curacao</v>
      </c>
      <c r="D55" s="10">
        <f>IF(ISNUMBER('Rates from Ireland Fedex Priort'!D54),_xlfn.CEILING.MATH('Rates from Ireland Fedex Priort'!D54,1)+IF($A55="EU",Variables!$B$5,Variables!$B$2),'Rates from Ireland Fedex Priort'!D54)</f>
        <v>68</v>
      </c>
      <c r="E55" s="10">
        <f>IF(ISNUMBER('Rates from Ireland Fedex Priort'!E54),_xlfn.CEILING.MATH('Rates from Ireland Fedex Priort'!E54,1)+IF($A55="EU",Variables!$B$6,Variables!$B$3),'Rates from Ireland Fedex Priort'!E54)</f>
        <v>77</v>
      </c>
      <c r="F55" s="10">
        <f>IF(ISNUMBER('Rates from Ireland Fedex Priort'!F54),_xlfn.CEILING.MATH('Rates from Ireland Fedex Priort'!F54,1)+IF($A55="EU",Variables!$B$6,Variables!$B$3),'Rates from Ireland Fedex Priort'!F54)</f>
        <v>81</v>
      </c>
      <c r="G55" s="10">
        <f>IF(ISNUMBER('Rates from Ireland Fedex Priort'!G54),_xlfn.CEILING.MATH('Rates from Ireland Fedex Priort'!G54,1)+IF($A55="EU",Variables!$B$6,Variables!$B$3),'Rates from Ireland Fedex Priort'!G54)</f>
        <v>96</v>
      </c>
      <c r="H55" s="10">
        <f>IF(ISNUMBER('Rates from Ireland Fedex Priort'!H54),_xlfn.CEILING.MATH('Rates from Ireland Fedex Priort'!H54,1)+IF($A55="EU",Variables!$B$6,Variables!$B$3),'Rates from Ireland Fedex Priort'!H54)</f>
        <v>117</v>
      </c>
      <c r="I55" s="10">
        <f>IF(ISNUMBER('Rates from Ireland Fedex Priort'!I54),_xlfn.CEILING.MATH('Rates from Ireland Fedex Priort'!I54,1)+IF($A55="EU",Variables!$B$6,Variables!$B$3),'Rates from Ireland Fedex Priort'!I54)</f>
        <v>219</v>
      </c>
      <c r="J55" s="10" t="str">
        <f>IF(ISNUMBER('Rates from Ireland Fedex Priort'!J54),_xlfn.CEILING.MATH('Rates from Ireland Fedex Priort'!J54,1)+IF($A55="EU",Variables!$B$6,Variables!$B$3),'Rates from Ireland Fedex Priort'!J54)</f>
        <v>No service</v>
      </c>
      <c r="K55" s="10" t="str">
        <f>IF(ISNUMBER('Rates from Ireland Fedex Priort'!K54),_xlfn.CEILING.MATH('Rates from Ireland Fedex Priort'!K54,1)+IF($A55="EU",Variables!$B$6,Variables!$B$3),'Rates from Ireland Fedex Priort'!K54)</f>
        <v>No service</v>
      </c>
      <c r="L55" s="10" t="str">
        <f>IF(ISNUMBER('Rates from Ireland Fedex Priort'!L54),_xlfn.CEILING.MATH('Rates from Ireland Fedex Priort'!L54,1)+IF($A55="EU",Variables!$B$6,Variables!$B$3),'Rates from Ireland Fedex Priort'!L54)</f>
        <v>No service</v>
      </c>
      <c r="M55" s="10" t="str">
        <f>IF(ISNUMBER('Rates from Ireland Fedex Priort'!M54),_xlfn.CEILING.MATH('Rates from Ireland Fedex Priort'!M54,1)+IF($A55="EU",Variables!$B$6,Variables!$B$3),'Rates from Ireland Fedex Priort'!M54)</f>
        <v>No service</v>
      </c>
      <c r="N55" s="10" t="str">
        <f>IF(ISNUMBER('Rates from Ireland Fedex Priort'!N54),_xlfn.CEILING.MATH('Rates from Ireland Fedex Priort'!N54,1)+IF($A55="EU",Variables!$B$6,Variables!$B$3),'Rates from Ireland Fedex Priort'!N54)</f>
        <v>No service</v>
      </c>
      <c r="O55" s="11" t="s">
        <v>41</v>
      </c>
      <c r="P55" s="11" t="s">
        <v>23</v>
      </c>
      <c r="Q55" s="12">
        <v>80</v>
      </c>
      <c r="R55" s="11" t="s">
        <v>25</v>
      </c>
      <c r="S55" s="3" t="s">
        <v>26</v>
      </c>
      <c r="T55" s="38" t="s">
        <v>27</v>
      </c>
    </row>
    <row r="56" spans="1:20" ht="15.75" customHeight="1" x14ac:dyDescent="0.3">
      <c r="A56" s="39" t="str">
        <f>IF('Rates from Ireland Fedex Priort'!A55="","",'Rates from Ireland Fedex Priort'!A55)</f>
        <v>EU</v>
      </c>
      <c r="B56" s="8" t="str">
        <f>IF('Rates from Ireland Fedex Priort'!B55="","",'Rates from Ireland Fedex Priort'!B55)</f>
        <v>Ireland</v>
      </c>
      <c r="C56" s="9" t="str">
        <f>IF('Rates from Ireland Fedex Priort'!C55="","",'Rates from Ireland Fedex Priort'!C55)</f>
        <v>Cyprus</v>
      </c>
      <c r="D56" s="10">
        <f>IF(ISNUMBER('Rates from Ireland Fedex Priort'!D55),_xlfn.CEILING.MATH('Rates from Ireland Fedex Priort'!D55,1)+IF($A56="EU",Variables!$B$5,Variables!$B$2),'Rates from Ireland Fedex Priort'!D55)</f>
        <v>85</v>
      </c>
      <c r="E56" s="10">
        <f>IF(ISNUMBER('Rates from Ireland Fedex Priort'!E55),_xlfn.CEILING.MATH('Rates from Ireland Fedex Priort'!E55,1)+IF($A56="EU",Variables!$B$6,Variables!$B$3),'Rates from Ireland Fedex Priort'!E55)</f>
        <v>95</v>
      </c>
      <c r="F56" s="10">
        <f>IF(ISNUMBER('Rates from Ireland Fedex Priort'!F55),_xlfn.CEILING.MATH('Rates from Ireland Fedex Priort'!F55,1)+IF($A56="EU",Variables!$B$6,Variables!$B$3),'Rates from Ireland Fedex Priort'!F55)</f>
        <v>95</v>
      </c>
      <c r="G56" s="10">
        <f>IF(ISNUMBER('Rates from Ireland Fedex Priort'!G55),_xlfn.CEILING.MATH('Rates from Ireland Fedex Priort'!G55,1)+IF($A56="EU",Variables!$B$6,Variables!$B$3),'Rates from Ireland Fedex Priort'!G55)</f>
        <v>102</v>
      </c>
      <c r="H56" s="10">
        <f>IF(ISNUMBER('Rates from Ireland Fedex Priort'!H55),_xlfn.CEILING.MATH('Rates from Ireland Fedex Priort'!H55,1)+IF($A56="EU",Variables!$B$6,Variables!$B$3),'Rates from Ireland Fedex Priort'!H55)</f>
        <v>109</v>
      </c>
      <c r="I56" s="10">
        <f>IF(ISNUMBER('Rates from Ireland Fedex Priort'!I55),_xlfn.CEILING.MATH('Rates from Ireland Fedex Priort'!I55,1)+IF($A56="EU",Variables!$B$6,Variables!$B$3),'Rates from Ireland Fedex Priort'!I55)</f>
        <v>123</v>
      </c>
      <c r="J56" s="10">
        <f>IF(ISNUMBER('Rates from Ireland Fedex Priort'!J55),_xlfn.CEILING.MATH('Rates from Ireland Fedex Priort'!J55,1)+IF($A56="EU",Variables!$B$6,Variables!$B$3),'Rates from Ireland Fedex Priort'!J55)</f>
        <v>135</v>
      </c>
      <c r="K56" s="10">
        <f>IF(ISNUMBER('Rates from Ireland Fedex Priort'!K55),_xlfn.CEILING.MATH('Rates from Ireland Fedex Priort'!K55,1)+IF($A56="EU",Variables!$B$6,Variables!$B$3),'Rates from Ireland Fedex Priort'!K55)</f>
        <v>147</v>
      </c>
      <c r="L56" s="10">
        <f>IF(ISNUMBER('Rates from Ireland Fedex Priort'!L55),_xlfn.CEILING.MATH('Rates from Ireland Fedex Priort'!L55,1)+IF($A56="EU",Variables!$B$6,Variables!$B$3),'Rates from Ireland Fedex Priort'!L55)</f>
        <v>177</v>
      </c>
      <c r="M56" s="10">
        <f>IF(ISNUMBER('Rates from Ireland Fedex Priort'!M55),_xlfn.CEILING.MATH('Rates from Ireland Fedex Priort'!M55,1)+IF($A56="EU",Variables!$B$6,Variables!$B$3),'Rates from Ireland Fedex Priort'!M55)</f>
        <v>187</v>
      </c>
      <c r="N56" s="10">
        <f>IF(ISNUMBER('Rates from Ireland Fedex Priort'!N55),_xlfn.CEILING.MATH('Rates from Ireland Fedex Priort'!N55,1)+IF($A56="EU",Variables!$B$6,Variables!$B$3),'Rates from Ireland Fedex Priort'!N55)</f>
        <v>209</v>
      </c>
      <c r="O56" s="15" t="s">
        <v>61</v>
      </c>
      <c r="P56" s="15" t="s">
        <v>94</v>
      </c>
      <c r="Q56" s="16">
        <v>80</v>
      </c>
      <c r="R56" s="15" t="s">
        <v>25</v>
      </c>
      <c r="S56" s="17" t="s">
        <v>26</v>
      </c>
      <c r="T56" s="40" t="s">
        <v>27</v>
      </c>
    </row>
    <row r="57" spans="1:20" ht="15.75" customHeight="1" x14ac:dyDescent="0.3">
      <c r="A57" s="39" t="str">
        <f>IF('Rates from Ireland Fedex Priort'!A56="","",'Rates from Ireland Fedex Priort'!A56)</f>
        <v>EU</v>
      </c>
      <c r="B57" s="8" t="str">
        <f>IF('Rates from Ireland Fedex Priort'!B56="","",'Rates from Ireland Fedex Priort'!B56)</f>
        <v>Ireland</v>
      </c>
      <c r="C57" s="9" t="str">
        <f>IF('Rates from Ireland Fedex Priort'!C56="","",'Rates from Ireland Fedex Priort'!C56)</f>
        <v>Czech Republic</v>
      </c>
      <c r="D57" s="10">
        <f>IF(ISNUMBER('Rates from Ireland Fedex Priort'!D56),_xlfn.CEILING.MATH('Rates from Ireland Fedex Priort'!D56,1)+IF($A57="EU",Variables!$B$5,Variables!$B$2),'Rates from Ireland Fedex Priort'!D56)</f>
        <v>68</v>
      </c>
      <c r="E57" s="10">
        <f>IF(ISNUMBER('Rates from Ireland Fedex Priort'!E56),_xlfn.CEILING.MATH('Rates from Ireland Fedex Priort'!E56,1)+IF($A57="EU",Variables!$B$6,Variables!$B$3),'Rates from Ireland Fedex Priort'!E56)</f>
        <v>74</v>
      </c>
      <c r="F57" s="10">
        <f>IF(ISNUMBER('Rates from Ireland Fedex Priort'!F56),_xlfn.CEILING.MATH('Rates from Ireland Fedex Priort'!F56,1)+IF($A57="EU",Variables!$B$6,Variables!$B$3),'Rates from Ireland Fedex Priort'!F56)</f>
        <v>77</v>
      </c>
      <c r="G57" s="10">
        <f>IF(ISNUMBER('Rates from Ireland Fedex Priort'!G56),_xlfn.CEILING.MATH('Rates from Ireland Fedex Priort'!G56,1)+IF($A57="EU",Variables!$B$6,Variables!$B$3),'Rates from Ireland Fedex Priort'!G56)</f>
        <v>79</v>
      </c>
      <c r="H57" s="10">
        <f>IF(ISNUMBER('Rates from Ireland Fedex Priort'!H56),_xlfn.CEILING.MATH('Rates from Ireland Fedex Priort'!H56,1)+IF($A57="EU",Variables!$B$6,Variables!$B$3),'Rates from Ireland Fedex Priort'!H56)</f>
        <v>82</v>
      </c>
      <c r="I57" s="10">
        <f>IF(ISNUMBER('Rates from Ireland Fedex Priort'!I56),_xlfn.CEILING.MATH('Rates from Ireland Fedex Priort'!I56,1)+IF($A57="EU",Variables!$B$6,Variables!$B$3),'Rates from Ireland Fedex Priort'!I56)</f>
        <v>95</v>
      </c>
      <c r="J57" s="10">
        <f>IF(ISNUMBER('Rates from Ireland Fedex Priort'!J56),_xlfn.CEILING.MATH('Rates from Ireland Fedex Priort'!J56,1)+IF($A57="EU",Variables!$B$6,Variables!$B$3),'Rates from Ireland Fedex Priort'!J56)</f>
        <v>103</v>
      </c>
      <c r="K57" s="10">
        <f>IF(ISNUMBER('Rates from Ireland Fedex Priort'!K56),_xlfn.CEILING.MATH('Rates from Ireland Fedex Priort'!K56,1)+IF($A57="EU",Variables!$B$6,Variables!$B$3),'Rates from Ireland Fedex Priort'!K56)</f>
        <v>112</v>
      </c>
      <c r="L57" s="10">
        <f>IF(ISNUMBER('Rates from Ireland Fedex Priort'!L56),_xlfn.CEILING.MATH('Rates from Ireland Fedex Priort'!L56,1)+IF($A57="EU",Variables!$B$6,Variables!$B$3),'Rates from Ireland Fedex Priort'!L56)</f>
        <v>114</v>
      </c>
      <c r="M57" s="10">
        <f>IF(ISNUMBER('Rates from Ireland Fedex Priort'!M56),_xlfn.CEILING.MATH('Rates from Ireland Fedex Priort'!M56,1)+IF($A57="EU",Variables!$B$6,Variables!$B$3),'Rates from Ireland Fedex Priort'!M56)</f>
        <v>122</v>
      </c>
      <c r="N57" s="10">
        <f>IF(ISNUMBER('Rates from Ireland Fedex Priort'!N56),_xlfn.CEILING.MATH('Rates from Ireland Fedex Priort'!N56,1)+IF($A57="EU",Variables!$B$6,Variables!$B$3),'Rates from Ireland Fedex Priort'!N56)</f>
        <v>127</v>
      </c>
      <c r="O57" s="15" t="s">
        <v>61</v>
      </c>
      <c r="P57" s="15" t="s">
        <v>67</v>
      </c>
      <c r="Q57" s="16">
        <v>80</v>
      </c>
      <c r="R57" s="15" t="s">
        <v>25</v>
      </c>
      <c r="S57" s="17" t="s">
        <v>26</v>
      </c>
      <c r="T57" s="40" t="s">
        <v>27</v>
      </c>
    </row>
    <row r="58" spans="1:20" ht="15.75" customHeight="1" x14ac:dyDescent="0.3">
      <c r="A58" s="39" t="str">
        <f>IF('Rates from Ireland Fedex Priort'!A57="","",'Rates from Ireland Fedex Priort'!A57)</f>
        <v>EU</v>
      </c>
      <c r="B58" s="8" t="str">
        <f>IF('Rates from Ireland Fedex Priort'!B57="","",'Rates from Ireland Fedex Priort'!B57)</f>
        <v>Ireland</v>
      </c>
      <c r="C58" s="9" t="str">
        <f>IF('Rates from Ireland Fedex Priort'!C57="","",'Rates from Ireland Fedex Priort'!C57)</f>
        <v>Denmark</v>
      </c>
      <c r="D58" s="10">
        <f>IF(ISNUMBER('Rates from Ireland Fedex Priort'!D57),_xlfn.CEILING.MATH('Rates from Ireland Fedex Priort'!D57,1)+IF($A58="EU",Variables!$B$5,Variables!$B$2),'Rates from Ireland Fedex Priort'!D57)</f>
        <v>62</v>
      </c>
      <c r="E58" s="10">
        <f>IF(ISNUMBER('Rates from Ireland Fedex Priort'!E57),_xlfn.CEILING.MATH('Rates from Ireland Fedex Priort'!E57,1)+IF($A58="EU",Variables!$B$6,Variables!$B$3),'Rates from Ireland Fedex Priort'!E57)</f>
        <v>65</v>
      </c>
      <c r="F58" s="10">
        <f>IF(ISNUMBER('Rates from Ireland Fedex Priort'!F57),_xlfn.CEILING.MATH('Rates from Ireland Fedex Priort'!F57,1)+IF($A58="EU",Variables!$B$6,Variables!$B$3),'Rates from Ireland Fedex Priort'!F57)</f>
        <v>65</v>
      </c>
      <c r="G58" s="10">
        <f>IF(ISNUMBER('Rates from Ireland Fedex Priort'!G57),_xlfn.CEILING.MATH('Rates from Ireland Fedex Priort'!G57,1)+IF($A58="EU",Variables!$B$6,Variables!$B$3),'Rates from Ireland Fedex Priort'!G57)</f>
        <v>68</v>
      </c>
      <c r="H58" s="10">
        <f>IF(ISNUMBER('Rates from Ireland Fedex Priort'!H57),_xlfn.CEILING.MATH('Rates from Ireland Fedex Priort'!H57,1)+IF($A58="EU",Variables!$B$6,Variables!$B$3),'Rates from Ireland Fedex Priort'!H57)</f>
        <v>74</v>
      </c>
      <c r="I58" s="10">
        <f>IF(ISNUMBER('Rates from Ireland Fedex Priort'!I57),_xlfn.CEILING.MATH('Rates from Ireland Fedex Priort'!I57,1)+IF($A58="EU",Variables!$B$6,Variables!$B$3),'Rates from Ireland Fedex Priort'!I57)</f>
        <v>81</v>
      </c>
      <c r="J58" s="10">
        <f>IF(ISNUMBER('Rates from Ireland Fedex Priort'!J57),_xlfn.CEILING.MATH('Rates from Ireland Fedex Priort'!J57,1)+IF($A58="EU",Variables!$B$6,Variables!$B$3),'Rates from Ireland Fedex Priort'!J57)</f>
        <v>87</v>
      </c>
      <c r="K58" s="10">
        <f>IF(ISNUMBER('Rates from Ireland Fedex Priort'!K57),_xlfn.CEILING.MATH('Rates from Ireland Fedex Priort'!K57,1)+IF($A58="EU",Variables!$B$6,Variables!$B$3),'Rates from Ireland Fedex Priort'!K57)</f>
        <v>93</v>
      </c>
      <c r="L58" s="10">
        <f>IF(ISNUMBER('Rates from Ireland Fedex Priort'!L57),_xlfn.CEILING.MATH('Rates from Ireland Fedex Priort'!L57,1)+IF($A58="EU",Variables!$B$6,Variables!$B$3),'Rates from Ireland Fedex Priort'!L57)</f>
        <v>99</v>
      </c>
      <c r="M58" s="10">
        <f>IF(ISNUMBER('Rates from Ireland Fedex Priort'!M57),_xlfn.CEILING.MATH('Rates from Ireland Fedex Priort'!M57,1)+IF($A58="EU",Variables!$B$6,Variables!$B$3),'Rates from Ireland Fedex Priort'!M57)</f>
        <v>112</v>
      </c>
      <c r="N58" s="10">
        <f>IF(ISNUMBER('Rates from Ireland Fedex Priort'!N57),_xlfn.CEILING.MATH('Rates from Ireland Fedex Priort'!N57,1)+IF($A58="EU",Variables!$B$6,Variables!$B$3),'Rates from Ireland Fedex Priort'!N57)</f>
        <v>127</v>
      </c>
      <c r="O58" s="15" t="s">
        <v>29</v>
      </c>
      <c r="P58" s="15" t="s">
        <v>33</v>
      </c>
      <c r="Q58" s="16">
        <v>80</v>
      </c>
      <c r="R58" s="15" t="s">
        <v>25</v>
      </c>
      <c r="S58" s="17" t="s">
        <v>26</v>
      </c>
      <c r="T58" s="40" t="s">
        <v>27</v>
      </c>
    </row>
    <row r="59" spans="1:20" ht="15.75" customHeight="1" x14ac:dyDescent="0.3">
      <c r="A59" s="39" t="str">
        <f>IF('Rates from Ireland Fedex Priort'!A58="","",'Rates from Ireland Fedex Priort'!A58)</f>
        <v>EU</v>
      </c>
      <c r="B59" s="8" t="str">
        <f>IF('Rates from Ireland Fedex Priort'!B58="","",'Rates from Ireland Fedex Priort'!B58)</f>
        <v>Ireland</v>
      </c>
      <c r="C59" s="9" t="str">
        <f>IF('Rates from Ireland Fedex Priort'!C58="","",'Rates from Ireland Fedex Priort'!C58)</f>
        <v>Djibouti</v>
      </c>
      <c r="D59" s="10">
        <f>IF(ISNUMBER('Rates from Ireland Fedex Priort'!D58),_xlfn.CEILING.MATH('Rates from Ireland Fedex Priort'!D58,1)+IF($A59="EU",Variables!$B$5,Variables!$B$2),'Rates from Ireland Fedex Priort'!D58)</f>
        <v>72</v>
      </c>
      <c r="E59" s="10">
        <f>IF(ISNUMBER('Rates from Ireland Fedex Priort'!E58),_xlfn.CEILING.MATH('Rates from Ireland Fedex Priort'!E58,1)+IF($A59="EU",Variables!$B$6,Variables!$B$3),'Rates from Ireland Fedex Priort'!E58)</f>
        <v>83</v>
      </c>
      <c r="F59" s="10">
        <f>IF(ISNUMBER('Rates from Ireland Fedex Priort'!F58),_xlfn.CEILING.MATH('Rates from Ireland Fedex Priort'!F58,1)+IF($A59="EU",Variables!$B$6,Variables!$B$3),'Rates from Ireland Fedex Priort'!F58)</f>
        <v>88</v>
      </c>
      <c r="G59" s="10">
        <f>IF(ISNUMBER('Rates from Ireland Fedex Priort'!G58),_xlfn.CEILING.MATH('Rates from Ireland Fedex Priort'!G58,1)+IF($A59="EU",Variables!$B$6,Variables!$B$3),'Rates from Ireland Fedex Priort'!G58)</f>
        <v>106</v>
      </c>
      <c r="H59" s="10">
        <f>IF(ISNUMBER('Rates from Ireland Fedex Priort'!H58),_xlfn.CEILING.MATH('Rates from Ireland Fedex Priort'!H58,1)+IF($A59="EU",Variables!$B$6,Variables!$B$3),'Rates from Ireland Fedex Priort'!H58)</f>
        <v>134</v>
      </c>
      <c r="I59" s="10">
        <f>IF(ISNUMBER('Rates from Ireland Fedex Priort'!I58),_xlfn.CEILING.MATH('Rates from Ireland Fedex Priort'!I58,1)+IF($A59="EU",Variables!$B$6,Variables!$B$3),'Rates from Ireland Fedex Priort'!I58)</f>
        <v>242</v>
      </c>
      <c r="J59" s="10" t="str">
        <f>IF(ISNUMBER('Rates from Ireland Fedex Priort'!J58),_xlfn.CEILING.MATH('Rates from Ireland Fedex Priort'!J58,1)+IF($A59="EU",Variables!$B$6,Variables!$B$3),'Rates from Ireland Fedex Priort'!J58)</f>
        <v>No service</v>
      </c>
      <c r="K59" s="10" t="str">
        <f>IF(ISNUMBER('Rates from Ireland Fedex Priort'!K58),_xlfn.CEILING.MATH('Rates from Ireland Fedex Priort'!K58,1)+IF($A59="EU",Variables!$B$6,Variables!$B$3),'Rates from Ireland Fedex Priort'!K58)</f>
        <v>No service</v>
      </c>
      <c r="L59" s="10" t="str">
        <f>IF(ISNUMBER('Rates from Ireland Fedex Priort'!L58),_xlfn.CEILING.MATH('Rates from Ireland Fedex Priort'!L58,1)+IF($A59="EU",Variables!$B$6,Variables!$B$3),'Rates from Ireland Fedex Priort'!L58)</f>
        <v>No service</v>
      </c>
      <c r="M59" s="10" t="str">
        <f>IF(ISNUMBER('Rates from Ireland Fedex Priort'!M58),_xlfn.CEILING.MATH('Rates from Ireland Fedex Priort'!M58,1)+IF($A59="EU",Variables!$B$6,Variables!$B$3),'Rates from Ireland Fedex Priort'!M58)</f>
        <v>No service</v>
      </c>
      <c r="N59" s="10" t="str">
        <f>IF(ISNUMBER('Rates from Ireland Fedex Priort'!N58),_xlfn.CEILING.MATH('Rates from Ireland Fedex Priort'!N58,1)+IF($A59="EU",Variables!$B$6,Variables!$B$3),'Rates from Ireland Fedex Priort'!N58)</f>
        <v>No service</v>
      </c>
      <c r="O59" s="11" t="s">
        <v>35</v>
      </c>
      <c r="P59" s="11" t="s">
        <v>36</v>
      </c>
      <c r="Q59" s="12">
        <v>80</v>
      </c>
      <c r="R59" s="11" t="s">
        <v>25</v>
      </c>
      <c r="S59" s="3" t="s">
        <v>26</v>
      </c>
      <c r="T59" s="38" t="s">
        <v>27</v>
      </c>
    </row>
    <row r="60" spans="1:20" ht="15.75" customHeight="1" x14ac:dyDescent="0.3">
      <c r="A60" s="39" t="str">
        <f>IF('Rates from Ireland Fedex Priort'!A59="","",'Rates from Ireland Fedex Priort'!A59)</f>
        <v>EU</v>
      </c>
      <c r="B60" s="8" t="str">
        <f>IF('Rates from Ireland Fedex Priort'!B59="","",'Rates from Ireland Fedex Priort'!B59)</f>
        <v>Ireland</v>
      </c>
      <c r="C60" s="9" t="str">
        <f>IF('Rates from Ireland Fedex Priort'!C59="","",'Rates from Ireland Fedex Priort'!C59)</f>
        <v>Dominica</v>
      </c>
      <c r="D60" s="10">
        <f>IF(ISNUMBER('Rates from Ireland Fedex Priort'!D59),_xlfn.CEILING.MATH('Rates from Ireland Fedex Priort'!D59,1)+IF($A60="EU",Variables!$B$5,Variables!$B$2),'Rates from Ireland Fedex Priort'!D59)</f>
        <v>68</v>
      </c>
      <c r="E60" s="10">
        <f>IF(ISNUMBER('Rates from Ireland Fedex Priort'!E59),_xlfn.CEILING.MATH('Rates from Ireland Fedex Priort'!E59,1)+IF($A60="EU",Variables!$B$6,Variables!$B$3),'Rates from Ireland Fedex Priort'!E59)</f>
        <v>77</v>
      </c>
      <c r="F60" s="10">
        <f>IF(ISNUMBER('Rates from Ireland Fedex Priort'!F59),_xlfn.CEILING.MATH('Rates from Ireland Fedex Priort'!F59,1)+IF($A60="EU",Variables!$B$6,Variables!$B$3),'Rates from Ireland Fedex Priort'!F59)</f>
        <v>81</v>
      </c>
      <c r="G60" s="10">
        <f>IF(ISNUMBER('Rates from Ireland Fedex Priort'!G59),_xlfn.CEILING.MATH('Rates from Ireland Fedex Priort'!G59,1)+IF($A60="EU",Variables!$B$6,Variables!$B$3),'Rates from Ireland Fedex Priort'!G59)</f>
        <v>96</v>
      </c>
      <c r="H60" s="10">
        <f>IF(ISNUMBER('Rates from Ireland Fedex Priort'!H59),_xlfn.CEILING.MATH('Rates from Ireland Fedex Priort'!H59,1)+IF($A60="EU",Variables!$B$6,Variables!$B$3),'Rates from Ireland Fedex Priort'!H59)</f>
        <v>117</v>
      </c>
      <c r="I60" s="10">
        <f>IF(ISNUMBER('Rates from Ireland Fedex Priort'!I59),_xlfn.CEILING.MATH('Rates from Ireland Fedex Priort'!I59,1)+IF($A60="EU",Variables!$B$6,Variables!$B$3),'Rates from Ireland Fedex Priort'!I59)</f>
        <v>219</v>
      </c>
      <c r="J60" s="10" t="str">
        <f>IF(ISNUMBER('Rates from Ireland Fedex Priort'!J59),_xlfn.CEILING.MATH('Rates from Ireland Fedex Priort'!J59,1)+IF($A60="EU",Variables!$B$6,Variables!$B$3),'Rates from Ireland Fedex Priort'!J59)</f>
        <v>No service</v>
      </c>
      <c r="K60" s="10" t="str">
        <f>IF(ISNUMBER('Rates from Ireland Fedex Priort'!K59),_xlfn.CEILING.MATH('Rates from Ireland Fedex Priort'!K59,1)+IF($A60="EU",Variables!$B$6,Variables!$B$3),'Rates from Ireland Fedex Priort'!K59)</f>
        <v>No service</v>
      </c>
      <c r="L60" s="10" t="str">
        <f>IF(ISNUMBER('Rates from Ireland Fedex Priort'!L59),_xlfn.CEILING.MATH('Rates from Ireland Fedex Priort'!L59,1)+IF($A60="EU",Variables!$B$6,Variables!$B$3),'Rates from Ireland Fedex Priort'!L59)</f>
        <v>No service</v>
      </c>
      <c r="M60" s="10" t="str">
        <f>IF(ISNUMBER('Rates from Ireland Fedex Priort'!M59),_xlfn.CEILING.MATH('Rates from Ireland Fedex Priort'!M59,1)+IF($A60="EU",Variables!$B$6,Variables!$B$3),'Rates from Ireland Fedex Priort'!M59)</f>
        <v>No service</v>
      </c>
      <c r="N60" s="10" t="str">
        <f>IF(ISNUMBER('Rates from Ireland Fedex Priort'!N59),_xlfn.CEILING.MATH('Rates from Ireland Fedex Priort'!N59,1)+IF($A60="EU",Variables!$B$6,Variables!$B$3),'Rates from Ireland Fedex Priort'!N59)</f>
        <v>No service</v>
      </c>
      <c r="O60" s="11" t="s">
        <v>41</v>
      </c>
      <c r="P60" s="11" t="s">
        <v>23</v>
      </c>
      <c r="Q60" s="12">
        <v>80</v>
      </c>
      <c r="R60" s="11" t="s">
        <v>25</v>
      </c>
      <c r="S60" s="3" t="s">
        <v>26</v>
      </c>
      <c r="T60" s="38" t="s">
        <v>27</v>
      </c>
    </row>
    <row r="61" spans="1:20" ht="15.75" customHeight="1" x14ac:dyDescent="0.3">
      <c r="A61" s="39" t="str">
        <f>IF('Rates from Ireland Fedex Priort'!A60="","",'Rates from Ireland Fedex Priort'!A60)</f>
        <v>EU</v>
      </c>
      <c r="B61" s="8" t="str">
        <f>IF('Rates from Ireland Fedex Priort'!B60="","",'Rates from Ireland Fedex Priort'!B60)</f>
        <v>Ireland</v>
      </c>
      <c r="C61" s="9" t="str">
        <f>IF('Rates from Ireland Fedex Priort'!C60="","",'Rates from Ireland Fedex Priort'!C60)</f>
        <v>Dominican Republic</v>
      </c>
      <c r="D61" s="10">
        <f>IF(ISNUMBER('Rates from Ireland Fedex Priort'!D60),_xlfn.CEILING.MATH('Rates from Ireland Fedex Priort'!D60,1)+IF($A61="EU",Variables!$B$5,Variables!$B$2),'Rates from Ireland Fedex Priort'!D60)</f>
        <v>68</v>
      </c>
      <c r="E61" s="10">
        <f>IF(ISNUMBER('Rates from Ireland Fedex Priort'!E60),_xlfn.CEILING.MATH('Rates from Ireland Fedex Priort'!E60,1)+IF($A61="EU",Variables!$B$6,Variables!$B$3),'Rates from Ireland Fedex Priort'!E60)</f>
        <v>77</v>
      </c>
      <c r="F61" s="10">
        <f>IF(ISNUMBER('Rates from Ireland Fedex Priort'!F60),_xlfn.CEILING.MATH('Rates from Ireland Fedex Priort'!F60,1)+IF($A61="EU",Variables!$B$6,Variables!$B$3),'Rates from Ireland Fedex Priort'!F60)</f>
        <v>81</v>
      </c>
      <c r="G61" s="10">
        <f>IF(ISNUMBER('Rates from Ireland Fedex Priort'!G60),_xlfn.CEILING.MATH('Rates from Ireland Fedex Priort'!G60,1)+IF($A61="EU",Variables!$B$6,Variables!$B$3),'Rates from Ireland Fedex Priort'!G60)</f>
        <v>96</v>
      </c>
      <c r="H61" s="10">
        <f>IF(ISNUMBER('Rates from Ireland Fedex Priort'!H60),_xlfn.CEILING.MATH('Rates from Ireland Fedex Priort'!H60,1)+IF($A61="EU",Variables!$B$6,Variables!$B$3),'Rates from Ireland Fedex Priort'!H60)</f>
        <v>117</v>
      </c>
      <c r="I61" s="10">
        <f>IF(ISNUMBER('Rates from Ireland Fedex Priort'!I60),_xlfn.CEILING.MATH('Rates from Ireland Fedex Priort'!I60,1)+IF($A61="EU",Variables!$B$6,Variables!$B$3),'Rates from Ireland Fedex Priort'!I60)</f>
        <v>219</v>
      </c>
      <c r="J61" s="10" t="str">
        <f>IF(ISNUMBER('Rates from Ireland Fedex Priort'!J60),_xlfn.CEILING.MATH('Rates from Ireland Fedex Priort'!J60,1)+IF($A61="EU",Variables!$B$6,Variables!$B$3),'Rates from Ireland Fedex Priort'!J60)</f>
        <v>No service</v>
      </c>
      <c r="K61" s="10" t="str">
        <f>IF(ISNUMBER('Rates from Ireland Fedex Priort'!K60),_xlfn.CEILING.MATH('Rates from Ireland Fedex Priort'!K60,1)+IF($A61="EU",Variables!$B$6,Variables!$B$3),'Rates from Ireland Fedex Priort'!K60)</f>
        <v>No service</v>
      </c>
      <c r="L61" s="10" t="str">
        <f>IF(ISNUMBER('Rates from Ireland Fedex Priort'!L60),_xlfn.CEILING.MATH('Rates from Ireland Fedex Priort'!L60,1)+IF($A61="EU",Variables!$B$6,Variables!$B$3),'Rates from Ireland Fedex Priort'!L60)</f>
        <v>No service</v>
      </c>
      <c r="M61" s="10" t="str">
        <f>IF(ISNUMBER('Rates from Ireland Fedex Priort'!M60),_xlfn.CEILING.MATH('Rates from Ireland Fedex Priort'!M60,1)+IF($A61="EU",Variables!$B$6,Variables!$B$3),'Rates from Ireland Fedex Priort'!M60)</f>
        <v>No service</v>
      </c>
      <c r="N61" s="10" t="str">
        <f>IF(ISNUMBER('Rates from Ireland Fedex Priort'!N60),_xlfn.CEILING.MATH('Rates from Ireland Fedex Priort'!N60,1)+IF($A61="EU",Variables!$B$6,Variables!$B$3),'Rates from Ireland Fedex Priort'!N60)</f>
        <v>No service</v>
      </c>
      <c r="O61" s="11" t="s">
        <v>41</v>
      </c>
      <c r="P61" s="11" t="s">
        <v>23</v>
      </c>
      <c r="Q61" s="12">
        <v>80</v>
      </c>
      <c r="R61" s="11" t="s">
        <v>25</v>
      </c>
      <c r="S61" s="3" t="s">
        <v>26</v>
      </c>
      <c r="T61" s="38" t="s">
        <v>27</v>
      </c>
    </row>
    <row r="62" spans="1:20" ht="15.75" customHeight="1" x14ac:dyDescent="0.3">
      <c r="A62" s="39" t="str">
        <f>IF('Rates from Ireland Fedex Priort'!A61="","",'Rates from Ireland Fedex Priort'!A61)</f>
        <v>EU</v>
      </c>
      <c r="B62" s="8" t="str">
        <f>IF('Rates from Ireland Fedex Priort'!B61="","",'Rates from Ireland Fedex Priort'!B61)</f>
        <v>Ireland</v>
      </c>
      <c r="C62" s="9" t="str">
        <f>IF('Rates from Ireland Fedex Priort'!C61="","",'Rates from Ireland Fedex Priort'!C61)</f>
        <v>DR Congo</v>
      </c>
      <c r="D62" s="10">
        <f>IF(ISNUMBER('Rates from Ireland Fedex Priort'!D61),_xlfn.CEILING.MATH('Rates from Ireland Fedex Priort'!D61,1)+IF($A62="EU",Variables!$B$5,Variables!$B$2),'Rates from Ireland Fedex Priort'!D61)</f>
        <v>72</v>
      </c>
      <c r="E62" s="10">
        <f>IF(ISNUMBER('Rates from Ireland Fedex Priort'!E61),_xlfn.CEILING.MATH('Rates from Ireland Fedex Priort'!E61,1)+IF($A62="EU",Variables!$B$6,Variables!$B$3),'Rates from Ireland Fedex Priort'!E61)</f>
        <v>83</v>
      </c>
      <c r="F62" s="10">
        <f>IF(ISNUMBER('Rates from Ireland Fedex Priort'!F61),_xlfn.CEILING.MATH('Rates from Ireland Fedex Priort'!F61,1)+IF($A62="EU",Variables!$B$6,Variables!$B$3),'Rates from Ireland Fedex Priort'!F61)</f>
        <v>88</v>
      </c>
      <c r="G62" s="10">
        <f>IF(ISNUMBER('Rates from Ireland Fedex Priort'!G61),_xlfn.CEILING.MATH('Rates from Ireland Fedex Priort'!G61,1)+IF($A62="EU",Variables!$B$6,Variables!$B$3),'Rates from Ireland Fedex Priort'!G61)</f>
        <v>106</v>
      </c>
      <c r="H62" s="10">
        <f>IF(ISNUMBER('Rates from Ireland Fedex Priort'!H61),_xlfn.CEILING.MATH('Rates from Ireland Fedex Priort'!H61,1)+IF($A62="EU",Variables!$B$6,Variables!$B$3),'Rates from Ireland Fedex Priort'!H61)</f>
        <v>134</v>
      </c>
      <c r="I62" s="10">
        <f>IF(ISNUMBER('Rates from Ireland Fedex Priort'!I61),_xlfn.CEILING.MATH('Rates from Ireland Fedex Priort'!I61,1)+IF($A62="EU",Variables!$B$6,Variables!$B$3),'Rates from Ireland Fedex Priort'!I61)</f>
        <v>242</v>
      </c>
      <c r="J62" s="10" t="str">
        <f>IF(ISNUMBER('Rates from Ireland Fedex Priort'!J61),_xlfn.CEILING.MATH('Rates from Ireland Fedex Priort'!J61,1)+IF($A62="EU",Variables!$B$6,Variables!$B$3),'Rates from Ireland Fedex Priort'!J61)</f>
        <v>No service</v>
      </c>
      <c r="K62" s="10" t="str">
        <f>IF(ISNUMBER('Rates from Ireland Fedex Priort'!K61),_xlfn.CEILING.MATH('Rates from Ireland Fedex Priort'!K61,1)+IF($A62="EU",Variables!$B$6,Variables!$B$3),'Rates from Ireland Fedex Priort'!K61)</f>
        <v>No service</v>
      </c>
      <c r="L62" s="10" t="str">
        <f>IF(ISNUMBER('Rates from Ireland Fedex Priort'!L61),_xlfn.CEILING.MATH('Rates from Ireland Fedex Priort'!L61,1)+IF($A62="EU",Variables!$B$6,Variables!$B$3),'Rates from Ireland Fedex Priort'!L61)</f>
        <v>No service</v>
      </c>
      <c r="M62" s="10" t="str">
        <f>IF(ISNUMBER('Rates from Ireland Fedex Priort'!M61),_xlfn.CEILING.MATH('Rates from Ireland Fedex Priort'!M61,1)+IF($A62="EU",Variables!$B$6,Variables!$B$3),'Rates from Ireland Fedex Priort'!M61)</f>
        <v>No service</v>
      </c>
      <c r="N62" s="10" t="str">
        <f>IF(ISNUMBER('Rates from Ireland Fedex Priort'!N61),_xlfn.CEILING.MATH('Rates from Ireland Fedex Priort'!N61,1)+IF($A62="EU",Variables!$B$6,Variables!$B$3),'Rates from Ireland Fedex Priort'!N61)</f>
        <v>No service</v>
      </c>
      <c r="O62" s="11" t="s">
        <v>35</v>
      </c>
      <c r="P62" s="11" t="s">
        <v>36</v>
      </c>
      <c r="Q62" s="12">
        <v>80</v>
      </c>
      <c r="R62" s="11" t="s">
        <v>25</v>
      </c>
      <c r="S62" s="3" t="s">
        <v>26</v>
      </c>
      <c r="T62" s="38" t="s">
        <v>27</v>
      </c>
    </row>
    <row r="63" spans="1:20" ht="15.75" customHeight="1" x14ac:dyDescent="0.3">
      <c r="A63" s="39" t="str">
        <f>IF('Rates from Ireland Fedex Priort'!A62="","",'Rates from Ireland Fedex Priort'!A62)</f>
        <v>EU</v>
      </c>
      <c r="B63" s="8" t="str">
        <f>IF('Rates from Ireland Fedex Priort'!B62="","",'Rates from Ireland Fedex Priort'!B62)</f>
        <v>Ireland</v>
      </c>
      <c r="C63" s="9" t="str">
        <f>IF('Rates from Ireland Fedex Priort'!C62="","",'Rates from Ireland Fedex Priort'!C62)</f>
        <v>East Timor</v>
      </c>
      <c r="D63" s="10" t="str">
        <f>IF(ISNUMBER('Rates from Ireland Fedex Priort'!D62),_xlfn.CEILING.MATH('Rates from Ireland Fedex Priort'!D62,1)+IF($A63="EU",Variables!$B$5,Variables!$B$2),'Rates from Ireland Fedex Priort'!D62)</f>
        <v>No service</v>
      </c>
      <c r="E63" s="10" t="str">
        <f>IF(ISNUMBER('Rates from Ireland Fedex Priort'!E62),_xlfn.CEILING.MATH('Rates from Ireland Fedex Priort'!E62,1)+IF($A63="EU",Variables!$B$6,Variables!$B$3),'Rates from Ireland Fedex Priort'!E62)</f>
        <v>No service</v>
      </c>
      <c r="F63" s="10" t="str">
        <f>IF(ISNUMBER('Rates from Ireland Fedex Priort'!F62),_xlfn.CEILING.MATH('Rates from Ireland Fedex Priort'!F62,1)+IF($A63="EU",Variables!$B$6,Variables!$B$3),'Rates from Ireland Fedex Priort'!F62)</f>
        <v>No service</v>
      </c>
      <c r="G63" s="10" t="str">
        <f>IF(ISNUMBER('Rates from Ireland Fedex Priort'!G62),_xlfn.CEILING.MATH('Rates from Ireland Fedex Priort'!G62,1)+IF($A63="EU",Variables!$B$6,Variables!$B$3),'Rates from Ireland Fedex Priort'!G62)</f>
        <v>No service</v>
      </c>
      <c r="H63" s="10" t="str">
        <f>IF(ISNUMBER('Rates from Ireland Fedex Priort'!H62),_xlfn.CEILING.MATH('Rates from Ireland Fedex Priort'!H62,1)+IF($A63="EU",Variables!$B$6,Variables!$B$3),'Rates from Ireland Fedex Priort'!H62)</f>
        <v>No service</v>
      </c>
      <c r="I63" s="10" t="str">
        <f>IF(ISNUMBER('Rates from Ireland Fedex Priort'!I62),_xlfn.CEILING.MATH('Rates from Ireland Fedex Priort'!I62,1)+IF($A63="EU",Variables!$B$6,Variables!$B$3),'Rates from Ireland Fedex Priort'!I62)</f>
        <v>No service</v>
      </c>
      <c r="J63" s="10" t="str">
        <f>IF(ISNUMBER('Rates from Ireland Fedex Priort'!J62),_xlfn.CEILING.MATH('Rates from Ireland Fedex Priort'!J62,1)+IF($A63="EU",Variables!$B$6,Variables!$B$3),'Rates from Ireland Fedex Priort'!J62)</f>
        <v>No service</v>
      </c>
      <c r="K63" s="10" t="str">
        <f>IF(ISNUMBER('Rates from Ireland Fedex Priort'!K62),_xlfn.CEILING.MATH('Rates from Ireland Fedex Priort'!K62,1)+IF($A63="EU",Variables!$B$6,Variables!$B$3),'Rates from Ireland Fedex Priort'!K62)</f>
        <v>No service</v>
      </c>
      <c r="L63" s="10" t="str">
        <f>IF(ISNUMBER('Rates from Ireland Fedex Priort'!L62),_xlfn.CEILING.MATH('Rates from Ireland Fedex Priort'!L62,1)+IF($A63="EU",Variables!$B$6,Variables!$B$3),'Rates from Ireland Fedex Priort'!L62)</f>
        <v>No service</v>
      </c>
      <c r="M63" s="10" t="str">
        <f>IF(ISNUMBER('Rates from Ireland Fedex Priort'!M62),_xlfn.CEILING.MATH('Rates from Ireland Fedex Priort'!M62,1)+IF($A63="EU",Variables!$B$6,Variables!$B$3),'Rates from Ireland Fedex Priort'!M62)</f>
        <v>No service</v>
      </c>
      <c r="N63" s="10" t="str">
        <f>IF(ISNUMBER('Rates from Ireland Fedex Priort'!N62),_xlfn.CEILING.MATH('Rates from Ireland Fedex Priort'!N62,1)+IF($A63="EU",Variables!$B$6,Variables!$B$3),'Rates from Ireland Fedex Priort'!N62)</f>
        <v>No service</v>
      </c>
      <c r="O63" s="11"/>
      <c r="P63" s="11"/>
      <c r="Q63" s="11"/>
      <c r="R63" s="11"/>
      <c r="S63" s="3" t="s">
        <v>26</v>
      </c>
      <c r="T63" s="38" t="s">
        <v>27</v>
      </c>
    </row>
    <row r="64" spans="1:20" ht="15.75" customHeight="1" x14ac:dyDescent="0.3">
      <c r="A64" s="39" t="str">
        <f>IF('Rates from Ireland Fedex Priort'!A63="","",'Rates from Ireland Fedex Priort'!A63)</f>
        <v>EU</v>
      </c>
      <c r="B64" s="8" t="str">
        <f>IF('Rates from Ireland Fedex Priort'!B63="","",'Rates from Ireland Fedex Priort'!B63)</f>
        <v>Ireland</v>
      </c>
      <c r="C64" s="9" t="str">
        <f>IF('Rates from Ireland Fedex Priort'!C63="","",'Rates from Ireland Fedex Priort'!C63)</f>
        <v>Ecuador</v>
      </c>
      <c r="D64" s="10" t="str">
        <f>IF(ISNUMBER('Rates from Ireland Fedex Priort'!D63),_xlfn.CEILING.MATH('Rates from Ireland Fedex Priort'!D63,1)+IF($A64="EU",Variables!$B$5,Variables!$B$2),'Rates from Ireland Fedex Priort'!D63)</f>
        <v>No service</v>
      </c>
      <c r="E64" s="10" t="str">
        <f>IF(ISNUMBER('Rates from Ireland Fedex Priort'!E63),_xlfn.CEILING.MATH('Rates from Ireland Fedex Priort'!E63,1)+IF($A64="EU",Variables!$B$6,Variables!$B$3),'Rates from Ireland Fedex Priort'!E63)</f>
        <v>No service</v>
      </c>
      <c r="F64" s="10" t="str">
        <f>IF(ISNUMBER('Rates from Ireland Fedex Priort'!F63),_xlfn.CEILING.MATH('Rates from Ireland Fedex Priort'!F63,1)+IF($A64="EU",Variables!$B$6,Variables!$B$3),'Rates from Ireland Fedex Priort'!F63)</f>
        <v>No service</v>
      </c>
      <c r="G64" s="10" t="str">
        <f>IF(ISNUMBER('Rates from Ireland Fedex Priort'!G63),_xlfn.CEILING.MATH('Rates from Ireland Fedex Priort'!G63,1)+IF($A64="EU",Variables!$B$6,Variables!$B$3),'Rates from Ireland Fedex Priort'!G63)</f>
        <v>No service</v>
      </c>
      <c r="H64" s="10" t="str">
        <f>IF(ISNUMBER('Rates from Ireland Fedex Priort'!H63),_xlfn.CEILING.MATH('Rates from Ireland Fedex Priort'!H63,1)+IF($A64="EU",Variables!$B$6,Variables!$B$3),'Rates from Ireland Fedex Priort'!H63)</f>
        <v>No service</v>
      </c>
      <c r="I64" s="10" t="str">
        <f>IF(ISNUMBER('Rates from Ireland Fedex Priort'!I63),_xlfn.CEILING.MATH('Rates from Ireland Fedex Priort'!I63,1)+IF($A64="EU",Variables!$B$6,Variables!$B$3),'Rates from Ireland Fedex Priort'!I63)</f>
        <v>No service</v>
      </c>
      <c r="J64" s="10" t="str">
        <f>IF(ISNUMBER('Rates from Ireland Fedex Priort'!J63),_xlfn.CEILING.MATH('Rates from Ireland Fedex Priort'!J63,1)+IF($A64="EU",Variables!$B$6,Variables!$B$3),'Rates from Ireland Fedex Priort'!J63)</f>
        <v>No service</v>
      </c>
      <c r="K64" s="10" t="str">
        <f>IF(ISNUMBER('Rates from Ireland Fedex Priort'!K63),_xlfn.CEILING.MATH('Rates from Ireland Fedex Priort'!K63,1)+IF($A64="EU",Variables!$B$6,Variables!$B$3),'Rates from Ireland Fedex Priort'!K63)</f>
        <v>No service</v>
      </c>
      <c r="L64" s="10" t="str">
        <f>IF(ISNUMBER('Rates from Ireland Fedex Priort'!L63),_xlfn.CEILING.MATH('Rates from Ireland Fedex Priort'!L63,1)+IF($A64="EU",Variables!$B$6,Variables!$B$3),'Rates from Ireland Fedex Priort'!L63)</f>
        <v>No service</v>
      </c>
      <c r="M64" s="10" t="str">
        <f>IF(ISNUMBER('Rates from Ireland Fedex Priort'!M63),_xlfn.CEILING.MATH('Rates from Ireland Fedex Priort'!M63,1)+IF($A64="EU",Variables!$B$6,Variables!$B$3),'Rates from Ireland Fedex Priort'!M63)</f>
        <v>No service</v>
      </c>
      <c r="N64" s="10" t="str">
        <f>IF(ISNUMBER('Rates from Ireland Fedex Priort'!N63),_xlfn.CEILING.MATH('Rates from Ireland Fedex Priort'!N63,1)+IF($A64="EU",Variables!$B$6,Variables!$B$3),'Rates from Ireland Fedex Priort'!N63)</f>
        <v>No service</v>
      </c>
      <c r="O64" s="11"/>
      <c r="P64" s="11"/>
      <c r="Q64" s="11"/>
      <c r="R64" s="11"/>
      <c r="S64" s="3" t="s">
        <v>26</v>
      </c>
      <c r="T64" s="38" t="s">
        <v>27</v>
      </c>
    </row>
    <row r="65" spans="1:20" ht="15.75" customHeight="1" x14ac:dyDescent="0.3">
      <c r="A65" s="39" t="str">
        <f>IF('Rates from Ireland Fedex Priort'!A64="","",'Rates from Ireland Fedex Priort'!A64)</f>
        <v>EU</v>
      </c>
      <c r="B65" s="8" t="str">
        <f>IF('Rates from Ireland Fedex Priort'!B64="","",'Rates from Ireland Fedex Priort'!B64)</f>
        <v>Ireland</v>
      </c>
      <c r="C65" s="9" t="str">
        <f>IF('Rates from Ireland Fedex Priort'!C64="","",'Rates from Ireland Fedex Priort'!C64)</f>
        <v>Egypt</v>
      </c>
      <c r="D65" s="10">
        <f>IF(ISNUMBER('Rates from Ireland Fedex Priort'!D64),_xlfn.CEILING.MATH('Rates from Ireland Fedex Priort'!D64,1)+IF($A65="EU",Variables!$B$5,Variables!$B$2),'Rates from Ireland Fedex Priort'!D64)</f>
        <v>62</v>
      </c>
      <c r="E65" s="10">
        <f>IF(ISNUMBER('Rates from Ireland Fedex Priort'!E64),_xlfn.CEILING.MATH('Rates from Ireland Fedex Priort'!E64,1)+IF($A65="EU",Variables!$B$6,Variables!$B$3),'Rates from Ireland Fedex Priort'!E64)</f>
        <v>69</v>
      </c>
      <c r="F65" s="10">
        <f>IF(ISNUMBER('Rates from Ireland Fedex Priort'!F64),_xlfn.CEILING.MATH('Rates from Ireland Fedex Priort'!F64,1)+IF($A65="EU",Variables!$B$6,Variables!$B$3),'Rates from Ireland Fedex Priort'!F64)</f>
        <v>72</v>
      </c>
      <c r="G65" s="10">
        <f>IF(ISNUMBER('Rates from Ireland Fedex Priort'!G64),_xlfn.CEILING.MATH('Rates from Ireland Fedex Priort'!G64,1)+IF($A65="EU",Variables!$B$6,Variables!$B$3),'Rates from Ireland Fedex Priort'!G64)</f>
        <v>86</v>
      </c>
      <c r="H65" s="10">
        <f>IF(ISNUMBER('Rates from Ireland Fedex Priort'!H64),_xlfn.CEILING.MATH('Rates from Ireland Fedex Priort'!H64,1)+IF($A65="EU",Variables!$B$6,Variables!$B$3),'Rates from Ireland Fedex Priort'!H64)</f>
        <v>111</v>
      </c>
      <c r="I65" s="10">
        <f>IF(ISNUMBER('Rates from Ireland Fedex Priort'!I64),_xlfn.CEILING.MATH('Rates from Ireland Fedex Priort'!I64,1)+IF($A65="EU",Variables!$B$6,Variables!$B$3),'Rates from Ireland Fedex Priort'!I64)</f>
        <v>174</v>
      </c>
      <c r="J65" s="10" t="str">
        <f>IF(ISNUMBER('Rates from Ireland Fedex Priort'!J64),_xlfn.CEILING.MATH('Rates from Ireland Fedex Priort'!J64,1)+IF($A65="EU",Variables!$B$6,Variables!$B$3),'Rates from Ireland Fedex Priort'!J64)</f>
        <v>No service</v>
      </c>
      <c r="K65" s="10" t="str">
        <f>IF(ISNUMBER('Rates from Ireland Fedex Priort'!K64),_xlfn.CEILING.MATH('Rates from Ireland Fedex Priort'!K64,1)+IF($A65="EU",Variables!$B$6,Variables!$B$3),'Rates from Ireland Fedex Priort'!K64)</f>
        <v>No service</v>
      </c>
      <c r="L65" s="10" t="str">
        <f>IF(ISNUMBER('Rates from Ireland Fedex Priort'!L64),_xlfn.CEILING.MATH('Rates from Ireland Fedex Priort'!L64,1)+IF($A65="EU",Variables!$B$6,Variables!$B$3),'Rates from Ireland Fedex Priort'!L64)</f>
        <v>No service</v>
      </c>
      <c r="M65" s="10" t="str">
        <f>IF(ISNUMBER('Rates from Ireland Fedex Priort'!M64),_xlfn.CEILING.MATH('Rates from Ireland Fedex Priort'!M64,1)+IF($A65="EU",Variables!$B$6,Variables!$B$3),'Rates from Ireland Fedex Priort'!M64)</f>
        <v>No service</v>
      </c>
      <c r="N65" s="10" t="str">
        <f>IF(ISNUMBER('Rates from Ireland Fedex Priort'!N64),_xlfn.CEILING.MATH('Rates from Ireland Fedex Priort'!N64,1)+IF($A65="EU",Variables!$B$6,Variables!$B$3),'Rates from Ireland Fedex Priort'!N64)</f>
        <v>No service</v>
      </c>
      <c r="O65" s="11" t="s">
        <v>29</v>
      </c>
      <c r="P65" s="11" t="s">
        <v>30</v>
      </c>
      <c r="Q65" s="12">
        <v>80</v>
      </c>
      <c r="R65" s="11" t="s">
        <v>25</v>
      </c>
      <c r="S65" s="3" t="s">
        <v>26</v>
      </c>
      <c r="T65" s="38" t="s">
        <v>27</v>
      </c>
    </row>
    <row r="66" spans="1:20" ht="15.75" customHeight="1" x14ac:dyDescent="0.3">
      <c r="A66" s="39" t="str">
        <f>IF('Rates from Ireland Fedex Priort'!A65="","",'Rates from Ireland Fedex Priort'!A65)</f>
        <v>EU</v>
      </c>
      <c r="B66" s="8" t="str">
        <f>IF('Rates from Ireland Fedex Priort'!B65="","",'Rates from Ireland Fedex Priort'!B65)</f>
        <v>Ireland</v>
      </c>
      <c r="C66" s="9" t="str">
        <f>IF('Rates from Ireland Fedex Priort'!C65="","",'Rates from Ireland Fedex Priort'!C65)</f>
        <v>El Salvador</v>
      </c>
      <c r="D66" s="10">
        <f>IF(ISNUMBER('Rates from Ireland Fedex Priort'!D65),_xlfn.CEILING.MATH('Rates from Ireland Fedex Priort'!D65,1)+IF($A66="EU",Variables!$B$5,Variables!$B$2),'Rates from Ireland Fedex Priort'!D65)</f>
        <v>68</v>
      </c>
      <c r="E66" s="10">
        <f>IF(ISNUMBER('Rates from Ireland Fedex Priort'!E65),_xlfn.CEILING.MATH('Rates from Ireland Fedex Priort'!E65,1)+IF($A66="EU",Variables!$B$6,Variables!$B$3),'Rates from Ireland Fedex Priort'!E65)</f>
        <v>77</v>
      </c>
      <c r="F66" s="10">
        <f>IF(ISNUMBER('Rates from Ireland Fedex Priort'!F65),_xlfn.CEILING.MATH('Rates from Ireland Fedex Priort'!F65,1)+IF($A66="EU",Variables!$B$6,Variables!$B$3),'Rates from Ireland Fedex Priort'!F65)</f>
        <v>81</v>
      </c>
      <c r="G66" s="10">
        <f>IF(ISNUMBER('Rates from Ireland Fedex Priort'!G65),_xlfn.CEILING.MATH('Rates from Ireland Fedex Priort'!G65,1)+IF($A66="EU",Variables!$B$6,Variables!$B$3),'Rates from Ireland Fedex Priort'!G65)</f>
        <v>96</v>
      </c>
      <c r="H66" s="10">
        <f>IF(ISNUMBER('Rates from Ireland Fedex Priort'!H65),_xlfn.CEILING.MATH('Rates from Ireland Fedex Priort'!H65,1)+IF($A66="EU",Variables!$B$6,Variables!$B$3),'Rates from Ireland Fedex Priort'!H65)</f>
        <v>117</v>
      </c>
      <c r="I66" s="10">
        <f>IF(ISNUMBER('Rates from Ireland Fedex Priort'!I65),_xlfn.CEILING.MATH('Rates from Ireland Fedex Priort'!I65,1)+IF($A66="EU",Variables!$B$6,Variables!$B$3),'Rates from Ireland Fedex Priort'!I65)</f>
        <v>219</v>
      </c>
      <c r="J66" s="10" t="str">
        <f>IF(ISNUMBER('Rates from Ireland Fedex Priort'!J65),_xlfn.CEILING.MATH('Rates from Ireland Fedex Priort'!J65,1)+IF($A66="EU",Variables!$B$6,Variables!$B$3),'Rates from Ireland Fedex Priort'!J65)</f>
        <v>No service</v>
      </c>
      <c r="K66" s="10" t="str">
        <f>IF(ISNUMBER('Rates from Ireland Fedex Priort'!K65),_xlfn.CEILING.MATH('Rates from Ireland Fedex Priort'!K65,1)+IF($A66="EU",Variables!$B$6,Variables!$B$3),'Rates from Ireland Fedex Priort'!K65)</f>
        <v>No service</v>
      </c>
      <c r="L66" s="10" t="str">
        <f>IF(ISNUMBER('Rates from Ireland Fedex Priort'!L65),_xlfn.CEILING.MATH('Rates from Ireland Fedex Priort'!L65,1)+IF($A66="EU",Variables!$B$6,Variables!$B$3),'Rates from Ireland Fedex Priort'!L65)</f>
        <v>No service</v>
      </c>
      <c r="M66" s="10" t="str">
        <f>IF(ISNUMBER('Rates from Ireland Fedex Priort'!M65),_xlfn.CEILING.MATH('Rates from Ireland Fedex Priort'!M65,1)+IF($A66="EU",Variables!$B$6,Variables!$B$3),'Rates from Ireland Fedex Priort'!M65)</f>
        <v>No service</v>
      </c>
      <c r="N66" s="10" t="str">
        <f>IF(ISNUMBER('Rates from Ireland Fedex Priort'!N65),_xlfn.CEILING.MATH('Rates from Ireland Fedex Priort'!N65,1)+IF($A66="EU",Variables!$B$6,Variables!$B$3),'Rates from Ireland Fedex Priort'!N65)</f>
        <v>No service</v>
      </c>
      <c r="O66" s="11" t="s">
        <v>41</v>
      </c>
      <c r="P66" s="11" t="s">
        <v>23</v>
      </c>
      <c r="Q66" s="12">
        <v>80</v>
      </c>
      <c r="R66" s="11" t="s">
        <v>25</v>
      </c>
      <c r="S66" s="3" t="s">
        <v>26</v>
      </c>
      <c r="T66" s="38" t="s">
        <v>27</v>
      </c>
    </row>
    <row r="67" spans="1:20" ht="15.75" customHeight="1" x14ac:dyDescent="0.3">
      <c r="A67" s="39" t="str">
        <f>IF('Rates from Ireland Fedex Priort'!A66="","",'Rates from Ireland Fedex Priort'!A66)</f>
        <v>EU</v>
      </c>
      <c r="B67" s="8" t="str">
        <f>IF('Rates from Ireland Fedex Priort'!B66="","",'Rates from Ireland Fedex Priort'!B66)</f>
        <v>Ireland</v>
      </c>
      <c r="C67" s="9" t="str">
        <f>IF('Rates from Ireland Fedex Priort'!C66="","",'Rates from Ireland Fedex Priort'!C66)</f>
        <v>Equatorial Guinea</v>
      </c>
      <c r="D67" s="10" t="str">
        <f>IF(ISNUMBER('Rates from Ireland Fedex Priort'!D66),_xlfn.CEILING.MATH('Rates from Ireland Fedex Priort'!D66,1)+IF($A67="EU",Variables!$B$5,Variables!$B$2),'Rates from Ireland Fedex Priort'!D66)</f>
        <v>No service</v>
      </c>
      <c r="E67" s="10" t="str">
        <f>IF(ISNUMBER('Rates from Ireland Fedex Priort'!E66),_xlfn.CEILING.MATH('Rates from Ireland Fedex Priort'!E66,1)+IF($A67="EU",Variables!$B$6,Variables!$B$3),'Rates from Ireland Fedex Priort'!E66)</f>
        <v>No service</v>
      </c>
      <c r="F67" s="10" t="str">
        <f>IF(ISNUMBER('Rates from Ireland Fedex Priort'!F66),_xlfn.CEILING.MATH('Rates from Ireland Fedex Priort'!F66,1)+IF($A67="EU",Variables!$B$6,Variables!$B$3),'Rates from Ireland Fedex Priort'!F66)</f>
        <v>No service</v>
      </c>
      <c r="G67" s="10" t="str">
        <f>IF(ISNUMBER('Rates from Ireland Fedex Priort'!G66),_xlfn.CEILING.MATH('Rates from Ireland Fedex Priort'!G66,1)+IF($A67="EU",Variables!$B$6,Variables!$B$3),'Rates from Ireland Fedex Priort'!G66)</f>
        <v>No service</v>
      </c>
      <c r="H67" s="10" t="str">
        <f>IF(ISNUMBER('Rates from Ireland Fedex Priort'!H66),_xlfn.CEILING.MATH('Rates from Ireland Fedex Priort'!H66,1)+IF($A67="EU",Variables!$B$6,Variables!$B$3),'Rates from Ireland Fedex Priort'!H66)</f>
        <v>No service</v>
      </c>
      <c r="I67" s="10" t="str">
        <f>IF(ISNUMBER('Rates from Ireland Fedex Priort'!I66),_xlfn.CEILING.MATH('Rates from Ireland Fedex Priort'!I66,1)+IF($A67="EU",Variables!$B$6,Variables!$B$3),'Rates from Ireland Fedex Priort'!I66)</f>
        <v>No service</v>
      </c>
      <c r="J67" s="10" t="str">
        <f>IF(ISNUMBER('Rates from Ireland Fedex Priort'!J66),_xlfn.CEILING.MATH('Rates from Ireland Fedex Priort'!J66,1)+IF($A67="EU",Variables!$B$6,Variables!$B$3),'Rates from Ireland Fedex Priort'!J66)</f>
        <v>No service</v>
      </c>
      <c r="K67" s="10" t="str">
        <f>IF(ISNUMBER('Rates from Ireland Fedex Priort'!K66),_xlfn.CEILING.MATH('Rates from Ireland Fedex Priort'!K66,1)+IF($A67="EU",Variables!$B$6,Variables!$B$3),'Rates from Ireland Fedex Priort'!K66)</f>
        <v>No service</v>
      </c>
      <c r="L67" s="10" t="str">
        <f>IF(ISNUMBER('Rates from Ireland Fedex Priort'!L66),_xlfn.CEILING.MATH('Rates from Ireland Fedex Priort'!L66,1)+IF($A67="EU",Variables!$B$6,Variables!$B$3),'Rates from Ireland Fedex Priort'!L66)</f>
        <v>No service</v>
      </c>
      <c r="M67" s="10" t="str">
        <f>IF(ISNUMBER('Rates from Ireland Fedex Priort'!M66),_xlfn.CEILING.MATH('Rates from Ireland Fedex Priort'!M66,1)+IF($A67="EU",Variables!$B$6,Variables!$B$3),'Rates from Ireland Fedex Priort'!M66)</f>
        <v>No service</v>
      </c>
      <c r="N67" s="10" t="str">
        <f>IF(ISNUMBER('Rates from Ireland Fedex Priort'!N66),_xlfn.CEILING.MATH('Rates from Ireland Fedex Priort'!N66,1)+IF($A67="EU",Variables!$B$6,Variables!$B$3),'Rates from Ireland Fedex Priort'!N66)</f>
        <v>No service</v>
      </c>
      <c r="O67" s="11"/>
      <c r="P67" s="11"/>
      <c r="Q67" s="11"/>
      <c r="R67" s="11"/>
      <c r="S67" s="3" t="s">
        <v>26</v>
      </c>
      <c r="T67" s="38" t="s">
        <v>27</v>
      </c>
    </row>
    <row r="68" spans="1:20" ht="15.75" customHeight="1" x14ac:dyDescent="0.3">
      <c r="A68" s="39" t="str">
        <f>IF('Rates from Ireland Fedex Priort'!A67="","",'Rates from Ireland Fedex Priort'!A67)</f>
        <v>EU</v>
      </c>
      <c r="B68" s="8" t="str">
        <f>IF('Rates from Ireland Fedex Priort'!B67="","",'Rates from Ireland Fedex Priort'!B67)</f>
        <v>Ireland</v>
      </c>
      <c r="C68" s="9" t="str">
        <f>IF('Rates from Ireland Fedex Priort'!C67="","",'Rates from Ireland Fedex Priort'!C67)</f>
        <v>Eritrea</v>
      </c>
      <c r="D68" s="10">
        <f>IF(ISNUMBER('Rates from Ireland Fedex Priort'!D67),_xlfn.CEILING.MATH('Rates from Ireland Fedex Priort'!D67,1)+IF($A68="EU",Variables!$B$5,Variables!$B$2),'Rates from Ireland Fedex Priort'!D67)</f>
        <v>72</v>
      </c>
      <c r="E68" s="10">
        <f>IF(ISNUMBER('Rates from Ireland Fedex Priort'!E67),_xlfn.CEILING.MATH('Rates from Ireland Fedex Priort'!E67,1)+IF($A68="EU",Variables!$B$6,Variables!$B$3),'Rates from Ireland Fedex Priort'!E67)</f>
        <v>83</v>
      </c>
      <c r="F68" s="10">
        <f>IF(ISNUMBER('Rates from Ireland Fedex Priort'!F67),_xlfn.CEILING.MATH('Rates from Ireland Fedex Priort'!F67,1)+IF($A68="EU",Variables!$B$6,Variables!$B$3),'Rates from Ireland Fedex Priort'!F67)</f>
        <v>88</v>
      </c>
      <c r="G68" s="10">
        <f>IF(ISNUMBER('Rates from Ireland Fedex Priort'!G67),_xlfn.CEILING.MATH('Rates from Ireland Fedex Priort'!G67,1)+IF($A68="EU",Variables!$B$6,Variables!$B$3),'Rates from Ireland Fedex Priort'!G67)</f>
        <v>106</v>
      </c>
      <c r="H68" s="10">
        <f>IF(ISNUMBER('Rates from Ireland Fedex Priort'!H67),_xlfn.CEILING.MATH('Rates from Ireland Fedex Priort'!H67,1)+IF($A68="EU",Variables!$B$6,Variables!$B$3),'Rates from Ireland Fedex Priort'!H67)</f>
        <v>134</v>
      </c>
      <c r="I68" s="10">
        <f>IF(ISNUMBER('Rates from Ireland Fedex Priort'!I67),_xlfn.CEILING.MATH('Rates from Ireland Fedex Priort'!I67,1)+IF($A68="EU",Variables!$B$6,Variables!$B$3),'Rates from Ireland Fedex Priort'!I67)</f>
        <v>242</v>
      </c>
      <c r="J68" s="10" t="str">
        <f>IF(ISNUMBER('Rates from Ireland Fedex Priort'!J67),_xlfn.CEILING.MATH('Rates from Ireland Fedex Priort'!J67,1)+IF($A68="EU",Variables!$B$6,Variables!$B$3),'Rates from Ireland Fedex Priort'!J67)</f>
        <v>No service</v>
      </c>
      <c r="K68" s="10" t="str">
        <f>IF(ISNUMBER('Rates from Ireland Fedex Priort'!K67),_xlfn.CEILING.MATH('Rates from Ireland Fedex Priort'!K67,1)+IF($A68="EU",Variables!$B$6,Variables!$B$3),'Rates from Ireland Fedex Priort'!K67)</f>
        <v>No service</v>
      </c>
      <c r="L68" s="10" t="str">
        <f>IF(ISNUMBER('Rates from Ireland Fedex Priort'!L67),_xlfn.CEILING.MATH('Rates from Ireland Fedex Priort'!L67,1)+IF($A68="EU",Variables!$B$6,Variables!$B$3),'Rates from Ireland Fedex Priort'!L67)</f>
        <v>No service</v>
      </c>
      <c r="M68" s="10" t="str">
        <f>IF(ISNUMBER('Rates from Ireland Fedex Priort'!M67),_xlfn.CEILING.MATH('Rates from Ireland Fedex Priort'!M67,1)+IF($A68="EU",Variables!$B$6,Variables!$B$3),'Rates from Ireland Fedex Priort'!M67)</f>
        <v>No service</v>
      </c>
      <c r="N68" s="10" t="str">
        <f>IF(ISNUMBER('Rates from Ireland Fedex Priort'!N67),_xlfn.CEILING.MATH('Rates from Ireland Fedex Priort'!N67,1)+IF($A68="EU",Variables!$B$6,Variables!$B$3),'Rates from Ireland Fedex Priort'!N67)</f>
        <v>No service</v>
      </c>
      <c r="O68" s="11" t="s">
        <v>35</v>
      </c>
      <c r="P68" s="11" t="s">
        <v>36</v>
      </c>
      <c r="Q68" s="12">
        <v>80</v>
      </c>
      <c r="R68" s="11" t="s">
        <v>25</v>
      </c>
      <c r="S68" s="3" t="s">
        <v>26</v>
      </c>
      <c r="T68" s="38" t="s">
        <v>27</v>
      </c>
    </row>
    <row r="69" spans="1:20" ht="15.75" customHeight="1" x14ac:dyDescent="0.3">
      <c r="A69" s="39" t="str">
        <f>IF('Rates from Ireland Fedex Priort'!A68="","",'Rates from Ireland Fedex Priort'!A68)</f>
        <v>EU</v>
      </c>
      <c r="B69" s="8" t="str">
        <f>IF('Rates from Ireland Fedex Priort'!B68="","",'Rates from Ireland Fedex Priort'!B68)</f>
        <v>Ireland</v>
      </c>
      <c r="C69" s="9" t="str">
        <f>IF('Rates from Ireland Fedex Priort'!C68="","",'Rates from Ireland Fedex Priort'!C68)</f>
        <v>Estonia</v>
      </c>
      <c r="D69" s="10">
        <f>IF(ISNUMBER('Rates from Ireland Fedex Priort'!D68),_xlfn.CEILING.MATH('Rates from Ireland Fedex Priort'!D68,1)+IF($A69="EU",Variables!$B$5,Variables!$B$2),'Rates from Ireland Fedex Priort'!D68)</f>
        <v>67</v>
      </c>
      <c r="E69" s="10">
        <f>IF(ISNUMBER('Rates from Ireland Fedex Priort'!E68),_xlfn.CEILING.MATH('Rates from Ireland Fedex Priort'!E68,1)+IF($A69="EU",Variables!$B$6,Variables!$B$3),'Rates from Ireland Fedex Priort'!E68)</f>
        <v>73</v>
      </c>
      <c r="F69" s="10">
        <f>IF(ISNUMBER('Rates from Ireland Fedex Priort'!F68),_xlfn.CEILING.MATH('Rates from Ireland Fedex Priort'!F68,1)+IF($A69="EU",Variables!$B$6,Variables!$B$3),'Rates from Ireland Fedex Priort'!F68)</f>
        <v>73</v>
      </c>
      <c r="G69" s="10">
        <f>IF(ISNUMBER('Rates from Ireland Fedex Priort'!G68),_xlfn.CEILING.MATH('Rates from Ireland Fedex Priort'!G68,1)+IF($A69="EU",Variables!$B$6,Variables!$B$3),'Rates from Ireland Fedex Priort'!G68)</f>
        <v>77</v>
      </c>
      <c r="H69" s="10">
        <f>IF(ISNUMBER('Rates from Ireland Fedex Priort'!H68),_xlfn.CEILING.MATH('Rates from Ireland Fedex Priort'!H68,1)+IF($A69="EU",Variables!$B$6,Variables!$B$3),'Rates from Ireland Fedex Priort'!H68)</f>
        <v>79</v>
      </c>
      <c r="I69" s="10">
        <f>IF(ISNUMBER('Rates from Ireland Fedex Priort'!I68),_xlfn.CEILING.MATH('Rates from Ireland Fedex Priort'!I68,1)+IF($A69="EU",Variables!$B$6,Variables!$B$3),'Rates from Ireland Fedex Priort'!I68)</f>
        <v>94</v>
      </c>
      <c r="J69" s="10">
        <f>IF(ISNUMBER('Rates from Ireland Fedex Priort'!J68),_xlfn.CEILING.MATH('Rates from Ireland Fedex Priort'!J68,1)+IF($A69="EU",Variables!$B$6,Variables!$B$3),'Rates from Ireland Fedex Priort'!J68)</f>
        <v>103</v>
      </c>
      <c r="K69" s="10">
        <f>IF(ISNUMBER('Rates from Ireland Fedex Priort'!K68),_xlfn.CEILING.MATH('Rates from Ireland Fedex Priort'!K68,1)+IF($A69="EU",Variables!$B$6,Variables!$B$3),'Rates from Ireland Fedex Priort'!K68)</f>
        <v>111</v>
      </c>
      <c r="L69" s="10">
        <f>IF(ISNUMBER('Rates from Ireland Fedex Priort'!L68),_xlfn.CEILING.MATH('Rates from Ireland Fedex Priort'!L68,1)+IF($A69="EU",Variables!$B$6,Variables!$B$3),'Rates from Ireland Fedex Priort'!L68)</f>
        <v>104</v>
      </c>
      <c r="M69" s="10">
        <f>IF(ISNUMBER('Rates from Ireland Fedex Priort'!M68),_xlfn.CEILING.MATH('Rates from Ireland Fedex Priort'!M68,1)+IF($A69="EU",Variables!$B$6,Variables!$B$3),'Rates from Ireland Fedex Priort'!M68)</f>
        <v>126</v>
      </c>
      <c r="N69" s="10">
        <f>IF(ISNUMBER('Rates from Ireland Fedex Priort'!N68),_xlfn.CEILING.MATH('Rates from Ireland Fedex Priort'!N68,1)+IF($A69="EU",Variables!$B$6,Variables!$B$3),'Rates from Ireland Fedex Priort'!N68)</f>
        <v>146</v>
      </c>
      <c r="O69" s="15" t="s">
        <v>29</v>
      </c>
      <c r="P69" s="15" t="s">
        <v>69</v>
      </c>
      <c r="Q69" s="16">
        <v>80</v>
      </c>
      <c r="R69" s="15" t="s">
        <v>25</v>
      </c>
      <c r="S69" s="17" t="s">
        <v>26</v>
      </c>
      <c r="T69" s="40" t="s">
        <v>27</v>
      </c>
    </row>
    <row r="70" spans="1:20" ht="15.75" customHeight="1" x14ac:dyDescent="0.3">
      <c r="A70" s="39" t="str">
        <f>IF('Rates from Ireland Fedex Priort'!A69="","",'Rates from Ireland Fedex Priort'!A69)</f>
        <v>EU</v>
      </c>
      <c r="B70" s="8" t="str">
        <f>IF('Rates from Ireland Fedex Priort'!B69="","",'Rates from Ireland Fedex Priort'!B69)</f>
        <v>Ireland</v>
      </c>
      <c r="C70" s="9" t="str">
        <f>IF('Rates from Ireland Fedex Priort'!C69="","",'Rates from Ireland Fedex Priort'!C69)</f>
        <v>Eswatini</v>
      </c>
      <c r="D70" s="10">
        <f>IF(ISNUMBER('Rates from Ireland Fedex Priort'!D69),_xlfn.CEILING.MATH('Rates from Ireland Fedex Priort'!D69,1)+IF($A70="EU",Variables!$B$5,Variables!$B$2),'Rates from Ireland Fedex Priort'!D69)</f>
        <v>72</v>
      </c>
      <c r="E70" s="10">
        <f>IF(ISNUMBER('Rates from Ireland Fedex Priort'!E69),_xlfn.CEILING.MATH('Rates from Ireland Fedex Priort'!E69,1)+IF($A70="EU",Variables!$B$6,Variables!$B$3),'Rates from Ireland Fedex Priort'!E69)</f>
        <v>83</v>
      </c>
      <c r="F70" s="10">
        <f>IF(ISNUMBER('Rates from Ireland Fedex Priort'!F69),_xlfn.CEILING.MATH('Rates from Ireland Fedex Priort'!F69,1)+IF($A70="EU",Variables!$B$6,Variables!$B$3),'Rates from Ireland Fedex Priort'!F69)</f>
        <v>88</v>
      </c>
      <c r="G70" s="10">
        <f>IF(ISNUMBER('Rates from Ireland Fedex Priort'!G69),_xlfn.CEILING.MATH('Rates from Ireland Fedex Priort'!G69,1)+IF($A70="EU",Variables!$B$6,Variables!$B$3),'Rates from Ireland Fedex Priort'!G69)</f>
        <v>106</v>
      </c>
      <c r="H70" s="10">
        <f>IF(ISNUMBER('Rates from Ireland Fedex Priort'!H69),_xlfn.CEILING.MATH('Rates from Ireland Fedex Priort'!H69,1)+IF($A70="EU",Variables!$B$6,Variables!$B$3),'Rates from Ireland Fedex Priort'!H69)</f>
        <v>134</v>
      </c>
      <c r="I70" s="10">
        <f>IF(ISNUMBER('Rates from Ireland Fedex Priort'!I69),_xlfn.CEILING.MATH('Rates from Ireland Fedex Priort'!I69,1)+IF($A70="EU",Variables!$B$6,Variables!$B$3),'Rates from Ireland Fedex Priort'!I69)</f>
        <v>242</v>
      </c>
      <c r="J70" s="10" t="str">
        <f>IF(ISNUMBER('Rates from Ireland Fedex Priort'!J69),_xlfn.CEILING.MATH('Rates from Ireland Fedex Priort'!J69,1)+IF($A70="EU",Variables!$B$6,Variables!$B$3),'Rates from Ireland Fedex Priort'!J69)</f>
        <v>No service</v>
      </c>
      <c r="K70" s="10" t="str">
        <f>IF(ISNUMBER('Rates from Ireland Fedex Priort'!K69),_xlfn.CEILING.MATH('Rates from Ireland Fedex Priort'!K69,1)+IF($A70="EU",Variables!$B$6,Variables!$B$3),'Rates from Ireland Fedex Priort'!K69)</f>
        <v>No service</v>
      </c>
      <c r="L70" s="10" t="str">
        <f>IF(ISNUMBER('Rates from Ireland Fedex Priort'!L69),_xlfn.CEILING.MATH('Rates from Ireland Fedex Priort'!L69,1)+IF($A70="EU",Variables!$B$6,Variables!$B$3),'Rates from Ireland Fedex Priort'!L69)</f>
        <v>No service</v>
      </c>
      <c r="M70" s="10" t="str">
        <f>IF(ISNUMBER('Rates from Ireland Fedex Priort'!M69),_xlfn.CEILING.MATH('Rates from Ireland Fedex Priort'!M69,1)+IF($A70="EU",Variables!$B$6,Variables!$B$3),'Rates from Ireland Fedex Priort'!M69)</f>
        <v>No service</v>
      </c>
      <c r="N70" s="10" t="str">
        <f>IF(ISNUMBER('Rates from Ireland Fedex Priort'!N69),_xlfn.CEILING.MATH('Rates from Ireland Fedex Priort'!N69,1)+IF($A70="EU",Variables!$B$6,Variables!$B$3),'Rates from Ireland Fedex Priort'!N69)</f>
        <v>No service</v>
      </c>
      <c r="O70" s="11" t="s">
        <v>35</v>
      </c>
      <c r="P70" s="11" t="s">
        <v>36</v>
      </c>
      <c r="Q70" s="12">
        <v>80</v>
      </c>
      <c r="R70" s="11" t="s">
        <v>25</v>
      </c>
      <c r="S70" s="3" t="s">
        <v>26</v>
      </c>
      <c r="T70" s="38" t="s">
        <v>27</v>
      </c>
    </row>
    <row r="71" spans="1:20" ht="15.75" customHeight="1" x14ac:dyDescent="0.3">
      <c r="A71" s="39" t="str">
        <f>IF('Rates from Ireland Fedex Priort'!A70="","",'Rates from Ireland Fedex Priort'!A70)</f>
        <v>EU</v>
      </c>
      <c r="B71" s="8" t="str">
        <f>IF('Rates from Ireland Fedex Priort'!B70="","",'Rates from Ireland Fedex Priort'!B70)</f>
        <v>Ireland</v>
      </c>
      <c r="C71" s="9" t="str">
        <f>IF('Rates from Ireland Fedex Priort'!C70="","",'Rates from Ireland Fedex Priort'!C70)</f>
        <v>Ethiopia</v>
      </c>
      <c r="D71" s="10">
        <f>IF(ISNUMBER('Rates from Ireland Fedex Priort'!D70),_xlfn.CEILING.MATH('Rates from Ireland Fedex Priort'!D70,1)+IF($A71="EU",Variables!$B$5,Variables!$B$2),'Rates from Ireland Fedex Priort'!D70)</f>
        <v>72</v>
      </c>
      <c r="E71" s="10">
        <f>IF(ISNUMBER('Rates from Ireland Fedex Priort'!E70),_xlfn.CEILING.MATH('Rates from Ireland Fedex Priort'!E70,1)+IF($A71="EU",Variables!$B$6,Variables!$B$3),'Rates from Ireland Fedex Priort'!E70)</f>
        <v>83</v>
      </c>
      <c r="F71" s="10">
        <f>IF(ISNUMBER('Rates from Ireland Fedex Priort'!F70),_xlfn.CEILING.MATH('Rates from Ireland Fedex Priort'!F70,1)+IF($A71="EU",Variables!$B$6,Variables!$B$3),'Rates from Ireland Fedex Priort'!F70)</f>
        <v>88</v>
      </c>
      <c r="G71" s="10">
        <f>IF(ISNUMBER('Rates from Ireland Fedex Priort'!G70),_xlfn.CEILING.MATH('Rates from Ireland Fedex Priort'!G70,1)+IF($A71="EU",Variables!$B$6,Variables!$B$3),'Rates from Ireland Fedex Priort'!G70)</f>
        <v>106</v>
      </c>
      <c r="H71" s="10">
        <f>IF(ISNUMBER('Rates from Ireland Fedex Priort'!H70),_xlfn.CEILING.MATH('Rates from Ireland Fedex Priort'!H70,1)+IF($A71="EU",Variables!$B$6,Variables!$B$3),'Rates from Ireland Fedex Priort'!H70)</f>
        <v>134</v>
      </c>
      <c r="I71" s="10">
        <f>IF(ISNUMBER('Rates from Ireland Fedex Priort'!I70),_xlfn.CEILING.MATH('Rates from Ireland Fedex Priort'!I70,1)+IF($A71="EU",Variables!$B$6,Variables!$B$3),'Rates from Ireland Fedex Priort'!I70)</f>
        <v>242</v>
      </c>
      <c r="J71" s="10" t="str">
        <f>IF(ISNUMBER('Rates from Ireland Fedex Priort'!J70),_xlfn.CEILING.MATH('Rates from Ireland Fedex Priort'!J70,1)+IF($A71="EU",Variables!$B$6,Variables!$B$3),'Rates from Ireland Fedex Priort'!J70)</f>
        <v>No service</v>
      </c>
      <c r="K71" s="10" t="str">
        <f>IF(ISNUMBER('Rates from Ireland Fedex Priort'!K70),_xlfn.CEILING.MATH('Rates from Ireland Fedex Priort'!K70,1)+IF($A71="EU",Variables!$B$6,Variables!$B$3),'Rates from Ireland Fedex Priort'!K70)</f>
        <v>No service</v>
      </c>
      <c r="L71" s="10" t="str">
        <f>IF(ISNUMBER('Rates from Ireland Fedex Priort'!L70),_xlfn.CEILING.MATH('Rates from Ireland Fedex Priort'!L70,1)+IF($A71="EU",Variables!$B$6,Variables!$B$3),'Rates from Ireland Fedex Priort'!L70)</f>
        <v>No service</v>
      </c>
      <c r="M71" s="10" t="str">
        <f>IF(ISNUMBER('Rates from Ireland Fedex Priort'!M70),_xlfn.CEILING.MATH('Rates from Ireland Fedex Priort'!M70,1)+IF($A71="EU",Variables!$B$6,Variables!$B$3),'Rates from Ireland Fedex Priort'!M70)</f>
        <v>No service</v>
      </c>
      <c r="N71" s="10" t="str">
        <f>IF(ISNUMBER('Rates from Ireland Fedex Priort'!N70),_xlfn.CEILING.MATH('Rates from Ireland Fedex Priort'!N70,1)+IF($A71="EU",Variables!$B$6,Variables!$B$3),'Rates from Ireland Fedex Priort'!N70)</f>
        <v>No service</v>
      </c>
      <c r="O71" s="11" t="s">
        <v>35</v>
      </c>
      <c r="P71" s="11" t="s">
        <v>36</v>
      </c>
      <c r="Q71" s="12">
        <v>80</v>
      </c>
      <c r="R71" s="11" t="s">
        <v>25</v>
      </c>
      <c r="S71" s="3" t="s">
        <v>26</v>
      </c>
      <c r="T71" s="38" t="s">
        <v>27</v>
      </c>
    </row>
    <row r="72" spans="1:20" ht="15.75" customHeight="1" x14ac:dyDescent="0.3">
      <c r="A72" s="39" t="str">
        <f>IF('Rates from Ireland Fedex Priort'!A71="","",'Rates from Ireland Fedex Priort'!A71)</f>
        <v>EU</v>
      </c>
      <c r="B72" s="8" t="str">
        <f>IF('Rates from Ireland Fedex Priort'!B71="","",'Rates from Ireland Fedex Priort'!B71)</f>
        <v>Ireland</v>
      </c>
      <c r="C72" s="9" t="str">
        <f>IF('Rates from Ireland Fedex Priort'!C71="","",'Rates from Ireland Fedex Priort'!C71)</f>
        <v xml:space="preserve">Falkland Islands </v>
      </c>
      <c r="D72" s="10" t="str">
        <f>IF(ISNUMBER('Rates from Ireland Fedex Priort'!D71),_xlfn.CEILING.MATH('Rates from Ireland Fedex Priort'!D71,1)+IF($A72="EU",Variables!$B$5,Variables!$B$2),'Rates from Ireland Fedex Priort'!D71)</f>
        <v>No service</v>
      </c>
      <c r="E72" s="10" t="str">
        <f>IF(ISNUMBER('Rates from Ireland Fedex Priort'!E71),_xlfn.CEILING.MATH('Rates from Ireland Fedex Priort'!E71,1)+IF($A72="EU",Variables!$B$6,Variables!$B$3),'Rates from Ireland Fedex Priort'!E71)</f>
        <v>No service</v>
      </c>
      <c r="F72" s="10" t="str">
        <f>IF(ISNUMBER('Rates from Ireland Fedex Priort'!F71),_xlfn.CEILING.MATH('Rates from Ireland Fedex Priort'!F71,1)+IF($A72="EU",Variables!$B$6,Variables!$B$3),'Rates from Ireland Fedex Priort'!F71)</f>
        <v>No service</v>
      </c>
      <c r="G72" s="10" t="str">
        <f>IF(ISNUMBER('Rates from Ireland Fedex Priort'!G71),_xlfn.CEILING.MATH('Rates from Ireland Fedex Priort'!G71,1)+IF($A72="EU",Variables!$B$6,Variables!$B$3),'Rates from Ireland Fedex Priort'!G71)</f>
        <v>No service</v>
      </c>
      <c r="H72" s="10" t="str">
        <f>IF(ISNUMBER('Rates from Ireland Fedex Priort'!H71),_xlfn.CEILING.MATH('Rates from Ireland Fedex Priort'!H71,1)+IF($A72="EU",Variables!$B$6,Variables!$B$3),'Rates from Ireland Fedex Priort'!H71)</f>
        <v>No service</v>
      </c>
      <c r="I72" s="10" t="str">
        <f>IF(ISNUMBER('Rates from Ireland Fedex Priort'!I71),_xlfn.CEILING.MATH('Rates from Ireland Fedex Priort'!I71,1)+IF($A72="EU",Variables!$B$6,Variables!$B$3),'Rates from Ireland Fedex Priort'!I71)</f>
        <v>No service</v>
      </c>
      <c r="J72" s="10" t="str">
        <f>IF(ISNUMBER('Rates from Ireland Fedex Priort'!J71),_xlfn.CEILING.MATH('Rates from Ireland Fedex Priort'!J71,1)+IF($A72="EU",Variables!$B$6,Variables!$B$3),'Rates from Ireland Fedex Priort'!J71)</f>
        <v>No service</v>
      </c>
      <c r="K72" s="10" t="str">
        <f>IF(ISNUMBER('Rates from Ireland Fedex Priort'!K71),_xlfn.CEILING.MATH('Rates from Ireland Fedex Priort'!K71,1)+IF($A72="EU",Variables!$B$6,Variables!$B$3),'Rates from Ireland Fedex Priort'!K71)</f>
        <v>No service</v>
      </c>
      <c r="L72" s="10" t="str">
        <f>IF(ISNUMBER('Rates from Ireland Fedex Priort'!L71),_xlfn.CEILING.MATH('Rates from Ireland Fedex Priort'!L71,1)+IF($A72="EU",Variables!$B$6,Variables!$B$3),'Rates from Ireland Fedex Priort'!L71)</f>
        <v>No service</v>
      </c>
      <c r="M72" s="10" t="str">
        <f>IF(ISNUMBER('Rates from Ireland Fedex Priort'!M71),_xlfn.CEILING.MATH('Rates from Ireland Fedex Priort'!M71,1)+IF($A72="EU",Variables!$B$6,Variables!$B$3),'Rates from Ireland Fedex Priort'!M71)</f>
        <v>No service</v>
      </c>
      <c r="N72" s="10" t="str">
        <f>IF(ISNUMBER('Rates from Ireland Fedex Priort'!N71),_xlfn.CEILING.MATH('Rates from Ireland Fedex Priort'!N71,1)+IF($A72="EU",Variables!$B$6,Variables!$B$3),'Rates from Ireland Fedex Priort'!N71)</f>
        <v>No service</v>
      </c>
      <c r="O72" s="11"/>
      <c r="P72" s="11"/>
      <c r="Q72" s="11"/>
      <c r="R72" s="11"/>
      <c r="S72" s="3" t="s">
        <v>26</v>
      </c>
      <c r="T72" s="38" t="s">
        <v>27</v>
      </c>
    </row>
    <row r="73" spans="1:20" ht="15.75" customHeight="1" x14ac:dyDescent="0.3">
      <c r="A73" s="39" t="str">
        <f>IF('Rates from Ireland Fedex Priort'!A72="","",'Rates from Ireland Fedex Priort'!A72)</f>
        <v>EU</v>
      </c>
      <c r="B73" s="8" t="str">
        <f>IF('Rates from Ireland Fedex Priort'!B72="","",'Rates from Ireland Fedex Priort'!B72)</f>
        <v>Ireland</v>
      </c>
      <c r="C73" s="9" t="str">
        <f>IF('Rates from Ireland Fedex Priort'!C72="","",'Rates from Ireland Fedex Priort'!C72)</f>
        <v>Faroe Islands (Denmark)</v>
      </c>
      <c r="D73" s="10">
        <f>IF(ISNUMBER('Rates from Ireland Fedex Priort'!D72),_xlfn.CEILING.MATH('Rates from Ireland Fedex Priort'!D72,1)+IF($A73="EU",Variables!$B$5,Variables!$B$2),'Rates from Ireland Fedex Priort'!D72)</f>
        <v>58</v>
      </c>
      <c r="E73" s="10">
        <f>IF(ISNUMBER('Rates from Ireland Fedex Priort'!E72),_xlfn.CEILING.MATH('Rates from Ireland Fedex Priort'!E72,1)+IF($A73="EU",Variables!$B$6,Variables!$B$3),'Rates from Ireland Fedex Priort'!E72)</f>
        <v>65</v>
      </c>
      <c r="F73" s="10">
        <f>IF(ISNUMBER('Rates from Ireland Fedex Priort'!F72),_xlfn.CEILING.MATH('Rates from Ireland Fedex Priort'!F72,1)+IF($A73="EU",Variables!$B$6,Variables!$B$3),'Rates from Ireland Fedex Priort'!F72)</f>
        <v>65</v>
      </c>
      <c r="G73" s="10">
        <f>IF(ISNUMBER('Rates from Ireland Fedex Priort'!G72),_xlfn.CEILING.MATH('Rates from Ireland Fedex Priort'!G72,1)+IF($A73="EU",Variables!$B$6,Variables!$B$3),'Rates from Ireland Fedex Priort'!G72)</f>
        <v>68</v>
      </c>
      <c r="H73" s="10">
        <f>IF(ISNUMBER('Rates from Ireland Fedex Priort'!H72),_xlfn.CEILING.MATH('Rates from Ireland Fedex Priort'!H72,1)+IF($A73="EU",Variables!$B$6,Variables!$B$3),'Rates from Ireland Fedex Priort'!H72)</f>
        <v>74</v>
      </c>
      <c r="I73" s="10">
        <f>IF(ISNUMBER('Rates from Ireland Fedex Priort'!I72),_xlfn.CEILING.MATH('Rates from Ireland Fedex Priort'!I72,1)+IF($A73="EU",Variables!$B$6,Variables!$B$3),'Rates from Ireland Fedex Priort'!I72)</f>
        <v>81</v>
      </c>
      <c r="J73" s="10">
        <f>IF(ISNUMBER('Rates from Ireland Fedex Priort'!J72),_xlfn.CEILING.MATH('Rates from Ireland Fedex Priort'!J72,1)+IF($A73="EU",Variables!$B$6,Variables!$B$3),'Rates from Ireland Fedex Priort'!J72)</f>
        <v>87</v>
      </c>
      <c r="K73" s="10">
        <f>IF(ISNUMBER('Rates from Ireland Fedex Priort'!K72),_xlfn.CEILING.MATH('Rates from Ireland Fedex Priort'!K72,1)+IF($A73="EU",Variables!$B$6,Variables!$B$3),'Rates from Ireland Fedex Priort'!K72)</f>
        <v>93</v>
      </c>
      <c r="L73" s="10">
        <f>IF(ISNUMBER('Rates from Ireland Fedex Priort'!L72),_xlfn.CEILING.MATH('Rates from Ireland Fedex Priort'!L72,1)+IF($A73="EU",Variables!$B$6,Variables!$B$3),'Rates from Ireland Fedex Priort'!L72)</f>
        <v>99</v>
      </c>
      <c r="M73" s="10">
        <f>IF(ISNUMBER('Rates from Ireland Fedex Priort'!M72),_xlfn.CEILING.MATH('Rates from Ireland Fedex Priort'!M72,1)+IF($A73="EU",Variables!$B$6,Variables!$B$3),'Rates from Ireland Fedex Priort'!M72)</f>
        <v>112</v>
      </c>
      <c r="N73" s="10">
        <f>IF(ISNUMBER('Rates from Ireland Fedex Priort'!N72),_xlfn.CEILING.MATH('Rates from Ireland Fedex Priort'!N72,1)+IF($A73="EU",Variables!$B$6,Variables!$B$3),'Rates from Ireland Fedex Priort'!N72)</f>
        <v>127</v>
      </c>
      <c r="O73" s="15" t="s">
        <v>29</v>
      </c>
      <c r="P73" s="15" t="s">
        <v>33</v>
      </c>
      <c r="Q73" s="16">
        <v>80</v>
      </c>
      <c r="R73" s="15" t="s">
        <v>25</v>
      </c>
      <c r="S73" s="17" t="s">
        <v>26</v>
      </c>
      <c r="T73" s="40" t="s">
        <v>27</v>
      </c>
    </row>
    <row r="74" spans="1:20" ht="15.75" customHeight="1" x14ac:dyDescent="0.3">
      <c r="A74" s="39" t="str">
        <f>IF('Rates from Ireland Fedex Priort'!A73="","",'Rates from Ireland Fedex Priort'!A73)</f>
        <v>EU</v>
      </c>
      <c r="B74" s="8" t="str">
        <f>IF('Rates from Ireland Fedex Priort'!B73="","",'Rates from Ireland Fedex Priort'!B73)</f>
        <v>Ireland</v>
      </c>
      <c r="C74" s="9" t="str">
        <f>IF('Rates from Ireland Fedex Priort'!C73="","",'Rates from Ireland Fedex Priort'!C73)</f>
        <v>Fiji</v>
      </c>
      <c r="D74" s="10">
        <f>IF(ISNUMBER('Rates from Ireland Fedex Priort'!D73),_xlfn.CEILING.MATH('Rates from Ireland Fedex Priort'!D73,1)+IF($A74="EU",Variables!$B$5,Variables!$B$2),'Rates from Ireland Fedex Priort'!D73)</f>
        <v>72</v>
      </c>
      <c r="E74" s="10">
        <f>IF(ISNUMBER('Rates from Ireland Fedex Priort'!E73),_xlfn.CEILING.MATH('Rates from Ireland Fedex Priort'!E73,1)+IF($A74="EU",Variables!$B$6,Variables!$B$3),'Rates from Ireland Fedex Priort'!E73)</f>
        <v>83</v>
      </c>
      <c r="F74" s="10">
        <f>IF(ISNUMBER('Rates from Ireland Fedex Priort'!F73),_xlfn.CEILING.MATH('Rates from Ireland Fedex Priort'!F73,1)+IF($A74="EU",Variables!$B$6,Variables!$B$3),'Rates from Ireland Fedex Priort'!F73)</f>
        <v>88</v>
      </c>
      <c r="G74" s="10">
        <f>IF(ISNUMBER('Rates from Ireland Fedex Priort'!G73),_xlfn.CEILING.MATH('Rates from Ireland Fedex Priort'!G73,1)+IF($A74="EU",Variables!$B$6,Variables!$B$3),'Rates from Ireland Fedex Priort'!G73)</f>
        <v>106</v>
      </c>
      <c r="H74" s="10">
        <f>IF(ISNUMBER('Rates from Ireland Fedex Priort'!H73),_xlfn.CEILING.MATH('Rates from Ireland Fedex Priort'!H73,1)+IF($A74="EU",Variables!$B$6,Variables!$B$3),'Rates from Ireland Fedex Priort'!H73)</f>
        <v>134</v>
      </c>
      <c r="I74" s="10">
        <f>IF(ISNUMBER('Rates from Ireland Fedex Priort'!I73),_xlfn.CEILING.MATH('Rates from Ireland Fedex Priort'!I73,1)+IF($A74="EU",Variables!$B$6,Variables!$B$3),'Rates from Ireland Fedex Priort'!I73)</f>
        <v>242</v>
      </c>
      <c r="J74" s="10" t="str">
        <f>IF(ISNUMBER('Rates from Ireland Fedex Priort'!J73),_xlfn.CEILING.MATH('Rates from Ireland Fedex Priort'!J73,1)+IF($A74="EU",Variables!$B$6,Variables!$B$3),'Rates from Ireland Fedex Priort'!J73)</f>
        <v>No service</v>
      </c>
      <c r="K74" s="10" t="str">
        <f>IF(ISNUMBER('Rates from Ireland Fedex Priort'!K73),_xlfn.CEILING.MATH('Rates from Ireland Fedex Priort'!K73,1)+IF($A74="EU",Variables!$B$6,Variables!$B$3),'Rates from Ireland Fedex Priort'!K73)</f>
        <v>No service</v>
      </c>
      <c r="L74" s="10" t="str">
        <f>IF(ISNUMBER('Rates from Ireland Fedex Priort'!L73),_xlfn.CEILING.MATH('Rates from Ireland Fedex Priort'!L73,1)+IF($A74="EU",Variables!$B$6,Variables!$B$3),'Rates from Ireland Fedex Priort'!L73)</f>
        <v>No service</v>
      </c>
      <c r="M74" s="10" t="str">
        <f>IF(ISNUMBER('Rates from Ireland Fedex Priort'!M73),_xlfn.CEILING.MATH('Rates from Ireland Fedex Priort'!M73,1)+IF($A74="EU",Variables!$B$6,Variables!$B$3),'Rates from Ireland Fedex Priort'!M73)</f>
        <v>No service</v>
      </c>
      <c r="N74" s="10" t="str">
        <f>IF(ISNUMBER('Rates from Ireland Fedex Priort'!N73),_xlfn.CEILING.MATH('Rates from Ireland Fedex Priort'!N73,1)+IF($A74="EU",Variables!$B$6,Variables!$B$3),'Rates from Ireland Fedex Priort'!N73)</f>
        <v>No service</v>
      </c>
      <c r="O74" s="11" t="s">
        <v>35</v>
      </c>
      <c r="P74" s="11" t="s">
        <v>36</v>
      </c>
      <c r="Q74" s="12">
        <v>80</v>
      </c>
      <c r="R74" s="11" t="s">
        <v>25</v>
      </c>
      <c r="S74" s="3" t="s">
        <v>26</v>
      </c>
      <c r="T74" s="38" t="s">
        <v>27</v>
      </c>
    </row>
    <row r="75" spans="1:20" ht="15.75" customHeight="1" x14ac:dyDescent="0.3">
      <c r="A75" s="39" t="str">
        <f>IF('Rates from Ireland Fedex Priort'!A74="","",'Rates from Ireland Fedex Priort'!A74)</f>
        <v>EU</v>
      </c>
      <c r="B75" s="8" t="str">
        <f>IF('Rates from Ireland Fedex Priort'!B74="","",'Rates from Ireland Fedex Priort'!B74)</f>
        <v>Ireland</v>
      </c>
      <c r="C75" s="9" t="str">
        <f>IF('Rates from Ireland Fedex Priort'!C74="","",'Rates from Ireland Fedex Priort'!C74)</f>
        <v>Finland</v>
      </c>
      <c r="D75" s="10">
        <f>IF(ISNUMBER('Rates from Ireland Fedex Priort'!D74),_xlfn.CEILING.MATH('Rates from Ireland Fedex Priort'!D74,1)+IF($A75="EU",Variables!$B$5,Variables!$B$2),'Rates from Ireland Fedex Priort'!D74)</f>
        <v>62</v>
      </c>
      <c r="E75" s="10">
        <f>IF(ISNUMBER('Rates from Ireland Fedex Priort'!E74),_xlfn.CEILING.MATH('Rates from Ireland Fedex Priort'!E74,1)+IF($A75="EU",Variables!$B$6,Variables!$B$3),'Rates from Ireland Fedex Priort'!E74)</f>
        <v>65</v>
      </c>
      <c r="F75" s="10">
        <f>IF(ISNUMBER('Rates from Ireland Fedex Priort'!F74),_xlfn.CEILING.MATH('Rates from Ireland Fedex Priort'!F74,1)+IF($A75="EU",Variables!$B$6,Variables!$B$3),'Rates from Ireland Fedex Priort'!F74)</f>
        <v>65</v>
      </c>
      <c r="G75" s="10">
        <f>IF(ISNUMBER('Rates from Ireland Fedex Priort'!G74),_xlfn.CEILING.MATH('Rates from Ireland Fedex Priort'!G74,1)+IF($A75="EU",Variables!$B$6,Variables!$B$3),'Rates from Ireland Fedex Priort'!G74)</f>
        <v>68</v>
      </c>
      <c r="H75" s="10">
        <f>IF(ISNUMBER('Rates from Ireland Fedex Priort'!H74),_xlfn.CEILING.MATH('Rates from Ireland Fedex Priort'!H74,1)+IF($A75="EU",Variables!$B$6,Variables!$B$3),'Rates from Ireland Fedex Priort'!H74)</f>
        <v>74</v>
      </c>
      <c r="I75" s="10">
        <f>IF(ISNUMBER('Rates from Ireland Fedex Priort'!I74),_xlfn.CEILING.MATH('Rates from Ireland Fedex Priort'!I74,1)+IF($A75="EU",Variables!$B$6,Variables!$B$3),'Rates from Ireland Fedex Priort'!I74)</f>
        <v>81</v>
      </c>
      <c r="J75" s="10">
        <f>IF(ISNUMBER('Rates from Ireland Fedex Priort'!J74),_xlfn.CEILING.MATH('Rates from Ireland Fedex Priort'!J74,1)+IF($A75="EU",Variables!$B$6,Variables!$B$3),'Rates from Ireland Fedex Priort'!J74)</f>
        <v>87</v>
      </c>
      <c r="K75" s="10">
        <f>IF(ISNUMBER('Rates from Ireland Fedex Priort'!K74),_xlfn.CEILING.MATH('Rates from Ireland Fedex Priort'!K74,1)+IF($A75="EU",Variables!$B$6,Variables!$B$3),'Rates from Ireland Fedex Priort'!K74)</f>
        <v>93</v>
      </c>
      <c r="L75" s="10">
        <f>IF(ISNUMBER('Rates from Ireland Fedex Priort'!L74),_xlfn.CEILING.MATH('Rates from Ireland Fedex Priort'!L74,1)+IF($A75="EU",Variables!$B$6,Variables!$B$3),'Rates from Ireland Fedex Priort'!L74)</f>
        <v>99</v>
      </c>
      <c r="M75" s="10">
        <f>IF(ISNUMBER('Rates from Ireland Fedex Priort'!M74),_xlfn.CEILING.MATH('Rates from Ireland Fedex Priort'!M74,1)+IF($A75="EU",Variables!$B$6,Variables!$B$3),'Rates from Ireland Fedex Priort'!M74)</f>
        <v>112</v>
      </c>
      <c r="N75" s="10">
        <f>IF(ISNUMBER('Rates from Ireland Fedex Priort'!N74),_xlfn.CEILING.MATH('Rates from Ireland Fedex Priort'!N74,1)+IF($A75="EU",Variables!$B$6,Variables!$B$3),'Rates from Ireland Fedex Priort'!N74)</f>
        <v>127</v>
      </c>
      <c r="O75" s="15" t="s">
        <v>29</v>
      </c>
      <c r="P75" s="15" t="s">
        <v>33</v>
      </c>
      <c r="Q75" s="16">
        <v>80</v>
      </c>
      <c r="R75" s="15" t="s">
        <v>25</v>
      </c>
      <c r="S75" s="17" t="s">
        <v>26</v>
      </c>
      <c r="T75" s="40" t="s">
        <v>27</v>
      </c>
    </row>
    <row r="76" spans="1:20" ht="15.75" customHeight="1" x14ac:dyDescent="0.3">
      <c r="A76" s="39" t="str">
        <f>IF('Rates from Ireland Fedex Priort'!A75="","",'Rates from Ireland Fedex Priort'!A75)</f>
        <v>EU</v>
      </c>
      <c r="B76" s="8" t="str">
        <f>IF('Rates from Ireland Fedex Priort'!B75="","",'Rates from Ireland Fedex Priort'!B75)</f>
        <v>Ireland</v>
      </c>
      <c r="C76" s="9" t="str">
        <f>IF('Rates from Ireland Fedex Priort'!C75="","",'Rates from Ireland Fedex Priort'!C75)</f>
        <v>France</v>
      </c>
      <c r="D76" s="10">
        <f>IF(ISNUMBER('Rates from Ireland Fedex Priort'!D75),_xlfn.CEILING.MATH('Rates from Ireland Fedex Priort'!D75,1)+IF($A76="EU",Variables!$B$5,Variables!$B$2),'Rates from Ireland Fedex Priort'!D75)</f>
        <v>62</v>
      </c>
      <c r="E76" s="10">
        <f>IF(ISNUMBER('Rates from Ireland Fedex Priort'!E75),_xlfn.CEILING.MATH('Rates from Ireland Fedex Priort'!E75,1)+IF($A76="EU",Variables!$B$6,Variables!$B$3),'Rates from Ireland Fedex Priort'!E75)</f>
        <v>64</v>
      </c>
      <c r="F76" s="10">
        <f>IF(ISNUMBER('Rates from Ireland Fedex Priort'!F75),_xlfn.CEILING.MATH('Rates from Ireland Fedex Priort'!F75,1)+IF($A76="EU",Variables!$B$6,Variables!$B$3),'Rates from Ireland Fedex Priort'!F75)</f>
        <v>67</v>
      </c>
      <c r="G76" s="10">
        <f>IF(ISNUMBER('Rates from Ireland Fedex Priort'!G75),_xlfn.CEILING.MATH('Rates from Ireland Fedex Priort'!G75,1)+IF($A76="EU",Variables!$B$6,Variables!$B$3),'Rates from Ireland Fedex Priort'!G75)</f>
        <v>69</v>
      </c>
      <c r="H76" s="10">
        <f>IF(ISNUMBER('Rates from Ireland Fedex Priort'!H75),_xlfn.CEILING.MATH('Rates from Ireland Fedex Priort'!H75,1)+IF($A76="EU",Variables!$B$6,Variables!$B$3),'Rates from Ireland Fedex Priort'!H75)</f>
        <v>72</v>
      </c>
      <c r="I76" s="10">
        <f>IF(ISNUMBER('Rates from Ireland Fedex Priort'!I75),_xlfn.CEILING.MATH('Rates from Ireland Fedex Priort'!I75,1)+IF($A76="EU",Variables!$B$6,Variables!$B$3),'Rates from Ireland Fedex Priort'!I75)</f>
        <v>77</v>
      </c>
      <c r="J76" s="10">
        <f>IF(ISNUMBER('Rates from Ireland Fedex Priort'!J75),_xlfn.CEILING.MATH('Rates from Ireland Fedex Priort'!J75,1)+IF($A76="EU",Variables!$B$6,Variables!$B$3),'Rates from Ireland Fedex Priort'!J75)</f>
        <v>85</v>
      </c>
      <c r="K76" s="10">
        <f>IF(ISNUMBER('Rates from Ireland Fedex Priort'!K75),_xlfn.CEILING.MATH('Rates from Ireland Fedex Priort'!K75,1)+IF($A76="EU",Variables!$B$6,Variables!$B$3),'Rates from Ireland Fedex Priort'!K75)</f>
        <v>92</v>
      </c>
      <c r="L76" s="10">
        <f>IF(ISNUMBER('Rates from Ireland Fedex Priort'!L75),_xlfn.CEILING.MATH('Rates from Ireland Fedex Priort'!L75,1)+IF($A76="EU",Variables!$B$6,Variables!$B$3),'Rates from Ireland Fedex Priort'!L75)</f>
        <v>119</v>
      </c>
      <c r="M76" s="10">
        <f>IF(ISNUMBER('Rates from Ireland Fedex Priort'!M75),_xlfn.CEILING.MATH('Rates from Ireland Fedex Priort'!M75,1)+IF($A76="EU",Variables!$B$6,Variables!$B$3),'Rates from Ireland Fedex Priort'!M75)</f>
        <v>127</v>
      </c>
      <c r="N76" s="10">
        <f>IF(ISNUMBER('Rates from Ireland Fedex Priort'!N75),_xlfn.CEILING.MATH('Rates from Ireland Fedex Priort'!N75,1)+IF($A76="EU",Variables!$B$6,Variables!$B$3),'Rates from Ireland Fedex Priort'!N75)</f>
        <v>132</v>
      </c>
      <c r="O76" s="15" t="s">
        <v>29</v>
      </c>
      <c r="P76" s="15" t="s">
        <v>33</v>
      </c>
      <c r="Q76" s="16">
        <v>80</v>
      </c>
      <c r="R76" s="15" t="s">
        <v>25</v>
      </c>
      <c r="S76" s="17" t="s">
        <v>26</v>
      </c>
      <c r="T76" s="40" t="s">
        <v>27</v>
      </c>
    </row>
    <row r="77" spans="1:20" ht="15.75" customHeight="1" x14ac:dyDescent="0.3">
      <c r="A77" s="39" t="str">
        <f>IF('Rates from Ireland Fedex Priort'!A76="","",'Rates from Ireland Fedex Priort'!A76)</f>
        <v>EU</v>
      </c>
      <c r="B77" s="8" t="str">
        <f>IF('Rates from Ireland Fedex Priort'!B76="","",'Rates from Ireland Fedex Priort'!B76)</f>
        <v>Ireland</v>
      </c>
      <c r="C77" s="9" t="str">
        <f>IF('Rates from Ireland Fedex Priort'!C76="","",'Rates from Ireland Fedex Priort'!C76)</f>
        <v>French Guiana (France)</v>
      </c>
      <c r="D77" s="10">
        <f>IF(ISNUMBER('Rates from Ireland Fedex Priort'!D76),_xlfn.CEILING.MATH('Rates from Ireland Fedex Priort'!D76,1)+IF($A77="EU",Variables!$B$5,Variables!$B$2),'Rates from Ireland Fedex Priort'!D76)</f>
        <v>68</v>
      </c>
      <c r="E77" s="10">
        <f>IF(ISNUMBER('Rates from Ireland Fedex Priort'!E76),_xlfn.CEILING.MATH('Rates from Ireland Fedex Priort'!E76,1)+IF($A77="EU",Variables!$B$6,Variables!$B$3),'Rates from Ireland Fedex Priort'!E76)</f>
        <v>77</v>
      </c>
      <c r="F77" s="10">
        <f>IF(ISNUMBER('Rates from Ireland Fedex Priort'!F76),_xlfn.CEILING.MATH('Rates from Ireland Fedex Priort'!F76,1)+IF($A77="EU",Variables!$B$6,Variables!$B$3),'Rates from Ireland Fedex Priort'!F76)</f>
        <v>81</v>
      </c>
      <c r="G77" s="10">
        <f>IF(ISNUMBER('Rates from Ireland Fedex Priort'!G76),_xlfn.CEILING.MATH('Rates from Ireland Fedex Priort'!G76,1)+IF($A77="EU",Variables!$B$6,Variables!$B$3),'Rates from Ireland Fedex Priort'!G76)</f>
        <v>96</v>
      </c>
      <c r="H77" s="10">
        <f>IF(ISNUMBER('Rates from Ireland Fedex Priort'!H76),_xlfn.CEILING.MATH('Rates from Ireland Fedex Priort'!H76,1)+IF($A77="EU",Variables!$B$6,Variables!$B$3),'Rates from Ireland Fedex Priort'!H76)</f>
        <v>117</v>
      </c>
      <c r="I77" s="10">
        <f>IF(ISNUMBER('Rates from Ireland Fedex Priort'!I76),_xlfn.CEILING.MATH('Rates from Ireland Fedex Priort'!I76,1)+IF($A77="EU",Variables!$B$6,Variables!$B$3),'Rates from Ireland Fedex Priort'!I76)</f>
        <v>219</v>
      </c>
      <c r="J77" s="10" t="str">
        <f>IF(ISNUMBER('Rates from Ireland Fedex Priort'!J76),_xlfn.CEILING.MATH('Rates from Ireland Fedex Priort'!J76,1)+IF($A77="EU",Variables!$B$6,Variables!$B$3),'Rates from Ireland Fedex Priort'!J76)</f>
        <v>No service</v>
      </c>
      <c r="K77" s="10" t="str">
        <f>IF(ISNUMBER('Rates from Ireland Fedex Priort'!K76),_xlfn.CEILING.MATH('Rates from Ireland Fedex Priort'!K76,1)+IF($A77="EU",Variables!$B$6,Variables!$B$3),'Rates from Ireland Fedex Priort'!K76)</f>
        <v>No service</v>
      </c>
      <c r="L77" s="10" t="str">
        <f>IF(ISNUMBER('Rates from Ireland Fedex Priort'!L76),_xlfn.CEILING.MATH('Rates from Ireland Fedex Priort'!L76,1)+IF($A77="EU",Variables!$B$6,Variables!$B$3),'Rates from Ireland Fedex Priort'!L76)</f>
        <v>No service</v>
      </c>
      <c r="M77" s="10" t="str">
        <f>IF(ISNUMBER('Rates from Ireland Fedex Priort'!M76),_xlfn.CEILING.MATH('Rates from Ireland Fedex Priort'!M76,1)+IF($A77="EU",Variables!$B$6,Variables!$B$3),'Rates from Ireland Fedex Priort'!M76)</f>
        <v>No service</v>
      </c>
      <c r="N77" s="10" t="str">
        <f>IF(ISNUMBER('Rates from Ireland Fedex Priort'!N76),_xlfn.CEILING.MATH('Rates from Ireland Fedex Priort'!N76,1)+IF($A77="EU",Variables!$B$6,Variables!$B$3),'Rates from Ireland Fedex Priort'!N76)</f>
        <v>No service</v>
      </c>
      <c r="O77" s="11" t="s">
        <v>41</v>
      </c>
      <c r="P77" s="11" t="s">
        <v>23</v>
      </c>
      <c r="Q77" s="12">
        <v>80</v>
      </c>
      <c r="R77" s="11" t="s">
        <v>25</v>
      </c>
      <c r="S77" s="3" t="s">
        <v>26</v>
      </c>
      <c r="T77" s="38" t="s">
        <v>27</v>
      </c>
    </row>
    <row r="78" spans="1:20" ht="15.75" customHeight="1" x14ac:dyDescent="0.3">
      <c r="A78" s="39" t="str">
        <f>IF('Rates from Ireland Fedex Priort'!A77="","",'Rates from Ireland Fedex Priort'!A77)</f>
        <v>EU</v>
      </c>
      <c r="B78" s="8" t="str">
        <f>IF('Rates from Ireland Fedex Priort'!B77="","",'Rates from Ireland Fedex Priort'!B77)</f>
        <v>Ireland</v>
      </c>
      <c r="C78" s="9" t="str">
        <f>IF('Rates from Ireland Fedex Priort'!C77="","",'Rates from Ireland Fedex Priort'!C77)</f>
        <v>French Polynesia (France)</v>
      </c>
      <c r="D78" s="10">
        <f>IF(ISNUMBER('Rates from Ireland Fedex Priort'!D77),_xlfn.CEILING.MATH('Rates from Ireland Fedex Priort'!D77,1)+IF($A78="EU",Variables!$B$5,Variables!$B$2),'Rates from Ireland Fedex Priort'!D77)</f>
        <v>68</v>
      </c>
      <c r="E78" s="10">
        <f>IF(ISNUMBER('Rates from Ireland Fedex Priort'!E77),_xlfn.CEILING.MATH('Rates from Ireland Fedex Priort'!E77,1)+IF($A78="EU",Variables!$B$6,Variables!$B$3),'Rates from Ireland Fedex Priort'!E77)</f>
        <v>77</v>
      </c>
      <c r="F78" s="10">
        <f>IF(ISNUMBER('Rates from Ireland Fedex Priort'!F77),_xlfn.CEILING.MATH('Rates from Ireland Fedex Priort'!F77,1)+IF($A78="EU",Variables!$B$6,Variables!$B$3),'Rates from Ireland Fedex Priort'!F77)</f>
        <v>81</v>
      </c>
      <c r="G78" s="10">
        <f>IF(ISNUMBER('Rates from Ireland Fedex Priort'!G77),_xlfn.CEILING.MATH('Rates from Ireland Fedex Priort'!G77,1)+IF($A78="EU",Variables!$B$6,Variables!$B$3),'Rates from Ireland Fedex Priort'!G77)</f>
        <v>96</v>
      </c>
      <c r="H78" s="10">
        <f>IF(ISNUMBER('Rates from Ireland Fedex Priort'!H77),_xlfn.CEILING.MATH('Rates from Ireland Fedex Priort'!H77,1)+IF($A78="EU",Variables!$B$6,Variables!$B$3),'Rates from Ireland Fedex Priort'!H77)</f>
        <v>117</v>
      </c>
      <c r="I78" s="10">
        <f>IF(ISNUMBER('Rates from Ireland Fedex Priort'!I77),_xlfn.CEILING.MATH('Rates from Ireland Fedex Priort'!I77,1)+IF($A78="EU",Variables!$B$6,Variables!$B$3),'Rates from Ireland Fedex Priort'!I77)</f>
        <v>219</v>
      </c>
      <c r="J78" s="10" t="str">
        <f>IF(ISNUMBER('Rates from Ireland Fedex Priort'!J77),_xlfn.CEILING.MATH('Rates from Ireland Fedex Priort'!J77,1)+IF($A78="EU",Variables!$B$6,Variables!$B$3),'Rates from Ireland Fedex Priort'!J77)</f>
        <v>No service</v>
      </c>
      <c r="K78" s="10" t="str">
        <f>IF(ISNUMBER('Rates from Ireland Fedex Priort'!K77),_xlfn.CEILING.MATH('Rates from Ireland Fedex Priort'!K77,1)+IF($A78="EU",Variables!$B$6,Variables!$B$3),'Rates from Ireland Fedex Priort'!K77)</f>
        <v>No service</v>
      </c>
      <c r="L78" s="10" t="str">
        <f>IF(ISNUMBER('Rates from Ireland Fedex Priort'!L77),_xlfn.CEILING.MATH('Rates from Ireland Fedex Priort'!L77,1)+IF($A78="EU",Variables!$B$6,Variables!$B$3),'Rates from Ireland Fedex Priort'!L77)</f>
        <v>No service</v>
      </c>
      <c r="M78" s="10" t="str">
        <f>IF(ISNUMBER('Rates from Ireland Fedex Priort'!M77),_xlfn.CEILING.MATH('Rates from Ireland Fedex Priort'!M77,1)+IF($A78="EU",Variables!$B$6,Variables!$B$3),'Rates from Ireland Fedex Priort'!M77)</f>
        <v>No service</v>
      </c>
      <c r="N78" s="10" t="str">
        <f>IF(ISNUMBER('Rates from Ireland Fedex Priort'!N77),_xlfn.CEILING.MATH('Rates from Ireland Fedex Priort'!N77,1)+IF($A78="EU",Variables!$B$6,Variables!$B$3),'Rates from Ireland Fedex Priort'!N77)</f>
        <v>No service</v>
      </c>
      <c r="O78" s="11" t="s">
        <v>41</v>
      </c>
      <c r="P78" s="11" t="s">
        <v>23</v>
      </c>
      <c r="Q78" s="12">
        <v>80</v>
      </c>
      <c r="R78" s="11" t="s">
        <v>25</v>
      </c>
      <c r="S78" s="3" t="s">
        <v>26</v>
      </c>
      <c r="T78" s="38" t="s">
        <v>27</v>
      </c>
    </row>
    <row r="79" spans="1:20" ht="15.75" customHeight="1" x14ac:dyDescent="0.3">
      <c r="A79" s="39" t="str">
        <f>IF('Rates from Ireland Fedex Priort'!A78="","",'Rates from Ireland Fedex Priort'!A78)</f>
        <v>EU</v>
      </c>
      <c r="B79" s="8" t="str">
        <f>IF('Rates from Ireland Fedex Priort'!B78="","",'Rates from Ireland Fedex Priort'!B78)</f>
        <v>Ireland</v>
      </c>
      <c r="C79" s="9" t="str">
        <f>IF('Rates from Ireland Fedex Priort'!C78="","",'Rates from Ireland Fedex Priort'!C78)</f>
        <v>Gabon</v>
      </c>
      <c r="D79" s="10">
        <f>IF(ISNUMBER('Rates from Ireland Fedex Priort'!D78),_xlfn.CEILING.MATH('Rates from Ireland Fedex Priort'!D78,1)+IF($A79="EU",Variables!$B$5,Variables!$B$2),'Rates from Ireland Fedex Priort'!D78)</f>
        <v>72</v>
      </c>
      <c r="E79" s="10">
        <f>IF(ISNUMBER('Rates from Ireland Fedex Priort'!E78),_xlfn.CEILING.MATH('Rates from Ireland Fedex Priort'!E78,1)+IF($A79="EU",Variables!$B$6,Variables!$B$3),'Rates from Ireland Fedex Priort'!E78)</f>
        <v>83</v>
      </c>
      <c r="F79" s="10">
        <f>IF(ISNUMBER('Rates from Ireland Fedex Priort'!F78),_xlfn.CEILING.MATH('Rates from Ireland Fedex Priort'!F78,1)+IF($A79="EU",Variables!$B$6,Variables!$B$3),'Rates from Ireland Fedex Priort'!F78)</f>
        <v>88</v>
      </c>
      <c r="G79" s="10">
        <f>IF(ISNUMBER('Rates from Ireland Fedex Priort'!G78),_xlfn.CEILING.MATH('Rates from Ireland Fedex Priort'!G78,1)+IF($A79="EU",Variables!$B$6,Variables!$B$3),'Rates from Ireland Fedex Priort'!G78)</f>
        <v>106</v>
      </c>
      <c r="H79" s="10">
        <f>IF(ISNUMBER('Rates from Ireland Fedex Priort'!H78),_xlfn.CEILING.MATH('Rates from Ireland Fedex Priort'!H78,1)+IF($A79="EU",Variables!$B$6,Variables!$B$3),'Rates from Ireland Fedex Priort'!H78)</f>
        <v>134</v>
      </c>
      <c r="I79" s="10">
        <f>IF(ISNUMBER('Rates from Ireland Fedex Priort'!I78),_xlfn.CEILING.MATH('Rates from Ireland Fedex Priort'!I78,1)+IF($A79="EU",Variables!$B$6,Variables!$B$3),'Rates from Ireland Fedex Priort'!I78)</f>
        <v>242</v>
      </c>
      <c r="J79" s="10" t="str">
        <f>IF(ISNUMBER('Rates from Ireland Fedex Priort'!J78),_xlfn.CEILING.MATH('Rates from Ireland Fedex Priort'!J78,1)+IF($A79="EU",Variables!$B$6,Variables!$B$3),'Rates from Ireland Fedex Priort'!J78)</f>
        <v>No service</v>
      </c>
      <c r="K79" s="10" t="str">
        <f>IF(ISNUMBER('Rates from Ireland Fedex Priort'!K78),_xlfn.CEILING.MATH('Rates from Ireland Fedex Priort'!K78,1)+IF($A79="EU",Variables!$B$6,Variables!$B$3),'Rates from Ireland Fedex Priort'!K78)</f>
        <v>No service</v>
      </c>
      <c r="L79" s="10" t="str">
        <f>IF(ISNUMBER('Rates from Ireland Fedex Priort'!L78),_xlfn.CEILING.MATH('Rates from Ireland Fedex Priort'!L78,1)+IF($A79="EU",Variables!$B$6,Variables!$B$3),'Rates from Ireland Fedex Priort'!L78)</f>
        <v>No service</v>
      </c>
      <c r="M79" s="10" t="str">
        <f>IF(ISNUMBER('Rates from Ireland Fedex Priort'!M78),_xlfn.CEILING.MATH('Rates from Ireland Fedex Priort'!M78,1)+IF($A79="EU",Variables!$B$6,Variables!$B$3),'Rates from Ireland Fedex Priort'!M78)</f>
        <v>No service</v>
      </c>
      <c r="N79" s="10" t="str">
        <f>IF(ISNUMBER('Rates from Ireland Fedex Priort'!N78),_xlfn.CEILING.MATH('Rates from Ireland Fedex Priort'!N78,1)+IF($A79="EU",Variables!$B$6,Variables!$B$3),'Rates from Ireland Fedex Priort'!N78)</f>
        <v>No service</v>
      </c>
      <c r="O79" s="11" t="s">
        <v>35</v>
      </c>
      <c r="P79" s="11" t="s">
        <v>36</v>
      </c>
      <c r="Q79" s="12">
        <v>80</v>
      </c>
      <c r="R79" s="11" t="s">
        <v>25</v>
      </c>
      <c r="S79" s="3" t="s">
        <v>26</v>
      </c>
      <c r="T79" s="38" t="s">
        <v>27</v>
      </c>
    </row>
    <row r="80" spans="1:20" ht="15.75" customHeight="1" x14ac:dyDescent="0.3">
      <c r="A80" s="39" t="str">
        <f>IF('Rates from Ireland Fedex Priort'!A79="","",'Rates from Ireland Fedex Priort'!A79)</f>
        <v>EU</v>
      </c>
      <c r="B80" s="8" t="str">
        <f>IF('Rates from Ireland Fedex Priort'!B79="","",'Rates from Ireland Fedex Priort'!B79)</f>
        <v>Ireland</v>
      </c>
      <c r="C80" s="9" t="str">
        <f>IF('Rates from Ireland Fedex Priort'!C79="","",'Rates from Ireland Fedex Priort'!C79)</f>
        <v>Gambia</v>
      </c>
      <c r="D80" s="10">
        <f>IF(ISNUMBER('Rates from Ireland Fedex Priort'!D79),_xlfn.CEILING.MATH('Rates from Ireland Fedex Priort'!D79,1)+IF($A80="EU",Variables!$B$5,Variables!$B$2),'Rates from Ireland Fedex Priort'!D79)</f>
        <v>72</v>
      </c>
      <c r="E80" s="10">
        <f>IF(ISNUMBER('Rates from Ireland Fedex Priort'!E79),_xlfn.CEILING.MATH('Rates from Ireland Fedex Priort'!E79,1)+IF($A80="EU",Variables!$B$6,Variables!$B$3),'Rates from Ireland Fedex Priort'!E79)</f>
        <v>83</v>
      </c>
      <c r="F80" s="10">
        <f>IF(ISNUMBER('Rates from Ireland Fedex Priort'!F79),_xlfn.CEILING.MATH('Rates from Ireland Fedex Priort'!F79,1)+IF($A80="EU",Variables!$B$6,Variables!$B$3),'Rates from Ireland Fedex Priort'!F79)</f>
        <v>88</v>
      </c>
      <c r="G80" s="10">
        <f>IF(ISNUMBER('Rates from Ireland Fedex Priort'!G79),_xlfn.CEILING.MATH('Rates from Ireland Fedex Priort'!G79,1)+IF($A80="EU",Variables!$B$6,Variables!$B$3),'Rates from Ireland Fedex Priort'!G79)</f>
        <v>106</v>
      </c>
      <c r="H80" s="10">
        <f>IF(ISNUMBER('Rates from Ireland Fedex Priort'!H79),_xlfn.CEILING.MATH('Rates from Ireland Fedex Priort'!H79,1)+IF($A80="EU",Variables!$B$6,Variables!$B$3),'Rates from Ireland Fedex Priort'!H79)</f>
        <v>134</v>
      </c>
      <c r="I80" s="10">
        <f>IF(ISNUMBER('Rates from Ireland Fedex Priort'!I79),_xlfn.CEILING.MATH('Rates from Ireland Fedex Priort'!I79,1)+IF($A80="EU",Variables!$B$6,Variables!$B$3),'Rates from Ireland Fedex Priort'!I79)</f>
        <v>242</v>
      </c>
      <c r="J80" s="10" t="str">
        <f>IF(ISNUMBER('Rates from Ireland Fedex Priort'!J79),_xlfn.CEILING.MATH('Rates from Ireland Fedex Priort'!J79,1)+IF($A80="EU",Variables!$B$6,Variables!$B$3),'Rates from Ireland Fedex Priort'!J79)</f>
        <v>No service</v>
      </c>
      <c r="K80" s="10" t="str">
        <f>IF(ISNUMBER('Rates from Ireland Fedex Priort'!K79),_xlfn.CEILING.MATH('Rates from Ireland Fedex Priort'!K79,1)+IF($A80="EU",Variables!$B$6,Variables!$B$3),'Rates from Ireland Fedex Priort'!K79)</f>
        <v>No service</v>
      </c>
      <c r="L80" s="10" t="str">
        <f>IF(ISNUMBER('Rates from Ireland Fedex Priort'!L79),_xlfn.CEILING.MATH('Rates from Ireland Fedex Priort'!L79,1)+IF($A80="EU",Variables!$B$6,Variables!$B$3),'Rates from Ireland Fedex Priort'!L79)</f>
        <v>No service</v>
      </c>
      <c r="M80" s="10" t="str">
        <f>IF(ISNUMBER('Rates from Ireland Fedex Priort'!M79),_xlfn.CEILING.MATH('Rates from Ireland Fedex Priort'!M79,1)+IF($A80="EU",Variables!$B$6,Variables!$B$3),'Rates from Ireland Fedex Priort'!M79)</f>
        <v>No service</v>
      </c>
      <c r="N80" s="10" t="str">
        <f>IF(ISNUMBER('Rates from Ireland Fedex Priort'!N79),_xlfn.CEILING.MATH('Rates from Ireland Fedex Priort'!N79,1)+IF($A80="EU",Variables!$B$6,Variables!$B$3),'Rates from Ireland Fedex Priort'!N79)</f>
        <v>No service</v>
      </c>
      <c r="O80" s="11" t="s">
        <v>24</v>
      </c>
      <c r="P80" s="11" t="s">
        <v>69</v>
      </c>
      <c r="Q80" s="12">
        <v>80</v>
      </c>
      <c r="R80" s="11" t="s">
        <v>25</v>
      </c>
      <c r="S80" s="3" t="s">
        <v>26</v>
      </c>
      <c r="T80" s="38" t="s">
        <v>27</v>
      </c>
    </row>
    <row r="81" spans="1:20" ht="15.75" customHeight="1" x14ac:dyDescent="0.3">
      <c r="A81" s="39" t="str">
        <f>IF('Rates from Ireland Fedex Priort'!A80="","",'Rates from Ireland Fedex Priort'!A80)</f>
        <v>EU</v>
      </c>
      <c r="B81" s="8" t="str">
        <f>IF('Rates from Ireland Fedex Priort'!B80="","",'Rates from Ireland Fedex Priort'!B80)</f>
        <v>Ireland</v>
      </c>
      <c r="C81" s="9" t="str">
        <f>IF('Rates from Ireland Fedex Priort'!C80="","",'Rates from Ireland Fedex Priort'!C80)</f>
        <v>Georgia</v>
      </c>
      <c r="D81" s="10">
        <f>IF(ISNUMBER('Rates from Ireland Fedex Priort'!D80),_xlfn.CEILING.MATH('Rates from Ireland Fedex Priort'!D80,1)+IF($A81="EU",Variables!$B$5,Variables!$B$2),'Rates from Ireland Fedex Priort'!D80)</f>
        <v>62</v>
      </c>
      <c r="E81" s="10">
        <f>IF(ISNUMBER('Rates from Ireland Fedex Priort'!E80),_xlfn.CEILING.MATH('Rates from Ireland Fedex Priort'!E80,1)+IF($A81="EU",Variables!$B$6,Variables!$B$3),'Rates from Ireland Fedex Priort'!E80)</f>
        <v>69</v>
      </c>
      <c r="F81" s="10">
        <f>IF(ISNUMBER('Rates from Ireland Fedex Priort'!F80),_xlfn.CEILING.MATH('Rates from Ireland Fedex Priort'!F80,1)+IF($A81="EU",Variables!$B$6,Variables!$B$3),'Rates from Ireland Fedex Priort'!F80)</f>
        <v>72</v>
      </c>
      <c r="G81" s="10">
        <f>IF(ISNUMBER('Rates from Ireland Fedex Priort'!G80),_xlfn.CEILING.MATH('Rates from Ireland Fedex Priort'!G80,1)+IF($A81="EU",Variables!$B$6,Variables!$B$3),'Rates from Ireland Fedex Priort'!G80)</f>
        <v>86</v>
      </c>
      <c r="H81" s="10">
        <f>IF(ISNUMBER('Rates from Ireland Fedex Priort'!H80),_xlfn.CEILING.MATH('Rates from Ireland Fedex Priort'!H80,1)+IF($A81="EU",Variables!$B$6,Variables!$B$3),'Rates from Ireland Fedex Priort'!H80)</f>
        <v>111</v>
      </c>
      <c r="I81" s="10">
        <f>IF(ISNUMBER('Rates from Ireland Fedex Priort'!I80),_xlfn.CEILING.MATH('Rates from Ireland Fedex Priort'!I80,1)+IF($A81="EU",Variables!$B$6,Variables!$B$3),'Rates from Ireland Fedex Priort'!I80)</f>
        <v>174</v>
      </c>
      <c r="J81" s="10" t="str">
        <f>IF(ISNUMBER('Rates from Ireland Fedex Priort'!J80),_xlfn.CEILING.MATH('Rates from Ireland Fedex Priort'!J80,1)+IF($A81="EU",Variables!$B$6,Variables!$B$3),'Rates from Ireland Fedex Priort'!J80)</f>
        <v>No service</v>
      </c>
      <c r="K81" s="10" t="str">
        <f>IF(ISNUMBER('Rates from Ireland Fedex Priort'!K80),_xlfn.CEILING.MATH('Rates from Ireland Fedex Priort'!K80,1)+IF($A81="EU",Variables!$B$6,Variables!$B$3),'Rates from Ireland Fedex Priort'!K80)</f>
        <v>No service</v>
      </c>
      <c r="L81" s="10" t="str">
        <f>IF(ISNUMBER('Rates from Ireland Fedex Priort'!L80),_xlfn.CEILING.MATH('Rates from Ireland Fedex Priort'!L80,1)+IF($A81="EU",Variables!$B$6,Variables!$B$3),'Rates from Ireland Fedex Priort'!L80)</f>
        <v>No service</v>
      </c>
      <c r="M81" s="10" t="str">
        <f>IF(ISNUMBER('Rates from Ireland Fedex Priort'!M80),_xlfn.CEILING.MATH('Rates from Ireland Fedex Priort'!M80,1)+IF($A81="EU",Variables!$B$6,Variables!$B$3),'Rates from Ireland Fedex Priort'!M80)</f>
        <v>No service</v>
      </c>
      <c r="N81" s="10" t="str">
        <f>IF(ISNUMBER('Rates from Ireland Fedex Priort'!N80),_xlfn.CEILING.MATH('Rates from Ireland Fedex Priort'!N80,1)+IF($A81="EU",Variables!$B$6,Variables!$B$3),'Rates from Ireland Fedex Priort'!N80)</f>
        <v>No service</v>
      </c>
      <c r="O81" s="11" t="s">
        <v>29</v>
      </c>
      <c r="P81" s="11" t="s">
        <v>30</v>
      </c>
      <c r="Q81" s="12">
        <v>80</v>
      </c>
      <c r="R81" s="11" t="s">
        <v>25</v>
      </c>
      <c r="S81" s="3" t="s">
        <v>26</v>
      </c>
      <c r="T81" s="38" t="s">
        <v>27</v>
      </c>
    </row>
    <row r="82" spans="1:20" ht="15.75" customHeight="1" x14ac:dyDescent="0.3">
      <c r="A82" s="39" t="str">
        <f>IF('Rates from Ireland Fedex Priort'!A81="","",'Rates from Ireland Fedex Priort'!A81)</f>
        <v>EU</v>
      </c>
      <c r="B82" s="8" t="str">
        <f>IF('Rates from Ireland Fedex Priort'!B81="","",'Rates from Ireland Fedex Priort'!B81)</f>
        <v>Ireland</v>
      </c>
      <c r="C82" s="9" t="str">
        <f>IF('Rates from Ireland Fedex Priort'!C81="","",'Rates from Ireland Fedex Priort'!C81)</f>
        <v>Germany</v>
      </c>
      <c r="D82" s="10">
        <f>IF(ISNUMBER('Rates from Ireland Fedex Priort'!D81),_xlfn.CEILING.MATH('Rates from Ireland Fedex Priort'!D81,1)+IF($A82="EU",Variables!$B$5,Variables!$B$2),'Rates from Ireland Fedex Priort'!D81)</f>
        <v>62</v>
      </c>
      <c r="E82" s="10">
        <f>IF(ISNUMBER('Rates from Ireland Fedex Priort'!E81),_xlfn.CEILING.MATH('Rates from Ireland Fedex Priort'!E81,1)+IF($A82="EU",Variables!$B$6,Variables!$B$3),'Rates from Ireland Fedex Priort'!E81)</f>
        <v>64</v>
      </c>
      <c r="F82" s="10">
        <f>IF(ISNUMBER('Rates from Ireland Fedex Priort'!F81),_xlfn.CEILING.MATH('Rates from Ireland Fedex Priort'!F81,1)+IF($A82="EU",Variables!$B$6,Variables!$B$3),'Rates from Ireland Fedex Priort'!F81)</f>
        <v>67</v>
      </c>
      <c r="G82" s="10">
        <f>IF(ISNUMBER('Rates from Ireland Fedex Priort'!G81),_xlfn.CEILING.MATH('Rates from Ireland Fedex Priort'!G81,1)+IF($A82="EU",Variables!$B$6,Variables!$B$3),'Rates from Ireland Fedex Priort'!G81)</f>
        <v>69</v>
      </c>
      <c r="H82" s="10">
        <f>IF(ISNUMBER('Rates from Ireland Fedex Priort'!H81),_xlfn.CEILING.MATH('Rates from Ireland Fedex Priort'!H81,1)+IF($A82="EU",Variables!$B$6,Variables!$B$3),'Rates from Ireland Fedex Priort'!H81)</f>
        <v>72</v>
      </c>
      <c r="I82" s="10">
        <f>IF(ISNUMBER('Rates from Ireland Fedex Priort'!I81),_xlfn.CEILING.MATH('Rates from Ireland Fedex Priort'!I81,1)+IF($A82="EU",Variables!$B$6,Variables!$B$3),'Rates from Ireland Fedex Priort'!I81)</f>
        <v>77</v>
      </c>
      <c r="J82" s="10">
        <f>IF(ISNUMBER('Rates from Ireland Fedex Priort'!J81),_xlfn.CEILING.MATH('Rates from Ireland Fedex Priort'!J81,1)+IF($A82="EU",Variables!$B$6,Variables!$B$3),'Rates from Ireland Fedex Priort'!J81)</f>
        <v>85</v>
      </c>
      <c r="K82" s="10">
        <f>IF(ISNUMBER('Rates from Ireland Fedex Priort'!K81),_xlfn.CEILING.MATH('Rates from Ireland Fedex Priort'!K81,1)+IF($A82="EU",Variables!$B$6,Variables!$B$3),'Rates from Ireland Fedex Priort'!K81)</f>
        <v>92</v>
      </c>
      <c r="L82" s="10">
        <f>IF(ISNUMBER('Rates from Ireland Fedex Priort'!L81),_xlfn.CEILING.MATH('Rates from Ireland Fedex Priort'!L81,1)+IF($A82="EU",Variables!$B$6,Variables!$B$3),'Rates from Ireland Fedex Priort'!L81)</f>
        <v>119</v>
      </c>
      <c r="M82" s="10">
        <f>IF(ISNUMBER('Rates from Ireland Fedex Priort'!M81),_xlfn.CEILING.MATH('Rates from Ireland Fedex Priort'!M81,1)+IF($A82="EU",Variables!$B$6,Variables!$B$3),'Rates from Ireland Fedex Priort'!M81)</f>
        <v>127</v>
      </c>
      <c r="N82" s="10">
        <f>IF(ISNUMBER('Rates from Ireland Fedex Priort'!N81),_xlfn.CEILING.MATH('Rates from Ireland Fedex Priort'!N81,1)+IF($A82="EU",Variables!$B$6,Variables!$B$3),'Rates from Ireland Fedex Priort'!N81)</f>
        <v>132</v>
      </c>
      <c r="O82" s="15" t="s">
        <v>29</v>
      </c>
      <c r="P82" s="15" t="s">
        <v>41</v>
      </c>
      <c r="Q82" s="16">
        <v>80</v>
      </c>
      <c r="R82" s="15" t="s">
        <v>25</v>
      </c>
      <c r="S82" s="17" t="s">
        <v>26</v>
      </c>
      <c r="T82" s="40" t="s">
        <v>27</v>
      </c>
    </row>
    <row r="83" spans="1:20" ht="15.75" customHeight="1" x14ac:dyDescent="0.3">
      <c r="A83" s="39" t="str">
        <f>IF('Rates from Ireland Fedex Priort'!A82="","",'Rates from Ireland Fedex Priort'!A82)</f>
        <v>EU</v>
      </c>
      <c r="B83" s="8" t="str">
        <f>IF('Rates from Ireland Fedex Priort'!B82="","",'Rates from Ireland Fedex Priort'!B82)</f>
        <v>Ireland</v>
      </c>
      <c r="C83" s="9" t="str">
        <f>IF('Rates from Ireland Fedex Priort'!C82="","",'Rates from Ireland Fedex Priort'!C82)</f>
        <v>Ghana</v>
      </c>
      <c r="D83" s="10">
        <f>IF(ISNUMBER('Rates from Ireland Fedex Priort'!D82),_xlfn.CEILING.MATH('Rates from Ireland Fedex Priort'!D82,1)+IF($A83="EU",Variables!$B$5,Variables!$B$2),'Rates from Ireland Fedex Priort'!D82)</f>
        <v>72</v>
      </c>
      <c r="E83" s="10">
        <f>IF(ISNUMBER('Rates from Ireland Fedex Priort'!E82),_xlfn.CEILING.MATH('Rates from Ireland Fedex Priort'!E82,1)+IF($A83="EU",Variables!$B$6,Variables!$B$3),'Rates from Ireland Fedex Priort'!E82)</f>
        <v>83</v>
      </c>
      <c r="F83" s="10">
        <f>IF(ISNUMBER('Rates from Ireland Fedex Priort'!F82),_xlfn.CEILING.MATH('Rates from Ireland Fedex Priort'!F82,1)+IF($A83="EU",Variables!$B$6,Variables!$B$3),'Rates from Ireland Fedex Priort'!F82)</f>
        <v>88</v>
      </c>
      <c r="G83" s="10">
        <f>IF(ISNUMBER('Rates from Ireland Fedex Priort'!G82),_xlfn.CEILING.MATH('Rates from Ireland Fedex Priort'!G82,1)+IF($A83="EU",Variables!$B$6,Variables!$B$3),'Rates from Ireland Fedex Priort'!G82)</f>
        <v>106</v>
      </c>
      <c r="H83" s="10">
        <f>IF(ISNUMBER('Rates from Ireland Fedex Priort'!H82),_xlfn.CEILING.MATH('Rates from Ireland Fedex Priort'!H82,1)+IF($A83="EU",Variables!$B$6,Variables!$B$3),'Rates from Ireland Fedex Priort'!H82)</f>
        <v>134</v>
      </c>
      <c r="I83" s="10">
        <f>IF(ISNUMBER('Rates from Ireland Fedex Priort'!I82),_xlfn.CEILING.MATH('Rates from Ireland Fedex Priort'!I82,1)+IF($A83="EU",Variables!$B$6,Variables!$B$3),'Rates from Ireland Fedex Priort'!I82)</f>
        <v>242</v>
      </c>
      <c r="J83" s="10" t="str">
        <f>IF(ISNUMBER('Rates from Ireland Fedex Priort'!J82),_xlfn.CEILING.MATH('Rates from Ireland Fedex Priort'!J82,1)+IF($A83="EU",Variables!$B$6,Variables!$B$3),'Rates from Ireland Fedex Priort'!J82)</f>
        <v>No service</v>
      </c>
      <c r="K83" s="10" t="str">
        <f>IF(ISNUMBER('Rates from Ireland Fedex Priort'!K82),_xlfn.CEILING.MATH('Rates from Ireland Fedex Priort'!K82,1)+IF($A83="EU",Variables!$B$6,Variables!$B$3),'Rates from Ireland Fedex Priort'!K82)</f>
        <v>No service</v>
      </c>
      <c r="L83" s="10" t="str">
        <f>IF(ISNUMBER('Rates from Ireland Fedex Priort'!L82),_xlfn.CEILING.MATH('Rates from Ireland Fedex Priort'!L82,1)+IF($A83="EU",Variables!$B$6,Variables!$B$3),'Rates from Ireland Fedex Priort'!L82)</f>
        <v>No service</v>
      </c>
      <c r="M83" s="10" t="str">
        <f>IF(ISNUMBER('Rates from Ireland Fedex Priort'!M82),_xlfn.CEILING.MATH('Rates from Ireland Fedex Priort'!M82,1)+IF($A83="EU",Variables!$B$6,Variables!$B$3),'Rates from Ireland Fedex Priort'!M82)</f>
        <v>No service</v>
      </c>
      <c r="N83" s="10" t="str">
        <f>IF(ISNUMBER('Rates from Ireland Fedex Priort'!N82),_xlfn.CEILING.MATH('Rates from Ireland Fedex Priort'!N82,1)+IF($A83="EU",Variables!$B$6,Variables!$B$3),'Rates from Ireland Fedex Priort'!N82)</f>
        <v>No service</v>
      </c>
      <c r="O83" s="11" t="s">
        <v>35</v>
      </c>
      <c r="P83" s="11" t="s">
        <v>36</v>
      </c>
      <c r="Q83" s="12">
        <v>80</v>
      </c>
      <c r="R83" s="11" t="s">
        <v>25</v>
      </c>
      <c r="S83" s="3" t="s">
        <v>26</v>
      </c>
      <c r="T83" s="38" t="s">
        <v>27</v>
      </c>
    </row>
    <row r="84" spans="1:20" ht="15.75" customHeight="1" x14ac:dyDescent="0.3">
      <c r="A84" s="39" t="str">
        <f>IF('Rates from Ireland Fedex Priort'!A83="","",'Rates from Ireland Fedex Priort'!A83)</f>
        <v>EU</v>
      </c>
      <c r="B84" s="8" t="str">
        <f>IF('Rates from Ireland Fedex Priort'!B83="","",'Rates from Ireland Fedex Priort'!B83)</f>
        <v>Ireland</v>
      </c>
      <c r="C84" s="9" t="str">
        <f>IF('Rates from Ireland Fedex Priort'!C83="","",'Rates from Ireland Fedex Priort'!C83)</f>
        <v>Gibraltar</v>
      </c>
      <c r="D84" s="10">
        <f>IF(ISNUMBER('Rates from Ireland Fedex Priort'!D83),_xlfn.CEILING.MATH('Rates from Ireland Fedex Priort'!D83,1)+IF($A84="EU",Variables!$B$5,Variables!$B$2),'Rates from Ireland Fedex Priort'!D83)</f>
        <v>58</v>
      </c>
      <c r="E84" s="10">
        <f>IF(ISNUMBER('Rates from Ireland Fedex Priort'!E83),_xlfn.CEILING.MATH('Rates from Ireland Fedex Priort'!E83,1)+IF($A84="EU",Variables!$B$6,Variables!$B$3),'Rates from Ireland Fedex Priort'!E83)</f>
        <v>65</v>
      </c>
      <c r="F84" s="10">
        <f>IF(ISNUMBER('Rates from Ireland Fedex Priort'!F83),_xlfn.CEILING.MATH('Rates from Ireland Fedex Priort'!F83,1)+IF($A84="EU",Variables!$B$6,Variables!$B$3),'Rates from Ireland Fedex Priort'!F83)</f>
        <v>65</v>
      </c>
      <c r="G84" s="10">
        <f>IF(ISNUMBER('Rates from Ireland Fedex Priort'!G83),_xlfn.CEILING.MATH('Rates from Ireland Fedex Priort'!G83,1)+IF($A84="EU",Variables!$B$6,Variables!$B$3),'Rates from Ireland Fedex Priort'!G83)</f>
        <v>68</v>
      </c>
      <c r="H84" s="10">
        <f>IF(ISNUMBER('Rates from Ireland Fedex Priort'!H83),_xlfn.CEILING.MATH('Rates from Ireland Fedex Priort'!H83,1)+IF($A84="EU",Variables!$B$6,Variables!$B$3),'Rates from Ireland Fedex Priort'!H83)</f>
        <v>74</v>
      </c>
      <c r="I84" s="10">
        <f>IF(ISNUMBER('Rates from Ireland Fedex Priort'!I83),_xlfn.CEILING.MATH('Rates from Ireland Fedex Priort'!I83,1)+IF($A84="EU",Variables!$B$6,Variables!$B$3),'Rates from Ireland Fedex Priort'!I83)</f>
        <v>81</v>
      </c>
      <c r="J84" s="10" t="str">
        <f>IF(ISNUMBER('Rates from Ireland Fedex Priort'!J83),_xlfn.CEILING.MATH('Rates from Ireland Fedex Priort'!J83,1)+IF($A84="EU",Variables!$B$6,Variables!$B$3),'Rates from Ireland Fedex Priort'!J83)</f>
        <v>No service</v>
      </c>
      <c r="K84" s="10" t="str">
        <f>IF(ISNUMBER('Rates from Ireland Fedex Priort'!K83),_xlfn.CEILING.MATH('Rates from Ireland Fedex Priort'!K83,1)+IF($A84="EU",Variables!$B$6,Variables!$B$3),'Rates from Ireland Fedex Priort'!K83)</f>
        <v>No service</v>
      </c>
      <c r="L84" s="10" t="str">
        <f>IF(ISNUMBER('Rates from Ireland Fedex Priort'!L83),_xlfn.CEILING.MATH('Rates from Ireland Fedex Priort'!L83,1)+IF($A84="EU",Variables!$B$6,Variables!$B$3),'Rates from Ireland Fedex Priort'!L83)</f>
        <v>No service</v>
      </c>
      <c r="M84" s="10" t="str">
        <f>IF(ISNUMBER('Rates from Ireland Fedex Priort'!M83),_xlfn.CEILING.MATH('Rates from Ireland Fedex Priort'!M83,1)+IF($A84="EU",Variables!$B$6,Variables!$B$3),'Rates from Ireland Fedex Priort'!M83)</f>
        <v>No service</v>
      </c>
      <c r="N84" s="10" t="str">
        <f>IF(ISNUMBER('Rates from Ireland Fedex Priort'!N83),_xlfn.CEILING.MATH('Rates from Ireland Fedex Priort'!N83,1)+IF($A84="EU",Variables!$B$6,Variables!$B$3),'Rates from Ireland Fedex Priort'!N83)</f>
        <v>No service</v>
      </c>
      <c r="O84" s="11" t="s">
        <v>29</v>
      </c>
      <c r="P84" s="11" t="s">
        <v>33</v>
      </c>
      <c r="Q84" s="12">
        <v>80</v>
      </c>
      <c r="R84" s="11" t="s">
        <v>25</v>
      </c>
      <c r="S84" s="3" t="s">
        <v>26</v>
      </c>
      <c r="T84" s="38" t="s">
        <v>27</v>
      </c>
    </row>
    <row r="85" spans="1:20" ht="15.75" customHeight="1" x14ac:dyDescent="0.3">
      <c r="A85" s="39" t="str">
        <f>IF('Rates from Ireland Fedex Priort'!A84="","",'Rates from Ireland Fedex Priort'!A84)</f>
        <v>EU</v>
      </c>
      <c r="B85" s="8" t="str">
        <f>IF('Rates from Ireland Fedex Priort'!B84="","",'Rates from Ireland Fedex Priort'!B84)</f>
        <v>Ireland</v>
      </c>
      <c r="C85" s="9" t="str">
        <f>IF('Rates from Ireland Fedex Priort'!C84="","",'Rates from Ireland Fedex Priort'!C84)</f>
        <v>Greece Mainland</v>
      </c>
      <c r="D85" s="10">
        <f>IF(ISNUMBER('Rates from Ireland Fedex Priort'!D84),_xlfn.CEILING.MATH('Rates from Ireland Fedex Priort'!D84,1)+IF($A85="EU",Variables!$B$5,Variables!$B$2),'Rates from Ireland Fedex Priort'!D84)</f>
        <v>62</v>
      </c>
      <c r="E85" s="10">
        <f>IF(ISNUMBER('Rates from Ireland Fedex Priort'!E84),_xlfn.CEILING.MATH('Rates from Ireland Fedex Priort'!E84,1)+IF($A85="EU",Variables!$B$6,Variables!$B$3),'Rates from Ireland Fedex Priort'!E84)</f>
        <v>68</v>
      </c>
      <c r="F85" s="10">
        <f>IF(ISNUMBER('Rates from Ireland Fedex Priort'!F84),_xlfn.CEILING.MATH('Rates from Ireland Fedex Priort'!F84,1)+IF($A85="EU",Variables!$B$6,Variables!$B$3),'Rates from Ireland Fedex Priort'!F84)</f>
        <v>75</v>
      </c>
      <c r="G85" s="10">
        <f>IF(ISNUMBER('Rates from Ireland Fedex Priort'!G84),_xlfn.CEILING.MATH('Rates from Ireland Fedex Priort'!G84,1)+IF($A85="EU",Variables!$B$6,Variables!$B$3),'Rates from Ireland Fedex Priort'!G84)</f>
        <v>78</v>
      </c>
      <c r="H85" s="10">
        <f>IF(ISNUMBER('Rates from Ireland Fedex Priort'!H84),_xlfn.CEILING.MATH('Rates from Ireland Fedex Priort'!H84,1)+IF($A85="EU",Variables!$B$6,Variables!$B$3),'Rates from Ireland Fedex Priort'!H84)</f>
        <v>80</v>
      </c>
      <c r="I85" s="10">
        <f>IF(ISNUMBER('Rates from Ireland Fedex Priort'!I84),_xlfn.CEILING.MATH('Rates from Ireland Fedex Priort'!I84,1)+IF($A85="EU",Variables!$B$6,Variables!$B$3),'Rates from Ireland Fedex Priort'!I84)</f>
        <v>83</v>
      </c>
      <c r="J85" s="10">
        <f>IF(ISNUMBER('Rates from Ireland Fedex Priort'!J84),_xlfn.CEILING.MATH('Rates from Ireland Fedex Priort'!J84,1)+IF($A85="EU",Variables!$B$6,Variables!$B$3),'Rates from Ireland Fedex Priort'!J84)</f>
        <v>89</v>
      </c>
      <c r="K85" s="10">
        <f>IF(ISNUMBER('Rates from Ireland Fedex Priort'!K84),_xlfn.CEILING.MATH('Rates from Ireland Fedex Priort'!K84,1)+IF($A85="EU",Variables!$B$6,Variables!$B$3),'Rates from Ireland Fedex Priort'!K84)</f>
        <v>95</v>
      </c>
      <c r="L85" s="10">
        <f>IF(ISNUMBER('Rates from Ireland Fedex Priort'!L84),_xlfn.CEILING.MATH('Rates from Ireland Fedex Priort'!L84,1)+IF($A85="EU",Variables!$B$6,Variables!$B$3),'Rates from Ireland Fedex Priort'!L84)</f>
        <v>105</v>
      </c>
      <c r="M85" s="10">
        <f>IF(ISNUMBER('Rates from Ireland Fedex Priort'!M84),_xlfn.CEILING.MATH('Rates from Ireland Fedex Priort'!M84,1)+IF($A85="EU",Variables!$B$6,Variables!$B$3),'Rates from Ireland Fedex Priort'!M84)</f>
        <v>153</v>
      </c>
      <c r="N85" s="10">
        <f>IF(ISNUMBER('Rates from Ireland Fedex Priort'!N84),_xlfn.CEILING.MATH('Rates from Ireland Fedex Priort'!N84,1)+IF($A85="EU",Variables!$B$6,Variables!$B$3),'Rates from Ireland Fedex Priort'!N84)</f>
        <v>177</v>
      </c>
      <c r="O85" s="15" t="s">
        <v>61</v>
      </c>
      <c r="P85" s="15" t="s">
        <v>124</v>
      </c>
      <c r="Q85" s="16">
        <v>80</v>
      </c>
      <c r="R85" s="15" t="s">
        <v>25</v>
      </c>
      <c r="S85" s="17" t="s">
        <v>26</v>
      </c>
      <c r="T85" s="40" t="s">
        <v>27</v>
      </c>
    </row>
    <row r="86" spans="1:20" ht="15.75" customHeight="1" x14ac:dyDescent="0.3">
      <c r="A86" s="39" t="str">
        <f>IF('Rates from Ireland Fedex Priort'!A85="","",'Rates from Ireland Fedex Priort'!A85)</f>
        <v>EU</v>
      </c>
      <c r="B86" s="8" t="str">
        <f>IF('Rates from Ireland Fedex Priort'!B85="","",'Rates from Ireland Fedex Priort'!B85)</f>
        <v>Ireland</v>
      </c>
      <c r="C86" s="9" t="str">
        <f>IF('Rates from Ireland Fedex Priort'!C85="","",'Rates from Ireland Fedex Priort'!C85)</f>
        <v>Greece Islands</v>
      </c>
      <c r="D86" s="10">
        <f>IF(ISNUMBER('Rates from Ireland Fedex Priort'!D85),_xlfn.CEILING.MATH('Rates from Ireland Fedex Priort'!D85,1)+IF($A86="EU",Variables!$B$5,Variables!$B$2),'Rates from Ireland Fedex Priort'!D85)</f>
        <v>97</v>
      </c>
      <c r="E86" s="10">
        <f>IF(ISNUMBER('Rates from Ireland Fedex Priort'!E85),_xlfn.CEILING.MATH('Rates from Ireland Fedex Priort'!E85,1)+IF($A86="EU",Variables!$B$6,Variables!$B$3),'Rates from Ireland Fedex Priort'!E85)</f>
        <v>112</v>
      </c>
      <c r="F86" s="10">
        <f>IF(ISNUMBER('Rates from Ireland Fedex Priort'!F85),_xlfn.CEILING.MATH('Rates from Ireland Fedex Priort'!F85,1)+IF($A86="EU",Variables!$B$6,Variables!$B$3),'Rates from Ireland Fedex Priort'!F85)</f>
        <v>112</v>
      </c>
      <c r="G86" s="10">
        <f>IF(ISNUMBER('Rates from Ireland Fedex Priort'!G85),_xlfn.CEILING.MATH('Rates from Ireland Fedex Priort'!G85,1)+IF($A86="EU",Variables!$B$6,Variables!$B$3),'Rates from Ireland Fedex Priort'!G85)</f>
        <v>107</v>
      </c>
      <c r="H86" s="10">
        <f>IF(ISNUMBER('Rates from Ireland Fedex Priort'!H85),_xlfn.CEILING.MATH('Rates from Ireland Fedex Priort'!H85,1)+IF($A86="EU",Variables!$B$6,Variables!$B$3),'Rates from Ireland Fedex Priort'!H85)</f>
        <v>119</v>
      </c>
      <c r="I86" s="10">
        <f>IF(ISNUMBER('Rates from Ireland Fedex Priort'!I85),_xlfn.CEILING.MATH('Rates from Ireland Fedex Priort'!I85,1)+IF($A86="EU",Variables!$B$6,Variables!$B$3),'Rates from Ireland Fedex Priort'!I85)</f>
        <v>128</v>
      </c>
      <c r="J86" s="10">
        <f>IF(ISNUMBER('Rates from Ireland Fedex Priort'!J85),_xlfn.CEILING.MATH('Rates from Ireland Fedex Priort'!J85,1)+IF($A86="EU",Variables!$B$6,Variables!$B$3),'Rates from Ireland Fedex Priort'!J85)</f>
        <v>128</v>
      </c>
      <c r="K86" s="10">
        <f>IF(ISNUMBER('Rates from Ireland Fedex Priort'!K85),_xlfn.CEILING.MATH('Rates from Ireland Fedex Priort'!K85,1)+IF($A86="EU",Variables!$B$6,Variables!$B$3),'Rates from Ireland Fedex Priort'!K85)</f>
        <v>137</v>
      </c>
      <c r="L86" s="10">
        <f>IF(ISNUMBER('Rates from Ireland Fedex Priort'!L85),_xlfn.CEILING.MATH('Rates from Ireland Fedex Priort'!L85,1)+IF($A86="EU",Variables!$B$6,Variables!$B$3),'Rates from Ireland Fedex Priort'!L85)</f>
        <v>144</v>
      </c>
      <c r="M86" s="10">
        <f>IF(ISNUMBER('Rates from Ireland Fedex Priort'!M85),_xlfn.CEILING.MATH('Rates from Ireland Fedex Priort'!M85,1)+IF($A86="EU",Variables!$B$6,Variables!$B$3),'Rates from Ireland Fedex Priort'!M85)</f>
        <v>185</v>
      </c>
      <c r="N86" s="10">
        <f>IF(ISNUMBER('Rates from Ireland Fedex Priort'!N85),_xlfn.CEILING.MATH('Rates from Ireland Fedex Priort'!N85,1)+IF($A86="EU",Variables!$B$6,Variables!$B$3),'Rates from Ireland Fedex Priort'!N85)</f>
        <v>193</v>
      </c>
      <c r="O86" s="15" t="s">
        <v>33</v>
      </c>
      <c r="P86" s="15" t="s">
        <v>126</v>
      </c>
      <c r="Q86" s="16">
        <v>80</v>
      </c>
      <c r="R86" s="15" t="s">
        <v>25</v>
      </c>
      <c r="S86" s="17" t="s">
        <v>26</v>
      </c>
      <c r="T86" s="40" t="s">
        <v>27</v>
      </c>
    </row>
    <row r="87" spans="1:20" ht="15.75" customHeight="1" x14ac:dyDescent="0.3">
      <c r="A87" s="39" t="str">
        <f>IF('Rates from Ireland Fedex Priort'!A86="","",'Rates from Ireland Fedex Priort'!A86)</f>
        <v>EU</v>
      </c>
      <c r="B87" s="8" t="str">
        <f>IF('Rates from Ireland Fedex Priort'!B86="","",'Rates from Ireland Fedex Priort'!B86)</f>
        <v>Ireland</v>
      </c>
      <c r="C87" s="9" t="str">
        <f>IF('Rates from Ireland Fedex Priort'!C86="","",'Rates from Ireland Fedex Priort'!C86)</f>
        <v>Greenland (Denmark)</v>
      </c>
      <c r="D87" s="10">
        <f>IF(ISNUMBER('Rates from Ireland Fedex Priort'!D86),_xlfn.CEILING.MATH('Rates from Ireland Fedex Priort'!D86,1)+IF($A87="EU",Variables!$B$5,Variables!$B$2),'Rates from Ireland Fedex Priort'!D86)</f>
        <v>58</v>
      </c>
      <c r="E87" s="10">
        <f>IF(ISNUMBER('Rates from Ireland Fedex Priort'!E86),_xlfn.CEILING.MATH('Rates from Ireland Fedex Priort'!E86,1)+IF($A87="EU",Variables!$B$6,Variables!$B$3),'Rates from Ireland Fedex Priort'!E86)</f>
        <v>65</v>
      </c>
      <c r="F87" s="10">
        <f>IF(ISNUMBER('Rates from Ireland Fedex Priort'!F86),_xlfn.CEILING.MATH('Rates from Ireland Fedex Priort'!F86,1)+IF($A87="EU",Variables!$B$6,Variables!$B$3),'Rates from Ireland Fedex Priort'!F86)</f>
        <v>65</v>
      </c>
      <c r="G87" s="10">
        <f>IF(ISNUMBER('Rates from Ireland Fedex Priort'!G86),_xlfn.CEILING.MATH('Rates from Ireland Fedex Priort'!G86,1)+IF($A87="EU",Variables!$B$6,Variables!$B$3),'Rates from Ireland Fedex Priort'!G86)</f>
        <v>68</v>
      </c>
      <c r="H87" s="10">
        <f>IF(ISNUMBER('Rates from Ireland Fedex Priort'!H86),_xlfn.CEILING.MATH('Rates from Ireland Fedex Priort'!H86,1)+IF($A87="EU",Variables!$B$6,Variables!$B$3),'Rates from Ireland Fedex Priort'!H86)</f>
        <v>74</v>
      </c>
      <c r="I87" s="10">
        <f>IF(ISNUMBER('Rates from Ireland Fedex Priort'!I86),_xlfn.CEILING.MATH('Rates from Ireland Fedex Priort'!I86,1)+IF($A87="EU",Variables!$B$6,Variables!$B$3),'Rates from Ireland Fedex Priort'!I86)</f>
        <v>81</v>
      </c>
      <c r="J87" s="10">
        <f>IF(ISNUMBER('Rates from Ireland Fedex Priort'!J86),_xlfn.CEILING.MATH('Rates from Ireland Fedex Priort'!J86,1)+IF($A87="EU",Variables!$B$6,Variables!$B$3),'Rates from Ireland Fedex Priort'!J86)</f>
        <v>87</v>
      </c>
      <c r="K87" s="10">
        <f>IF(ISNUMBER('Rates from Ireland Fedex Priort'!K86),_xlfn.CEILING.MATH('Rates from Ireland Fedex Priort'!K86,1)+IF($A87="EU",Variables!$B$6,Variables!$B$3),'Rates from Ireland Fedex Priort'!K86)</f>
        <v>93</v>
      </c>
      <c r="L87" s="10">
        <f>IF(ISNUMBER('Rates from Ireland Fedex Priort'!L86),_xlfn.CEILING.MATH('Rates from Ireland Fedex Priort'!L86,1)+IF($A87="EU",Variables!$B$6,Variables!$B$3),'Rates from Ireland Fedex Priort'!L86)</f>
        <v>99</v>
      </c>
      <c r="M87" s="10">
        <f>IF(ISNUMBER('Rates from Ireland Fedex Priort'!M86),_xlfn.CEILING.MATH('Rates from Ireland Fedex Priort'!M86,1)+IF($A87="EU",Variables!$B$6,Variables!$B$3),'Rates from Ireland Fedex Priort'!M86)</f>
        <v>112</v>
      </c>
      <c r="N87" s="10">
        <f>IF(ISNUMBER('Rates from Ireland Fedex Priort'!N86),_xlfn.CEILING.MATH('Rates from Ireland Fedex Priort'!N86,1)+IF($A87="EU",Variables!$B$6,Variables!$B$3),'Rates from Ireland Fedex Priort'!N86)</f>
        <v>127</v>
      </c>
      <c r="O87" s="15" t="s">
        <v>29</v>
      </c>
      <c r="P87" s="15" t="s">
        <v>33</v>
      </c>
      <c r="Q87" s="16">
        <v>80</v>
      </c>
      <c r="R87" s="15" t="s">
        <v>25</v>
      </c>
      <c r="S87" s="17" t="s">
        <v>26</v>
      </c>
      <c r="T87" s="40" t="s">
        <v>27</v>
      </c>
    </row>
    <row r="88" spans="1:20" ht="15.75" customHeight="1" x14ac:dyDescent="0.3">
      <c r="A88" s="39" t="str">
        <f>IF('Rates from Ireland Fedex Priort'!A87="","",'Rates from Ireland Fedex Priort'!A87)</f>
        <v>EU</v>
      </c>
      <c r="B88" s="8" t="str">
        <f>IF('Rates from Ireland Fedex Priort'!B87="","",'Rates from Ireland Fedex Priort'!B87)</f>
        <v>Ireland</v>
      </c>
      <c r="C88" s="9" t="str">
        <f>IF('Rates from Ireland Fedex Priort'!C87="","",'Rates from Ireland Fedex Priort'!C87)</f>
        <v>Grenada</v>
      </c>
      <c r="D88" s="10">
        <f>IF(ISNUMBER('Rates from Ireland Fedex Priort'!D87),_xlfn.CEILING.MATH('Rates from Ireland Fedex Priort'!D87,1)+IF($A88="EU",Variables!$B$5,Variables!$B$2),'Rates from Ireland Fedex Priort'!D87)</f>
        <v>68</v>
      </c>
      <c r="E88" s="10">
        <f>IF(ISNUMBER('Rates from Ireland Fedex Priort'!E87),_xlfn.CEILING.MATH('Rates from Ireland Fedex Priort'!E87,1)+IF($A88="EU",Variables!$B$6,Variables!$B$3),'Rates from Ireland Fedex Priort'!E87)</f>
        <v>77</v>
      </c>
      <c r="F88" s="10">
        <f>IF(ISNUMBER('Rates from Ireland Fedex Priort'!F87),_xlfn.CEILING.MATH('Rates from Ireland Fedex Priort'!F87,1)+IF($A88="EU",Variables!$B$6,Variables!$B$3),'Rates from Ireland Fedex Priort'!F87)</f>
        <v>81</v>
      </c>
      <c r="G88" s="10">
        <f>IF(ISNUMBER('Rates from Ireland Fedex Priort'!G87),_xlfn.CEILING.MATH('Rates from Ireland Fedex Priort'!G87,1)+IF($A88="EU",Variables!$B$6,Variables!$B$3),'Rates from Ireland Fedex Priort'!G87)</f>
        <v>96</v>
      </c>
      <c r="H88" s="10">
        <f>IF(ISNUMBER('Rates from Ireland Fedex Priort'!H87),_xlfn.CEILING.MATH('Rates from Ireland Fedex Priort'!H87,1)+IF($A88="EU",Variables!$B$6,Variables!$B$3),'Rates from Ireland Fedex Priort'!H87)</f>
        <v>117</v>
      </c>
      <c r="I88" s="10">
        <f>IF(ISNUMBER('Rates from Ireland Fedex Priort'!I87),_xlfn.CEILING.MATH('Rates from Ireland Fedex Priort'!I87,1)+IF($A88="EU",Variables!$B$6,Variables!$B$3),'Rates from Ireland Fedex Priort'!I87)</f>
        <v>219</v>
      </c>
      <c r="J88" s="10" t="str">
        <f>IF(ISNUMBER('Rates from Ireland Fedex Priort'!J87),_xlfn.CEILING.MATH('Rates from Ireland Fedex Priort'!J87,1)+IF($A88="EU",Variables!$B$6,Variables!$B$3),'Rates from Ireland Fedex Priort'!J87)</f>
        <v>No service</v>
      </c>
      <c r="K88" s="10" t="str">
        <f>IF(ISNUMBER('Rates from Ireland Fedex Priort'!K87),_xlfn.CEILING.MATH('Rates from Ireland Fedex Priort'!K87,1)+IF($A88="EU",Variables!$B$6,Variables!$B$3),'Rates from Ireland Fedex Priort'!K87)</f>
        <v>No service</v>
      </c>
      <c r="L88" s="10" t="str">
        <f>IF(ISNUMBER('Rates from Ireland Fedex Priort'!L87),_xlfn.CEILING.MATH('Rates from Ireland Fedex Priort'!L87,1)+IF($A88="EU",Variables!$B$6,Variables!$B$3),'Rates from Ireland Fedex Priort'!L87)</f>
        <v>No service</v>
      </c>
      <c r="M88" s="10" t="str">
        <f>IF(ISNUMBER('Rates from Ireland Fedex Priort'!M87),_xlfn.CEILING.MATH('Rates from Ireland Fedex Priort'!M87,1)+IF($A88="EU",Variables!$B$6,Variables!$B$3),'Rates from Ireland Fedex Priort'!M87)</f>
        <v>No service</v>
      </c>
      <c r="N88" s="10" t="str">
        <f>IF(ISNUMBER('Rates from Ireland Fedex Priort'!N87),_xlfn.CEILING.MATH('Rates from Ireland Fedex Priort'!N87,1)+IF($A88="EU",Variables!$B$6,Variables!$B$3),'Rates from Ireland Fedex Priort'!N87)</f>
        <v>No service</v>
      </c>
      <c r="O88" s="11" t="s">
        <v>41</v>
      </c>
      <c r="P88" s="11" t="s">
        <v>23</v>
      </c>
      <c r="Q88" s="12">
        <v>80</v>
      </c>
      <c r="R88" s="11" t="s">
        <v>25</v>
      </c>
      <c r="S88" s="3" t="s">
        <v>26</v>
      </c>
      <c r="T88" s="38" t="s">
        <v>27</v>
      </c>
    </row>
    <row r="89" spans="1:20" ht="15.75" customHeight="1" x14ac:dyDescent="0.3">
      <c r="A89" s="39" t="str">
        <f>IF('Rates from Ireland Fedex Priort'!A88="","",'Rates from Ireland Fedex Priort'!A88)</f>
        <v>EU</v>
      </c>
      <c r="B89" s="8" t="str">
        <f>IF('Rates from Ireland Fedex Priort'!B88="","",'Rates from Ireland Fedex Priort'!B88)</f>
        <v>Ireland</v>
      </c>
      <c r="C89" s="9" t="str">
        <f>IF('Rates from Ireland Fedex Priort'!C88="","",'Rates from Ireland Fedex Priort'!C88)</f>
        <v>Guadeloupe (France)</v>
      </c>
      <c r="D89" s="10">
        <f>IF(ISNUMBER('Rates from Ireland Fedex Priort'!D88),_xlfn.CEILING.MATH('Rates from Ireland Fedex Priort'!D88,1)+IF($A89="EU",Variables!$B$5,Variables!$B$2),'Rates from Ireland Fedex Priort'!D88)</f>
        <v>68</v>
      </c>
      <c r="E89" s="10">
        <f>IF(ISNUMBER('Rates from Ireland Fedex Priort'!E88),_xlfn.CEILING.MATH('Rates from Ireland Fedex Priort'!E88,1)+IF($A89="EU",Variables!$B$6,Variables!$B$3),'Rates from Ireland Fedex Priort'!E88)</f>
        <v>77</v>
      </c>
      <c r="F89" s="10">
        <f>IF(ISNUMBER('Rates from Ireland Fedex Priort'!F88),_xlfn.CEILING.MATH('Rates from Ireland Fedex Priort'!F88,1)+IF($A89="EU",Variables!$B$6,Variables!$B$3),'Rates from Ireland Fedex Priort'!F88)</f>
        <v>81</v>
      </c>
      <c r="G89" s="10">
        <f>IF(ISNUMBER('Rates from Ireland Fedex Priort'!G88),_xlfn.CEILING.MATH('Rates from Ireland Fedex Priort'!G88,1)+IF($A89="EU",Variables!$B$6,Variables!$B$3),'Rates from Ireland Fedex Priort'!G88)</f>
        <v>96</v>
      </c>
      <c r="H89" s="10">
        <f>IF(ISNUMBER('Rates from Ireland Fedex Priort'!H88),_xlfn.CEILING.MATH('Rates from Ireland Fedex Priort'!H88,1)+IF($A89="EU",Variables!$B$6,Variables!$B$3),'Rates from Ireland Fedex Priort'!H88)</f>
        <v>117</v>
      </c>
      <c r="I89" s="10">
        <f>IF(ISNUMBER('Rates from Ireland Fedex Priort'!I88),_xlfn.CEILING.MATH('Rates from Ireland Fedex Priort'!I88,1)+IF($A89="EU",Variables!$B$6,Variables!$B$3),'Rates from Ireland Fedex Priort'!I88)</f>
        <v>219</v>
      </c>
      <c r="J89" s="10" t="str">
        <f>IF(ISNUMBER('Rates from Ireland Fedex Priort'!J88),_xlfn.CEILING.MATH('Rates from Ireland Fedex Priort'!J88,1)+IF($A89="EU",Variables!$B$6,Variables!$B$3),'Rates from Ireland Fedex Priort'!J88)</f>
        <v>No service</v>
      </c>
      <c r="K89" s="10" t="str">
        <f>IF(ISNUMBER('Rates from Ireland Fedex Priort'!K88),_xlfn.CEILING.MATH('Rates from Ireland Fedex Priort'!K88,1)+IF($A89="EU",Variables!$B$6,Variables!$B$3),'Rates from Ireland Fedex Priort'!K88)</f>
        <v>No service</v>
      </c>
      <c r="L89" s="10" t="str">
        <f>IF(ISNUMBER('Rates from Ireland Fedex Priort'!L88),_xlfn.CEILING.MATH('Rates from Ireland Fedex Priort'!L88,1)+IF($A89="EU",Variables!$B$6,Variables!$B$3),'Rates from Ireland Fedex Priort'!L88)</f>
        <v>No service</v>
      </c>
      <c r="M89" s="10" t="str">
        <f>IF(ISNUMBER('Rates from Ireland Fedex Priort'!M88),_xlfn.CEILING.MATH('Rates from Ireland Fedex Priort'!M88,1)+IF($A89="EU",Variables!$B$6,Variables!$B$3),'Rates from Ireland Fedex Priort'!M88)</f>
        <v>No service</v>
      </c>
      <c r="N89" s="10" t="str">
        <f>IF(ISNUMBER('Rates from Ireland Fedex Priort'!N88),_xlfn.CEILING.MATH('Rates from Ireland Fedex Priort'!N88,1)+IF($A89="EU",Variables!$B$6,Variables!$B$3),'Rates from Ireland Fedex Priort'!N88)</f>
        <v>No service</v>
      </c>
      <c r="O89" s="11" t="s">
        <v>41</v>
      </c>
      <c r="P89" s="11" t="s">
        <v>23</v>
      </c>
      <c r="Q89" s="12">
        <v>80</v>
      </c>
      <c r="R89" s="11" t="s">
        <v>25</v>
      </c>
      <c r="S89" s="3" t="s">
        <v>26</v>
      </c>
      <c r="T89" s="38" t="s">
        <v>27</v>
      </c>
    </row>
    <row r="90" spans="1:20" ht="15.75" customHeight="1" x14ac:dyDescent="0.3">
      <c r="A90" s="39" t="str">
        <f>IF('Rates from Ireland Fedex Priort'!A89="","",'Rates from Ireland Fedex Priort'!A89)</f>
        <v>EU</v>
      </c>
      <c r="B90" s="8" t="str">
        <f>IF('Rates from Ireland Fedex Priort'!B89="","",'Rates from Ireland Fedex Priort'!B89)</f>
        <v>Ireland</v>
      </c>
      <c r="C90" s="9" t="str">
        <f>IF('Rates from Ireland Fedex Priort'!C89="","",'Rates from Ireland Fedex Priort'!C89)</f>
        <v>Guam (US)</v>
      </c>
      <c r="D90" s="10">
        <f>IF(ISNUMBER('Rates from Ireland Fedex Priort'!D89),_xlfn.CEILING.MATH('Rates from Ireland Fedex Priort'!D89,1)+IF($A90="EU",Variables!$B$5,Variables!$B$2),'Rates from Ireland Fedex Priort'!D89)</f>
        <v>72</v>
      </c>
      <c r="E90" s="10">
        <f>IF(ISNUMBER('Rates from Ireland Fedex Priort'!E89),_xlfn.CEILING.MATH('Rates from Ireland Fedex Priort'!E89,1)+IF($A90="EU",Variables!$B$6,Variables!$B$3),'Rates from Ireland Fedex Priort'!E89)</f>
        <v>83</v>
      </c>
      <c r="F90" s="10">
        <f>IF(ISNUMBER('Rates from Ireland Fedex Priort'!F89),_xlfn.CEILING.MATH('Rates from Ireland Fedex Priort'!F89,1)+IF($A90="EU",Variables!$B$6,Variables!$B$3),'Rates from Ireland Fedex Priort'!F89)</f>
        <v>88</v>
      </c>
      <c r="G90" s="10">
        <f>IF(ISNUMBER('Rates from Ireland Fedex Priort'!G89),_xlfn.CEILING.MATH('Rates from Ireland Fedex Priort'!G89,1)+IF($A90="EU",Variables!$B$6,Variables!$B$3),'Rates from Ireland Fedex Priort'!G89)</f>
        <v>106</v>
      </c>
      <c r="H90" s="10">
        <f>IF(ISNUMBER('Rates from Ireland Fedex Priort'!H89),_xlfn.CEILING.MATH('Rates from Ireland Fedex Priort'!H89,1)+IF($A90="EU",Variables!$B$6,Variables!$B$3),'Rates from Ireland Fedex Priort'!H89)</f>
        <v>134</v>
      </c>
      <c r="I90" s="10">
        <f>IF(ISNUMBER('Rates from Ireland Fedex Priort'!I89),_xlfn.CEILING.MATH('Rates from Ireland Fedex Priort'!I89,1)+IF($A90="EU",Variables!$B$6,Variables!$B$3),'Rates from Ireland Fedex Priort'!I89)</f>
        <v>242</v>
      </c>
      <c r="J90" s="10" t="str">
        <f>IF(ISNUMBER('Rates from Ireland Fedex Priort'!J89),_xlfn.CEILING.MATH('Rates from Ireland Fedex Priort'!J89,1)+IF($A90="EU",Variables!$B$6,Variables!$B$3),'Rates from Ireland Fedex Priort'!J89)</f>
        <v>No service</v>
      </c>
      <c r="K90" s="10" t="str">
        <f>IF(ISNUMBER('Rates from Ireland Fedex Priort'!K89),_xlfn.CEILING.MATH('Rates from Ireland Fedex Priort'!K89,1)+IF($A90="EU",Variables!$B$6,Variables!$B$3),'Rates from Ireland Fedex Priort'!K89)</f>
        <v>No service</v>
      </c>
      <c r="L90" s="10" t="str">
        <f>IF(ISNUMBER('Rates from Ireland Fedex Priort'!L89),_xlfn.CEILING.MATH('Rates from Ireland Fedex Priort'!L89,1)+IF($A90="EU",Variables!$B$6,Variables!$B$3),'Rates from Ireland Fedex Priort'!L89)</f>
        <v>No service</v>
      </c>
      <c r="M90" s="10" t="str">
        <f>IF(ISNUMBER('Rates from Ireland Fedex Priort'!M89),_xlfn.CEILING.MATH('Rates from Ireland Fedex Priort'!M89,1)+IF($A90="EU",Variables!$B$6,Variables!$B$3),'Rates from Ireland Fedex Priort'!M89)</f>
        <v>No service</v>
      </c>
      <c r="N90" s="10" t="str">
        <f>IF(ISNUMBER('Rates from Ireland Fedex Priort'!N89),_xlfn.CEILING.MATH('Rates from Ireland Fedex Priort'!N89,1)+IF($A90="EU",Variables!$B$6,Variables!$B$3),'Rates from Ireland Fedex Priort'!N89)</f>
        <v>No service</v>
      </c>
      <c r="O90" s="11" t="s">
        <v>35</v>
      </c>
      <c r="P90" s="11" t="s">
        <v>36</v>
      </c>
      <c r="Q90" s="12">
        <v>80</v>
      </c>
      <c r="R90" s="11" t="s">
        <v>25</v>
      </c>
      <c r="S90" s="3" t="s">
        <v>26</v>
      </c>
      <c r="T90" s="38" t="s">
        <v>27</v>
      </c>
    </row>
    <row r="91" spans="1:20" ht="15.75" customHeight="1" x14ac:dyDescent="0.3">
      <c r="A91" s="39" t="str">
        <f>IF('Rates from Ireland Fedex Priort'!A90="","",'Rates from Ireland Fedex Priort'!A90)</f>
        <v>EU</v>
      </c>
      <c r="B91" s="8" t="str">
        <f>IF('Rates from Ireland Fedex Priort'!B90="","",'Rates from Ireland Fedex Priort'!B90)</f>
        <v>Ireland</v>
      </c>
      <c r="C91" s="9" t="str">
        <f>IF('Rates from Ireland Fedex Priort'!C90="","",'Rates from Ireland Fedex Priort'!C90)</f>
        <v>Guatemala</v>
      </c>
      <c r="D91" s="10">
        <f>IF(ISNUMBER('Rates from Ireland Fedex Priort'!D90),_xlfn.CEILING.MATH('Rates from Ireland Fedex Priort'!D90,1)+IF($A91="EU",Variables!$B$5,Variables!$B$2),'Rates from Ireland Fedex Priort'!D90)</f>
        <v>68</v>
      </c>
      <c r="E91" s="10">
        <f>IF(ISNUMBER('Rates from Ireland Fedex Priort'!E90),_xlfn.CEILING.MATH('Rates from Ireland Fedex Priort'!E90,1)+IF($A91="EU",Variables!$B$6,Variables!$B$3),'Rates from Ireland Fedex Priort'!E90)</f>
        <v>77</v>
      </c>
      <c r="F91" s="10">
        <f>IF(ISNUMBER('Rates from Ireland Fedex Priort'!F90),_xlfn.CEILING.MATH('Rates from Ireland Fedex Priort'!F90,1)+IF($A91="EU",Variables!$B$6,Variables!$B$3),'Rates from Ireland Fedex Priort'!F90)</f>
        <v>81</v>
      </c>
      <c r="G91" s="10">
        <f>IF(ISNUMBER('Rates from Ireland Fedex Priort'!G90),_xlfn.CEILING.MATH('Rates from Ireland Fedex Priort'!G90,1)+IF($A91="EU",Variables!$B$6,Variables!$B$3),'Rates from Ireland Fedex Priort'!G90)</f>
        <v>96</v>
      </c>
      <c r="H91" s="10">
        <f>IF(ISNUMBER('Rates from Ireland Fedex Priort'!H90),_xlfn.CEILING.MATH('Rates from Ireland Fedex Priort'!H90,1)+IF($A91="EU",Variables!$B$6,Variables!$B$3),'Rates from Ireland Fedex Priort'!H90)</f>
        <v>117</v>
      </c>
      <c r="I91" s="10">
        <f>IF(ISNUMBER('Rates from Ireland Fedex Priort'!I90),_xlfn.CEILING.MATH('Rates from Ireland Fedex Priort'!I90,1)+IF($A91="EU",Variables!$B$6,Variables!$B$3),'Rates from Ireland Fedex Priort'!I90)</f>
        <v>219</v>
      </c>
      <c r="J91" s="10" t="str">
        <f>IF(ISNUMBER('Rates from Ireland Fedex Priort'!J90),_xlfn.CEILING.MATH('Rates from Ireland Fedex Priort'!J90,1)+IF($A91="EU",Variables!$B$6,Variables!$B$3),'Rates from Ireland Fedex Priort'!J90)</f>
        <v>No service</v>
      </c>
      <c r="K91" s="10" t="str">
        <f>IF(ISNUMBER('Rates from Ireland Fedex Priort'!K90),_xlfn.CEILING.MATH('Rates from Ireland Fedex Priort'!K90,1)+IF($A91="EU",Variables!$B$6,Variables!$B$3),'Rates from Ireland Fedex Priort'!K90)</f>
        <v>No service</v>
      </c>
      <c r="L91" s="10" t="str">
        <f>IF(ISNUMBER('Rates from Ireland Fedex Priort'!L90),_xlfn.CEILING.MATH('Rates from Ireland Fedex Priort'!L90,1)+IF($A91="EU",Variables!$B$6,Variables!$B$3),'Rates from Ireland Fedex Priort'!L90)</f>
        <v>No service</v>
      </c>
      <c r="M91" s="10" t="str">
        <f>IF(ISNUMBER('Rates from Ireland Fedex Priort'!M90),_xlfn.CEILING.MATH('Rates from Ireland Fedex Priort'!M90,1)+IF($A91="EU",Variables!$B$6,Variables!$B$3),'Rates from Ireland Fedex Priort'!M90)</f>
        <v>No service</v>
      </c>
      <c r="N91" s="10" t="str">
        <f>IF(ISNUMBER('Rates from Ireland Fedex Priort'!N90),_xlfn.CEILING.MATH('Rates from Ireland Fedex Priort'!N90,1)+IF($A91="EU",Variables!$B$6,Variables!$B$3),'Rates from Ireland Fedex Priort'!N90)</f>
        <v>No service</v>
      </c>
      <c r="O91" s="11" t="s">
        <v>41</v>
      </c>
      <c r="P91" s="11" t="s">
        <v>23</v>
      </c>
      <c r="Q91" s="12">
        <v>80</v>
      </c>
      <c r="R91" s="11" t="s">
        <v>25</v>
      </c>
      <c r="S91" s="3" t="s">
        <v>26</v>
      </c>
      <c r="T91" s="38" t="s">
        <v>27</v>
      </c>
    </row>
    <row r="92" spans="1:20" ht="15.75" customHeight="1" x14ac:dyDescent="0.3">
      <c r="A92" s="39" t="str">
        <f>IF('Rates from Ireland Fedex Priort'!A91="","",'Rates from Ireland Fedex Priort'!A91)</f>
        <v>EU</v>
      </c>
      <c r="B92" s="8" t="str">
        <f>IF('Rates from Ireland Fedex Priort'!B91="","",'Rates from Ireland Fedex Priort'!B91)</f>
        <v>Ireland</v>
      </c>
      <c r="C92" s="9" t="str">
        <f>IF('Rates from Ireland Fedex Priort'!C91="","",'Rates from Ireland Fedex Priort'!C91)</f>
        <v>Guernsey</v>
      </c>
      <c r="D92" s="10" t="str">
        <f>IF(ISNUMBER('Rates from Ireland Fedex Priort'!D91),_xlfn.CEILING.MATH('Rates from Ireland Fedex Priort'!D91,1)+IF($A92="EU",Variables!$B$5,Variables!$B$2),'Rates from Ireland Fedex Priort'!D91)</f>
        <v>No service</v>
      </c>
      <c r="E92" s="10" t="str">
        <f>IF(ISNUMBER('Rates from Ireland Fedex Priort'!E91),_xlfn.CEILING.MATH('Rates from Ireland Fedex Priort'!E91,1)+IF($A92="EU",Variables!$B$6,Variables!$B$3),'Rates from Ireland Fedex Priort'!E91)</f>
        <v>No service</v>
      </c>
      <c r="F92" s="10" t="str">
        <f>IF(ISNUMBER('Rates from Ireland Fedex Priort'!F91),_xlfn.CEILING.MATH('Rates from Ireland Fedex Priort'!F91,1)+IF($A92="EU",Variables!$B$6,Variables!$B$3),'Rates from Ireland Fedex Priort'!F91)</f>
        <v>No service</v>
      </c>
      <c r="G92" s="10" t="str">
        <f>IF(ISNUMBER('Rates from Ireland Fedex Priort'!G91),_xlfn.CEILING.MATH('Rates from Ireland Fedex Priort'!G91,1)+IF($A92="EU",Variables!$B$6,Variables!$B$3),'Rates from Ireland Fedex Priort'!G91)</f>
        <v>No service</v>
      </c>
      <c r="H92" s="10" t="str">
        <f>IF(ISNUMBER('Rates from Ireland Fedex Priort'!H91),_xlfn.CEILING.MATH('Rates from Ireland Fedex Priort'!H91,1)+IF($A92="EU",Variables!$B$6,Variables!$B$3),'Rates from Ireland Fedex Priort'!H91)</f>
        <v>No service</v>
      </c>
      <c r="I92" s="10" t="str">
        <f>IF(ISNUMBER('Rates from Ireland Fedex Priort'!I91),_xlfn.CEILING.MATH('Rates from Ireland Fedex Priort'!I91,1)+IF($A92="EU",Variables!$B$6,Variables!$B$3),'Rates from Ireland Fedex Priort'!I91)</f>
        <v>No service</v>
      </c>
      <c r="J92" s="10" t="str">
        <f>IF(ISNUMBER('Rates from Ireland Fedex Priort'!J91),_xlfn.CEILING.MATH('Rates from Ireland Fedex Priort'!J91,1)+IF($A92="EU",Variables!$B$6,Variables!$B$3),'Rates from Ireland Fedex Priort'!J91)</f>
        <v>No service</v>
      </c>
      <c r="K92" s="10" t="str">
        <f>IF(ISNUMBER('Rates from Ireland Fedex Priort'!K91),_xlfn.CEILING.MATH('Rates from Ireland Fedex Priort'!K91,1)+IF($A92="EU",Variables!$B$6,Variables!$B$3),'Rates from Ireland Fedex Priort'!K91)</f>
        <v>No service</v>
      </c>
      <c r="L92" s="10" t="str">
        <f>IF(ISNUMBER('Rates from Ireland Fedex Priort'!L91),_xlfn.CEILING.MATH('Rates from Ireland Fedex Priort'!L91,1)+IF($A92="EU",Variables!$B$6,Variables!$B$3),'Rates from Ireland Fedex Priort'!L91)</f>
        <v>No service</v>
      </c>
      <c r="M92" s="10" t="str">
        <f>IF(ISNUMBER('Rates from Ireland Fedex Priort'!M91),_xlfn.CEILING.MATH('Rates from Ireland Fedex Priort'!M91,1)+IF($A92="EU",Variables!$B$6,Variables!$B$3),'Rates from Ireland Fedex Priort'!M91)</f>
        <v>No service</v>
      </c>
      <c r="N92" s="10" t="str">
        <f>IF(ISNUMBER('Rates from Ireland Fedex Priort'!N91),_xlfn.CEILING.MATH('Rates from Ireland Fedex Priort'!N91,1)+IF($A92="EU",Variables!$B$6,Variables!$B$3),'Rates from Ireland Fedex Priort'!N91)</f>
        <v>No service</v>
      </c>
      <c r="O92" s="11"/>
      <c r="P92" s="11"/>
      <c r="Q92" s="11"/>
      <c r="R92" s="11"/>
      <c r="S92" s="3" t="s">
        <v>26</v>
      </c>
      <c r="T92" s="38" t="s">
        <v>27</v>
      </c>
    </row>
    <row r="93" spans="1:20" ht="15.75" customHeight="1" x14ac:dyDescent="0.3">
      <c r="A93" s="39" t="str">
        <f>IF('Rates from Ireland Fedex Priort'!A92="","",'Rates from Ireland Fedex Priort'!A92)</f>
        <v>EU</v>
      </c>
      <c r="B93" s="8" t="str">
        <f>IF('Rates from Ireland Fedex Priort'!B92="","",'Rates from Ireland Fedex Priort'!B92)</f>
        <v>Ireland</v>
      </c>
      <c r="C93" s="9" t="str">
        <f>IF('Rates from Ireland Fedex Priort'!C92="","",'Rates from Ireland Fedex Priort'!C92)</f>
        <v>Guinea</v>
      </c>
      <c r="D93" s="10">
        <f>IF(ISNUMBER('Rates from Ireland Fedex Priort'!D92),_xlfn.CEILING.MATH('Rates from Ireland Fedex Priort'!D92,1)+IF($A93="EU",Variables!$B$5,Variables!$B$2),'Rates from Ireland Fedex Priort'!D92)</f>
        <v>72</v>
      </c>
      <c r="E93" s="10">
        <f>IF(ISNUMBER('Rates from Ireland Fedex Priort'!E92),_xlfn.CEILING.MATH('Rates from Ireland Fedex Priort'!E92,1)+IF($A93="EU",Variables!$B$6,Variables!$B$3),'Rates from Ireland Fedex Priort'!E92)</f>
        <v>83</v>
      </c>
      <c r="F93" s="10">
        <f>IF(ISNUMBER('Rates from Ireland Fedex Priort'!F92),_xlfn.CEILING.MATH('Rates from Ireland Fedex Priort'!F92,1)+IF($A93="EU",Variables!$B$6,Variables!$B$3),'Rates from Ireland Fedex Priort'!F92)</f>
        <v>88</v>
      </c>
      <c r="G93" s="10">
        <f>IF(ISNUMBER('Rates from Ireland Fedex Priort'!G92),_xlfn.CEILING.MATH('Rates from Ireland Fedex Priort'!G92,1)+IF($A93="EU",Variables!$B$6,Variables!$B$3),'Rates from Ireland Fedex Priort'!G92)</f>
        <v>106</v>
      </c>
      <c r="H93" s="10">
        <f>IF(ISNUMBER('Rates from Ireland Fedex Priort'!H92),_xlfn.CEILING.MATH('Rates from Ireland Fedex Priort'!H92,1)+IF($A93="EU",Variables!$B$6,Variables!$B$3),'Rates from Ireland Fedex Priort'!H92)</f>
        <v>134</v>
      </c>
      <c r="I93" s="10">
        <f>IF(ISNUMBER('Rates from Ireland Fedex Priort'!I92),_xlfn.CEILING.MATH('Rates from Ireland Fedex Priort'!I92,1)+IF($A93="EU",Variables!$B$6,Variables!$B$3),'Rates from Ireland Fedex Priort'!I92)</f>
        <v>242</v>
      </c>
      <c r="J93" s="10" t="str">
        <f>IF(ISNUMBER('Rates from Ireland Fedex Priort'!J92),_xlfn.CEILING.MATH('Rates from Ireland Fedex Priort'!J92,1)+IF($A93="EU",Variables!$B$6,Variables!$B$3),'Rates from Ireland Fedex Priort'!J92)</f>
        <v>No service</v>
      </c>
      <c r="K93" s="10" t="str">
        <f>IF(ISNUMBER('Rates from Ireland Fedex Priort'!K92),_xlfn.CEILING.MATH('Rates from Ireland Fedex Priort'!K92,1)+IF($A93="EU",Variables!$B$6,Variables!$B$3),'Rates from Ireland Fedex Priort'!K92)</f>
        <v>No service</v>
      </c>
      <c r="L93" s="10" t="str">
        <f>IF(ISNUMBER('Rates from Ireland Fedex Priort'!L92),_xlfn.CEILING.MATH('Rates from Ireland Fedex Priort'!L92,1)+IF($A93="EU",Variables!$B$6,Variables!$B$3),'Rates from Ireland Fedex Priort'!L92)</f>
        <v>No service</v>
      </c>
      <c r="M93" s="10" t="str">
        <f>IF(ISNUMBER('Rates from Ireland Fedex Priort'!M92),_xlfn.CEILING.MATH('Rates from Ireland Fedex Priort'!M92,1)+IF($A93="EU",Variables!$B$6,Variables!$B$3),'Rates from Ireland Fedex Priort'!M92)</f>
        <v>No service</v>
      </c>
      <c r="N93" s="10" t="str">
        <f>IF(ISNUMBER('Rates from Ireland Fedex Priort'!N92),_xlfn.CEILING.MATH('Rates from Ireland Fedex Priort'!N92,1)+IF($A93="EU",Variables!$B$6,Variables!$B$3),'Rates from Ireland Fedex Priort'!N92)</f>
        <v>No service</v>
      </c>
      <c r="O93" s="11" t="s">
        <v>35</v>
      </c>
      <c r="P93" s="11" t="s">
        <v>36</v>
      </c>
      <c r="Q93" s="12">
        <v>80</v>
      </c>
      <c r="R93" s="11" t="s">
        <v>25</v>
      </c>
      <c r="S93" s="3" t="s">
        <v>26</v>
      </c>
      <c r="T93" s="38" t="s">
        <v>27</v>
      </c>
    </row>
    <row r="94" spans="1:20" ht="15.75" customHeight="1" x14ac:dyDescent="0.3">
      <c r="A94" s="39" t="str">
        <f>IF('Rates from Ireland Fedex Priort'!A93="","",'Rates from Ireland Fedex Priort'!A93)</f>
        <v>EU</v>
      </c>
      <c r="B94" s="8" t="str">
        <f>IF('Rates from Ireland Fedex Priort'!B93="","",'Rates from Ireland Fedex Priort'!B93)</f>
        <v>Ireland</v>
      </c>
      <c r="C94" s="9" t="str">
        <f>IF('Rates from Ireland Fedex Priort'!C93="","",'Rates from Ireland Fedex Priort'!C93)</f>
        <v>Guinea-Bissau</v>
      </c>
      <c r="D94" s="10" t="str">
        <f>IF(ISNUMBER('Rates from Ireland Fedex Priort'!D93),_xlfn.CEILING.MATH('Rates from Ireland Fedex Priort'!D93,1)+IF($A94="EU",Variables!$B$5,Variables!$B$2),'Rates from Ireland Fedex Priort'!D93)</f>
        <v>No service</v>
      </c>
      <c r="E94" s="10" t="str">
        <f>IF(ISNUMBER('Rates from Ireland Fedex Priort'!E93),_xlfn.CEILING.MATH('Rates from Ireland Fedex Priort'!E93,1)+IF($A94="EU",Variables!$B$6,Variables!$B$3),'Rates from Ireland Fedex Priort'!E93)</f>
        <v>No service</v>
      </c>
      <c r="F94" s="10" t="str">
        <f>IF(ISNUMBER('Rates from Ireland Fedex Priort'!F93),_xlfn.CEILING.MATH('Rates from Ireland Fedex Priort'!F93,1)+IF($A94="EU",Variables!$B$6,Variables!$B$3),'Rates from Ireland Fedex Priort'!F93)</f>
        <v>No service</v>
      </c>
      <c r="G94" s="10" t="str">
        <f>IF(ISNUMBER('Rates from Ireland Fedex Priort'!G93),_xlfn.CEILING.MATH('Rates from Ireland Fedex Priort'!G93,1)+IF($A94="EU",Variables!$B$6,Variables!$B$3),'Rates from Ireland Fedex Priort'!G93)</f>
        <v>No service</v>
      </c>
      <c r="H94" s="10" t="str">
        <f>IF(ISNUMBER('Rates from Ireland Fedex Priort'!H93),_xlfn.CEILING.MATH('Rates from Ireland Fedex Priort'!H93,1)+IF($A94="EU",Variables!$B$6,Variables!$B$3),'Rates from Ireland Fedex Priort'!H93)</f>
        <v>No service</v>
      </c>
      <c r="I94" s="10" t="str">
        <f>IF(ISNUMBER('Rates from Ireland Fedex Priort'!I93),_xlfn.CEILING.MATH('Rates from Ireland Fedex Priort'!I93,1)+IF($A94="EU",Variables!$B$6,Variables!$B$3),'Rates from Ireland Fedex Priort'!I93)</f>
        <v>No service</v>
      </c>
      <c r="J94" s="10" t="str">
        <f>IF(ISNUMBER('Rates from Ireland Fedex Priort'!J93),_xlfn.CEILING.MATH('Rates from Ireland Fedex Priort'!J93,1)+IF($A94="EU",Variables!$B$6,Variables!$B$3),'Rates from Ireland Fedex Priort'!J93)</f>
        <v>No service</v>
      </c>
      <c r="K94" s="10" t="str">
        <f>IF(ISNUMBER('Rates from Ireland Fedex Priort'!K93),_xlfn.CEILING.MATH('Rates from Ireland Fedex Priort'!K93,1)+IF($A94="EU",Variables!$B$6,Variables!$B$3),'Rates from Ireland Fedex Priort'!K93)</f>
        <v>No service</v>
      </c>
      <c r="L94" s="10" t="str">
        <f>IF(ISNUMBER('Rates from Ireland Fedex Priort'!L93),_xlfn.CEILING.MATH('Rates from Ireland Fedex Priort'!L93,1)+IF($A94="EU",Variables!$B$6,Variables!$B$3),'Rates from Ireland Fedex Priort'!L93)</f>
        <v>No service</v>
      </c>
      <c r="M94" s="10" t="str">
        <f>IF(ISNUMBER('Rates from Ireland Fedex Priort'!M93),_xlfn.CEILING.MATH('Rates from Ireland Fedex Priort'!M93,1)+IF($A94="EU",Variables!$B$6,Variables!$B$3),'Rates from Ireland Fedex Priort'!M93)</f>
        <v>No service</v>
      </c>
      <c r="N94" s="10" t="str">
        <f>IF(ISNUMBER('Rates from Ireland Fedex Priort'!N93),_xlfn.CEILING.MATH('Rates from Ireland Fedex Priort'!N93,1)+IF($A94="EU",Variables!$B$6,Variables!$B$3),'Rates from Ireland Fedex Priort'!N93)</f>
        <v>No service</v>
      </c>
      <c r="O94" s="11"/>
      <c r="P94" s="11"/>
      <c r="Q94" s="11"/>
      <c r="R94" s="11"/>
      <c r="S94" s="3" t="s">
        <v>26</v>
      </c>
      <c r="T94" s="38" t="s">
        <v>27</v>
      </c>
    </row>
    <row r="95" spans="1:20" ht="15.75" customHeight="1" x14ac:dyDescent="0.3">
      <c r="A95" s="39" t="str">
        <f>IF('Rates from Ireland Fedex Priort'!A94="","",'Rates from Ireland Fedex Priort'!A94)</f>
        <v>EU</v>
      </c>
      <c r="B95" s="8" t="str">
        <f>IF('Rates from Ireland Fedex Priort'!B94="","",'Rates from Ireland Fedex Priort'!B94)</f>
        <v>Ireland</v>
      </c>
      <c r="C95" s="9" t="str">
        <f>IF('Rates from Ireland Fedex Priort'!C94="","",'Rates from Ireland Fedex Priort'!C94)</f>
        <v>Guyana</v>
      </c>
      <c r="D95" s="10">
        <f>IF(ISNUMBER('Rates from Ireland Fedex Priort'!D94),_xlfn.CEILING.MATH('Rates from Ireland Fedex Priort'!D94,1)+IF($A95="EU",Variables!$B$5,Variables!$B$2),'Rates from Ireland Fedex Priort'!D94)</f>
        <v>68</v>
      </c>
      <c r="E95" s="10">
        <f>IF(ISNUMBER('Rates from Ireland Fedex Priort'!E94),_xlfn.CEILING.MATH('Rates from Ireland Fedex Priort'!E94,1)+IF($A95="EU",Variables!$B$6,Variables!$B$3),'Rates from Ireland Fedex Priort'!E94)</f>
        <v>77</v>
      </c>
      <c r="F95" s="10">
        <f>IF(ISNUMBER('Rates from Ireland Fedex Priort'!F94),_xlfn.CEILING.MATH('Rates from Ireland Fedex Priort'!F94,1)+IF($A95="EU",Variables!$B$6,Variables!$B$3),'Rates from Ireland Fedex Priort'!F94)</f>
        <v>81</v>
      </c>
      <c r="G95" s="10">
        <f>IF(ISNUMBER('Rates from Ireland Fedex Priort'!G94),_xlfn.CEILING.MATH('Rates from Ireland Fedex Priort'!G94,1)+IF($A95="EU",Variables!$B$6,Variables!$B$3),'Rates from Ireland Fedex Priort'!G94)</f>
        <v>96</v>
      </c>
      <c r="H95" s="10">
        <f>IF(ISNUMBER('Rates from Ireland Fedex Priort'!H94),_xlfn.CEILING.MATH('Rates from Ireland Fedex Priort'!H94,1)+IF($A95="EU",Variables!$B$6,Variables!$B$3),'Rates from Ireland Fedex Priort'!H94)</f>
        <v>117</v>
      </c>
      <c r="I95" s="10">
        <f>IF(ISNUMBER('Rates from Ireland Fedex Priort'!I94),_xlfn.CEILING.MATH('Rates from Ireland Fedex Priort'!I94,1)+IF($A95="EU",Variables!$B$6,Variables!$B$3),'Rates from Ireland Fedex Priort'!I94)</f>
        <v>219</v>
      </c>
      <c r="J95" s="10" t="str">
        <f>IF(ISNUMBER('Rates from Ireland Fedex Priort'!J94),_xlfn.CEILING.MATH('Rates from Ireland Fedex Priort'!J94,1)+IF($A95="EU",Variables!$B$6,Variables!$B$3),'Rates from Ireland Fedex Priort'!J94)</f>
        <v>No service</v>
      </c>
      <c r="K95" s="10" t="str">
        <f>IF(ISNUMBER('Rates from Ireland Fedex Priort'!K94),_xlfn.CEILING.MATH('Rates from Ireland Fedex Priort'!K94,1)+IF($A95="EU",Variables!$B$6,Variables!$B$3),'Rates from Ireland Fedex Priort'!K94)</f>
        <v>No service</v>
      </c>
      <c r="L95" s="10" t="str">
        <f>IF(ISNUMBER('Rates from Ireland Fedex Priort'!L94),_xlfn.CEILING.MATH('Rates from Ireland Fedex Priort'!L94,1)+IF($A95="EU",Variables!$B$6,Variables!$B$3),'Rates from Ireland Fedex Priort'!L94)</f>
        <v>No service</v>
      </c>
      <c r="M95" s="10" t="str">
        <f>IF(ISNUMBER('Rates from Ireland Fedex Priort'!M94),_xlfn.CEILING.MATH('Rates from Ireland Fedex Priort'!M94,1)+IF($A95="EU",Variables!$B$6,Variables!$B$3),'Rates from Ireland Fedex Priort'!M94)</f>
        <v>No service</v>
      </c>
      <c r="N95" s="10" t="str">
        <f>IF(ISNUMBER('Rates from Ireland Fedex Priort'!N94),_xlfn.CEILING.MATH('Rates from Ireland Fedex Priort'!N94,1)+IF($A95="EU",Variables!$B$6,Variables!$B$3),'Rates from Ireland Fedex Priort'!N94)</f>
        <v>No service</v>
      </c>
      <c r="O95" s="11" t="s">
        <v>41</v>
      </c>
      <c r="P95" s="11" t="s">
        <v>23</v>
      </c>
      <c r="Q95" s="12">
        <v>80</v>
      </c>
      <c r="R95" s="11" t="s">
        <v>25</v>
      </c>
      <c r="S95" s="3" t="s">
        <v>26</v>
      </c>
      <c r="T95" s="38" t="s">
        <v>27</v>
      </c>
    </row>
    <row r="96" spans="1:20" ht="15.75" customHeight="1" x14ac:dyDescent="0.3">
      <c r="A96" s="39" t="str">
        <f>IF('Rates from Ireland Fedex Priort'!A95="","",'Rates from Ireland Fedex Priort'!A95)</f>
        <v>EU</v>
      </c>
      <c r="B96" s="8" t="str">
        <f>IF('Rates from Ireland Fedex Priort'!B95="","",'Rates from Ireland Fedex Priort'!B95)</f>
        <v>Ireland</v>
      </c>
      <c r="C96" s="9" t="str">
        <f>IF('Rates from Ireland Fedex Priort'!C95="","",'Rates from Ireland Fedex Priort'!C95)</f>
        <v>Haiti</v>
      </c>
      <c r="D96" s="10">
        <f>IF(ISNUMBER('Rates from Ireland Fedex Priort'!D95),_xlfn.CEILING.MATH('Rates from Ireland Fedex Priort'!D95,1)+IF($A96="EU",Variables!$B$5,Variables!$B$2),'Rates from Ireland Fedex Priort'!D95)</f>
        <v>68</v>
      </c>
      <c r="E96" s="10">
        <f>IF(ISNUMBER('Rates from Ireland Fedex Priort'!E95),_xlfn.CEILING.MATH('Rates from Ireland Fedex Priort'!E95,1)+IF($A96="EU",Variables!$B$6,Variables!$B$3),'Rates from Ireland Fedex Priort'!E95)</f>
        <v>77</v>
      </c>
      <c r="F96" s="10">
        <f>IF(ISNUMBER('Rates from Ireland Fedex Priort'!F95),_xlfn.CEILING.MATH('Rates from Ireland Fedex Priort'!F95,1)+IF($A96="EU",Variables!$B$6,Variables!$B$3),'Rates from Ireland Fedex Priort'!F95)</f>
        <v>81</v>
      </c>
      <c r="G96" s="10">
        <f>IF(ISNUMBER('Rates from Ireland Fedex Priort'!G95),_xlfn.CEILING.MATH('Rates from Ireland Fedex Priort'!G95,1)+IF($A96="EU",Variables!$B$6,Variables!$B$3),'Rates from Ireland Fedex Priort'!G95)</f>
        <v>96</v>
      </c>
      <c r="H96" s="10">
        <f>IF(ISNUMBER('Rates from Ireland Fedex Priort'!H95),_xlfn.CEILING.MATH('Rates from Ireland Fedex Priort'!H95,1)+IF($A96="EU",Variables!$B$6,Variables!$B$3),'Rates from Ireland Fedex Priort'!H95)</f>
        <v>117</v>
      </c>
      <c r="I96" s="10">
        <f>IF(ISNUMBER('Rates from Ireland Fedex Priort'!I95),_xlfn.CEILING.MATH('Rates from Ireland Fedex Priort'!I95,1)+IF($A96="EU",Variables!$B$6,Variables!$B$3),'Rates from Ireland Fedex Priort'!I95)</f>
        <v>219</v>
      </c>
      <c r="J96" s="10" t="str">
        <f>IF(ISNUMBER('Rates from Ireland Fedex Priort'!J95),_xlfn.CEILING.MATH('Rates from Ireland Fedex Priort'!J95,1)+IF($A96="EU",Variables!$B$6,Variables!$B$3),'Rates from Ireland Fedex Priort'!J95)</f>
        <v>No service</v>
      </c>
      <c r="K96" s="10" t="str">
        <f>IF(ISNUMBER('Rates from Ireland Fedex Priort'!K95),_xlfn.CEILING.MATH('Rates from Ireland Fedex Priort'!K95,1)+IF($A96="EU",Variables!$B$6,Variables!$B$3),'Rates from Ireland Fedex Priort'!K95)</f>
        <v>No service</v>
      </c>
      <c r="L96" s="10" t="str">
        <f>IF(ISNUMBER('Rates from Ireland Fedex Priort'!L95),_xlfn.CEILING.MATH('Rates from Ireland Fedex Priort'!L95,1)+IF($A96="EU",Variables!$B$6,Variables!$B$3),'Rates from Ireland Fedex Priort'!L95)</f>
        <v>No service</v>
      </c>
      <c r="M96" s="10" t="str">
        <f>IF(ISNUMBER('Rates from Ireland Fedex Priort'!M95),_xlfn.CEILING.MATH('Rates from Ireland Fedex Priort'!M95,1)+IF($A96="EU",Variables!$B$6,Variables!$B$3),'Rates from Ireland Fedex Priort'!M95)</f>
        <v>No service</v>
      </c>
      <c r="N96" s="10" t="str">
        <f>IF(ISNUMBER('Rates from Ireland Fedex Priort'!N95),_xlfn.CEILING.MATH('Rates from Ireland Fedex Priort'!N95,1)+IF($A96="EU",Variables!$B$6,Variables!$B$3),'Rates from Ireland Fedex Priort'!N95)</f>
        <v>No service</v>
      </c>
      <c r="O96" s="11" t="s">
        <v>41</v>
      </c>
      <c r="P96" s="11" t="s">
        <v>23</v>
      </c>
      <c r="Q96" s="12">
        <v>80</v>
      </c>
      <c r="R96" s="11" t="s">
        <v>25</v>
      </c>
      <c r="S96" s="3" t="s">
        <v>26</v>
      </c>
      <c r="T96" s="38" t="s">
        <v>27</v>
      </c>
    </row>
    <row r="97" spans="1:20" ht="15.75" customHeight="1" x14ac:dyDescent="0.3">
      <c r="A97" s="39" t="str">
        <f>IF('Rates from Ireland Fedex Priort'!A96="","",'Rates from Ireland Fedex Priort'!A96)</f>
        <v>EU</v>
      </c>
      <c r="B97" s="8" t="str">
        <f>IF('Rates from Ireland Fedex Priort'!B96="","",'Rates from Ireland Fedex Priort'!B96)</f>
        <v>Ireland</v>
      </c>
      <c r="C97" s="9" t="str">
        <f>IF('Rates from Ireland Fedex Priort'!C96="","",'Rates from Ireland Fedex Priort'!C96)</f>
        <v>Honduras</v>
      </c>
      <c r="D97" s="10">
        <f>IF(ISNUMBER('Rates from Ireland Fedex Priort'!D96),_xlfn.CEILING.MATH('Rates from Ireland Fedex Priort'!D96,1)+IF($A97="EU",Variables!$B$5,Variables!$B$2),'Rates from Ireland Fedex Priort'!D96)</f>
        <v>68</v>
      </c>
      <c r="E97" s="10">
        <f>IF(ISNUMBER('Rates from Ireland Fedex Priort'!E96),_xlfn.CEILING.MATH('Rates from Ireland Fedex Priort'!E96,1)+IF($A97="EU",Variables!$B$6,Variables!$B$3),'Rates from Ireland Fedex Priort'!E96)</f>
        <v>77</v>
      </c>
      <c r="F97" s="10">
        <f>IF(ISNUMBER('Rates from Ireland Fedex Priort'!F96),_xlfn.CEILING.MATH('Rates from Ireland Fedex Priort'!F96,1)+IF($A97="EU",Variables!$B$6,Variables!$B$3),'Rates from Ireland Fedex Priort'!F96)</f>
        <v>81</v>
      </c>
      <c r="G97" s="10">
        <f>IF(ISNUMBER('Rates from Ireland Fedex Priort'!G96),_xlfn.CEILING.MATH('Rates from Ireland Fedex Priort'!G96,1)+IF($A97="EU",Variables!$B$6,Variables!$B$3),'Rates from Ireland Fedex Priort'!G96)</f>
        <v>96</v>
      </c>
      <c r="H97" s="10">
        <f>IF(ISNUMBER('Rates from Ireland Fedex Priort'!H96),_xlfn.CEILING.MATH('Rates from Ireland Fedex Priort'!H96,1)+IF($A97="EU",Variables!$B$6,Variables!$B$3),'Rates from Ireland Fedex Priort'!H96)</f>
        <v>117</v>
      </c>
      <c r="I97" s="10">
        <f>IF(ISNUMBER('Rates from Ireland Fedex Priort'!I96),_xlfn.CEILING.MATH('Rates from Ireland Fedex Priort'!I96,1)+IF($A97="EU",Variables!$B$6,Variables!$B$3),'Rates from Ireland Fedex Priort'!I96)</f>
        <v>219</v>
      </c>
      <c r="J97" s="10" t="str">
        <f>IF(ISNUMBER('Rates from Ireland Fedex Priort'!J96),_xlfn.CEILING.MATH('Rates from Ireland Fedex Priort'!J96,1)+IF($A97="EU",Variables!$B$6,Variables!$B$3),'Rates from Ireland Fedex Priort'!J96)</f>
        <v>No service</v>
      </c>
      <c r="K97" s="10" t="str">
        <f>IF(ISNUMBER('Rates from Ireland Fedex Priort'!K96),_xlfn.CEILING.MATH('Rates from Ireland Fedex Priort'!K96,1)+IF($A97="EU",Variables!$B$6,Variables!$B$3),'Rates from Ireland Fedex Priort'!K96)</f>
        <v>No service</v>
      </c>
      <c r="L97" s="10" t="str">
        <f>IF(ISNUMBER('Rates from Ireland Fedex Priort'!L96),_xlfn.CEILING.MATH('Rates from Ireland Fedex Priort'!L96,1)+IF($A97="EU",Variables!$B$6,Variables!$B$3),'Rates from Ireland Fedex Priort'!L96)</f>
        <v>No service</v>
      </c>
      <c r="M97" s="10" t="str">
        <f>IF(ISNUMBER('Rates from Ireland Fedex Priort'!M96),_xlfn.CEILING.MATH('Rates from Ireland Fedex Priort'!M96,1)+IF($A97="EU",Variables!$B$6,Variables!$B$3),'Rates from Ireland Fedex Priort'!M96)</f>
        <v>No service</v>
      </c>
      <c r="N97" s="10" t="str">
        <f>IF(ISNUMBER('Rates from Ireland Fedex Priort'!N96),_xlfn.CEILING.MATH('Rates from Ireland Fedex Priort'!N96,1)+IF($A97="EU",Variables!$B$6,Variables!$B$3),'Rates from Ireland Fedex Priort'!N96)</f>
        <v>No service</v>
      </c>
      <c r="O97" s="11" t="s">
        <v>41</v>
      </c>
      <c r="P97" s="11" t="s">
        <v>23</v>
      </c>
      <c r="Q97" s="12">
        <v>80</v>
      </c>
      <c r="R97" s="11" t="s">
        <v>25</v>
      </c>
      <c r="S97" s="3" t="s">
        <v>26</v>
      </c>
      <c r="T97" s="38" t="s">
        <v>27</v>
      </c>
    </row>
    <row r="98" spans="1:20" ht="15.75" customHeight="1" x14ac:dyDescent="0.3">
      <c r="A98" s="39" t="str">
        <f>IF('Rates from Ireland Fedex Priort'!A97="","",'Rates from Ireland Fedex Priort'!A97)</f>
        <v>EU</v>
      </c>
      <c r="B98" s="8" t="str">
        <f>IF('Rates from Ireland Fedex Priort'!B97="","",'Rates from Ireland Fedex Priort'!B97)</f>
        <v>Ireland</v>
      </c>
      <c r="C98" s="9" t="str">
        <f>IF('Rates from Ireland Fedex Priort'!C97="","",'Rates from Ireland Fedex Priort'!C97)</f>
        <v>Hong Kong</v>
      </c>
      <c r="D98" s="10">
        <f>IF(ISNUMBER('Rates from Ireland Fedex Priort'!D97),_xlfn.CEILING.MATH('Rates from Ireland Fedex Priort'!D97,1)+IF($A98="EU",Variables!$B$5,Variables!$B$2),'Rates from Ireland Fedex Priort'!D97)</f>
        <v>59</v>
      </c>
      <c r="E98" s="10">
        <f>IF(ISNUMBER('Rates from Ireland Fedex Priort'!E97),_xlfn.CEILING.MATH('Rates from Ireland Fedex Priort'!E97,1)+IF($A98="EU",Variables!$B$6,Variables!$B$3),'Rates from Ireland Fedex Priort'!E97)</f>
        <v>101</v>
      </c>
      <c r="F98" s="10">
        <f>IF(ISNUMBER('Rates from Ireland Fedex Priort'!F97),_xlfn.CEILING.MATH('Rates from Ireland Fedex Priort'!F97,1)+IF($A98="EU",Variables!$B$6,Variables!$B$3),'Rates from Ireland Fedex Priort'!F97)</f>
        <v>104</v>
      </c>
      <c r="G98" s="10">
        <f>IF(ISNUMBER('Rates from Ireland Fedex Priort'!G97),_xlfn.CEILING.MATH('Rates from Ireland Fedex Priort'!G97,1)+IF($A98="EU",Variables!$B$6,Variables!$B$3),'Rates from Ireland Fedex Priort'!G97)</f>
        <v>117</v>
      </c>
      <c r="H98" s="10">
        <f>IF(ISNUMBER('Rates from Ireland Fedex Priort'!H97),_xlfn.CEILING.MATH('Rates from Ireland Fedex Priort'!H97,1)+IF($A98="EU",Variables!$B$6,Variables!$B$3),'Rates from Ireland Fedex Priort'!H97)</f>
        <v>131</v>
      </c>
      <c r="I98" s="10">
        <f>IF(ISNUMBER('Rates from Ireland Fedex Priort'!I97),_xlfn.CEILING.MATH('Rates from Ireland Fedex Priort'!I97,1)+IF($A98="EU",Variables!$B$6,Variables!$B$3),'Rates from Ireland Fedex Priort'!I97)</f>
        <v>196</v>
      </c>
      <c r="J98" s="10" t="str">
        <f>IF(ISNUMBER('Rates from Ireland Fedex Priort'!J97),_xlfn.CEILING.MATH('Rates from Ireland Fedex Priort'!J97,1)+IF($A98="EU",Variables!$B$6,Variables!$B$3),'Rates from Ireland Fedex Priort'!J97)</f>
        <v>No service</v>
      </c>
      <c r="K98" s="10" t="str">
        <f>IF(ISNUMBER('Rates from Ireland Fedex Priort'!K97),_xlfn.CEILING.MATH('Rates from Ireland Fedex Priort'!K97,1)+IF($A98="EU",Variables!$B$6,Variables!$B$3),'Rates from Ireland Fedex Priort'!K97)</f>
        <v>No service</v>
      </c>
      <c r="L98" s="10" t="str">
        <f>IF(ISNUMBER('Rates from Ireland Fedex Priort'!L97),_xlfn.CEILING.MATH('Rates from Ireland Fedex Priort'!L97,1)+IF($A98="EU",Variables!$B$6,Variables!$B$3),'Rates from Ireland Fedex Priort'!L97)</f>
        <v>No service</v>
      </c>
      <c r="M98" s="10" t="str">
        <f>IF(ISNUMBER('Rates from Ireland Fedex Priort'!M97),_xlfn.CEILING.MATH('Rates from Ireland Fedex Priort'!M97,1)+IF($A98="EU",Variables!$B$6,Variables!$B$3),'Rates from Ireland Fedex Priort'!M97)</f>
        <v>No service</v>
      </c>
      <c r="N98" s="10" t="str">
        <f>IF(ISNUMBER('Rates from Ireland Fedex Priort'!N97),_xlfn.CEILING.MATH('Rates from Ireland Fedex Priort'!N97,1)+IF($A98="EU",Variables!$B$6,Variables!$B$3),'Rates from Ireland Fedex Priort'!N97)</f>
        <v>No service</v>
      </c>
      <c r="O98" s="11" t="s">
        <v>30</v>
      </c>
      <c r="P98" s="11" t="s">
        <v>82</v>
      </c>
      <c r="Q98" s="12">
        <v>80</v>
      </c>
      <c r="R98" s="11" t="s">
        <v>25</v>
      </c>
      <c r="S98" s="3" t="s">
        <v>26</v>
      </c>
      <c r="T98" s="38" t="s">
        <v>27</v>
      </c>
    </row>
    <row r="99" spans="1:20" ht="15.75" customHeight="1" x14ac:dyDescent="0.3">
      <c r="A99" s="39" t="str">
        <f>IF('Rates from Ireland Fedex Priort'!A98="","",'Rates from Ireland Fedex Priort'!A98)</f>
        <v>EU</v>
      </c>
      <c r="B99" s="8" t="str">
        <f>IF('Rates from Ireland Fedex Priort'!B98="","",'Rates from Ireland Fedex Priort'!B98)</f>
        <v>Ireland</v>
      </c>
      <c r="C99" s="9" t="str">
        <f>IF('Rates from Ireland Fedex Priort'!C98="","",'Rates from Ireland Fedex Priort'!C98)</f>
        <v>Hungary</v>
      </c>
      <c r="D99" s="10">
        <f>IF(ISNUMBER('Rates from Ireland Fedex Priort'!D98),_xlfn.CEILING.MATH('Rates from Ireland Fedex Priort'!D98,1)+IF($A99="EU",Variables!$B$5,Variables!$B$2),'Rates from Ireland Fedex Priort'!D98)</f>
        <v>67</v>
      </c>
      <c r="E99" s="10">
        <f>IF(ISNUMBER('Rates from Ireland Fedex Priort'!E98),_xlfn.CEILING.MATH('Rates from Ireland Fedex Priort'!E98,1)+IF($A99="EU",Variables!$B$6,Variables!$B$3),'Rates from Ireland Fedex Priort'!E98)</f>
        <v>74</v>
      </c>
      <c r="F99" s="10">
        <f>IF(ISNUMBER('Rates from Ireland Fedex Priort'!F98),_xlfn.CEILING.MATH('Rates from Ireland Fedex Priort'!F98,1)+IF($A99="EU",Variables!$B$6,Variables!$B$3),'Rates from Ireland Fedex Priort'!F98)</f>
        <v>77</v>
      </c>
      <c r="G99" s="10">
        <f>IF(ISNUMBER('Rates from Ireland Fedex Priort'!G98),_xlfn.CEILING.MATH('Rates from Ireland Fedex Priort'!G98,1)+IF($A99="EU",Variables!$B$6,Variables!$B$3),'Rates from Ireland Fedex Priort'!G98)</f>
        <v>79</v>
      </c>
      <c r="H99" s="10">
        <f>IF(ISNUMBER('Rates from Ireland Fedex Priort'!H98),_xlfn.CEILING.MATH('Rates from Ireland Fedex Priort'!H98,1)+IF($A99="EU",Variables!$B$6,Variables!$B$3),'Rates from Ireland Fedex Priort'!H98)</f>
        <v>82</v>
      </c>
      <c r="I99" s="10">
        <f>IF(ISNUMBER('Rates from Ireland Fedex Priort'!I98),_xlfn.CEILING.MATH('Rates from Ireland Fedex Priort'!I98,1)+IF($A99="EU",Variables!$B$6,Variables!$B$3),'Rates from Ireland Fedex Priort'!I98)</f>
        <v>95</v>
      </c>
      <c r="J99" s="10">
        <f>IF(ISNUMBER('Rates from Ireland Fedex Priort'!J98),_xlfn.CEILING.MATH('Rates from Ireland Fedex Priort'!J98,1)+IF($A99="EU",Variables!$B$6,Variables!$B$3),'Rates from Ireland Fedex Priort'!J98)</f>
        <v>103</v>
      </c>
      <c r="K99" s="10">
        <f>IF(ISNUMBER('Rates from Ireland Fedex Priort'!K98),_xlfn.CEILING.MATH('Rates from Ireland Fedex Priort'!K98,1)+IF($A99="EU",Variables!$B$6,Variables!$B$3),'Rates from Ireland Fedex Priort'!K98)</f>
        <v>112</v>
      </c>
      <c r="L99" s="10">
        <f>IF(ISNUMBER('Rates from Ireland Fedex Priort'!L98),_xlfn.CEILING.MATH('Rates from Ireland Fedex Priort'!L98,1)+IF($A99="EU",Variables!$B$6,Variables!$B$3),'Rates from Ireland Fedex Priort'!L98)</f>
        <v>139</v>
      </c>
      <c r="M99" s="10">
        <f>IF(ISNUMBER('Rates from Ireland Fedex Priort'!M98),_xlfn.CEILING.MATH('Rates from Ireland Fedex Priort'!M98,1)+IF($A99="EU",Variables!$B$6,Variables!$B$3),'Rates from Ireland Fedex Priort'!M98)</f>
        <v>147</v>
      </c>
      <c r="N99" s="10">
        <f>IF(ISNUMBER('Rates from Ireland Fedex Priort'!N98),_xlfn.CEILING.MATH('Rates from Ireland Fedex Priort'!N98,1)+IF($A99="EU",Variables!$B$6,Variables!$B$3),'Rates from Ireland Fedex Priort'!N98)</f>
        <v>152</v>
      </c>
      <c r="O99" s="15" t="s">
        <v>29</v>
      </c>
      <c r="P99" s="15" t="s">
        <v>94</v>
      </c>
      <c r="Q99" s="16">
        <v>80</v>
      </c>
      <c r="R99" s="15" t="s">
        <v>25</v>
      </c>
      <c r="S99" s="17" t="s">
        <v>26</v>
      </c>
      <c r="T99" s="40" t="s">
        <v>27</v>
      </c>
    </row>
    <row r="100" spans="1:20" ht="15.75" customHeight="1" x14ac:dyDescent="0.3">
      <c r="A100" s="39" t="str">
        <f>IF('Rates from Ireland Fedex Priort'!A99="","",'Rates from Ireland Fedex Priort'!A99)</f>
        <v>EU</v>
      </c>
      <c r="B100" s="8" t="str">
        <f>IF('Rates from Ireland Fedex Priort'!B99="","",'Rates from Ireland Fedex Priort'!B99)</f>
        <v>Ireland</v>
      </c>
      <c r="C100" s="9" t="str">
        <f>IF('Rates from Ireland Fedex Priort'!C99="","",'Rates from Ireland Fedex Priort'!C99)</f>
        <v>Iceland</v>
      </c>
      <c r="D100" s="10">
        <f>IF(ISNUMBER('Rates from Ireland Fedex Priort'!D99),_xlfn.CEILING.MATH('Rates from Ireland Fedex Priort'!D99,1)+IF($A100="EU",Variables!$B$5,Variables!$B$2),'Rates from Ireland Fedex Priort'!D99)</f>
        <v>76</v>
      </c>
      <c r="E100" s="10">
        <f>IF(ISNUMBER('Rates from Ireland Fedex Priort'!E99),_xlfn.CEILING.MATH('Rates from Ireland Fedex Priort'!E99,1)+IF($A100="EU",Variables!$B$6,Variables!$B$3),'Rates from Ireland Fedex Priort'!E99)</f>
        <v>100</v>
      </c>
      <c r="F100" s="10">
        <f>IF(ISNUMBER('Rates from Ireland Fedex Priort'!F99),_xlfn.CEILING.MATH('Rates from Ireland Fedex Priort'!F99,1)+IF($A100="EU",Variables!$B$6,Variables!$B$3),'Rates from Ireland Fedex Priort'!F99)</f>
        <v>100</v>
      </c>
      <c r="G100" s="10">
        <f>IF(ISNUMBER('Rates from Ireland Fedex Priort'!G99),_xlfn.CEILING.MATH('Rates from Ireland Fedex Priort'!G99,1)+IF($A100="EU",Variables!$B$6,Variables!$B$3),'Rates from Ireland Fedex Priort'!G99)</f>
        <v>105</v>
      </c>
      <c r="H100" s="10">
        <f>IF(ISNUMBER('Rates from Ireland Fedex Priort'!H99),_xlfn.CEILING.MATH('Rates from Ireland Fedex Priort'!H99,1)+IF($A100="EU",Variables!$B$6,Variables!$B$3),'Rates from Ireland Fedex Priort'!H99)</f>
        <v>117</v>
      </c>
      <c r="I100" s="10">
        <f>IF(ISNUMBER('Rates from Ireland Fedex Priort'!I99),_xlfn.CEILING.MATH('Rates from Ireland Fedex Priort'!I99,1)+IF($A100="EU",Variables!$B$6,Variables!$B$3),'Rates from Ireland Fedex Priort'!I99)</f>
        <v>124</v>
      </c>
      <c r="J100" s="10">
        <f>IF(ISNUMBER('Rates from Ireland Fedex Priort'!J99),_xlfn.CEILING.MATH('Rates from Ireland Fedex Priort'!J99,1)+IF($A100="EU",Variables!$B$6,Variables!$B$3),'Rates from Ireland Fedex Priort'!J99)</f>
        <v>133</v>
      </c>
      <c r="K100" s="10">
        <f>IF(ISNUMBER('Rates from Ireland Fedex Priort'!K99),_xlfn.CEILING.MATH('Rates from Ireland Fedex Priort'!K99,1)+IF($A100="EU",Variables!$B$6,Variables!$B$3),'Rates from Ireland Fedex Priort'!K99)</f>
        <v>142</v>
      </c>
      <c r="L100" s="10">
        <f>IF(ISNUMBER('Rates from Ireland Fedex Priort'!L99),_xlfn.CEILING.MATH('Rates from Ireland Fedex Priort'!L99,1)+IF($A100="EU",Variables!$B$6,Variables!$B$3),'Rates from Ireland Fedex Priort'!L99)</f>
        <v>142</v>
      </c>
      <c r="M100" s="10">
        <f>IF(ISNUMBER('Rates from Ireland Fedex Priort'!M99),_xlfn.CEILING.MATH('Rates from Ireland Fedex Priort'!M99,1)+IF($A100="EU",Variables!$B$6,Variables!$B$3),'Rates from Ireland Fedex Priort'!M99)</f>
        <v>158</v>
      </c>
      <c r="N100" s="10">
        <f>IF(ISNUMBER('Rates from Ireland Fedex Priort'!N99),_xlfn.CEILING.MATH('Rates from Ireland Fedex Priort'!N99,1)+IF($A100="EU",Variables!$B$6,Variables!$B$3),'Rates from Ireland Fedex Priort'!N99)</f>
        <v>175</v>
      </c>
      <c r="O100" s="15" t="s">
        <v>61</v>
      </c>
      <c r="P100" s="15" t="s">
        <v>24</v>
      </c>
      <c r="Q100" s="16">
        <v>80</v>
      </c>
      <c r="R100" s="15" t="s">
        <v>25</v>
      </c>
      <c r="S100" s="17" t="s">
        <v>26</v>
      </c>
      <c r="T100" s="40" t="s">
        <v>27</v>
      </c>
    </row>
    <row r="101" spans="1:20" ht="15.75" customHeight="1" x14ac:dyDescent="0.3">
      <c r="A101" s="39" t="str">
        <f>IF('Rates from Ireland Fedex Priort'!A100="","",'Rates from Ireland Fedex Priort'!A100)</f>
        <v>EU</v>
      </c>
      <c r="B101" s="8" t="str">
        <f>IF('Rates from Ireland Fedex Priort'!B100="","",'Rates from Ireland Fedex Priort'!B100)</f>
        <v>Ireland</v>
      </c>
      <c r="C101" s="9" t="str">
        <f>IF('Rates from Ireland Fedex Priort'!C100="","",'Rates from Ireland Fedex Priort'!C100)</f>
        <v>India</v>
      </c>
      <c r="D101" s="10">
        <f>IF(ISNUMBER('Rates from Ireland Fedex Priort'!D100),_xlfn.CEILING.MATH('Rates from Ireland Fedex Priort'!D100,1)+IF($A101="EU",Variables!$B$5,Variables!$B$2),'Rates from Ireland Fedex Priort'!D100)</f>
        <v>62</v>
      </c>
      <c r="E101" s="10">
        <f>IF(ISNUMBER('Rates from Ireland Fedex Priort'!E100),_xlfn.CEILING.MATH('Rates from Ireland Fedex Priort'!E100,1)+IF($A101="EU",Variables!$B$6,Variables!$B$3),'Rates from Ireland Fedex Priort'!E100)</f>
        <v>69</v>
      </c>
      <c r="F101" s="10">
        <f>IF(ISNUMBER('Rates from Ireland Fedex Priort'!F100),_xlfn.CEILING.MATH('Rates from Ireland Fedex Priort'!F100,1)+IF($A101="EU",Variables!$B$6,Variables!$B$3),'Rates from Ireland Fedex Priort'!F100)</f>
        <v>72</v>
      </c>
      <c r="G101" s="10">
        <f>IF(ISNUMBER('Rates from Ireland Fedex Priort'!G100),_xlfn.CEILING.MATH('Rates from Ireland Fedex Priort'!G100,1)+IF($A101="EU",Variables!$B$6,Variables!$B$3),'Rates from Ireland Fedex Priort'!G100)</f>
        <v>86</v>
      </c>
      <c r="H101" s="10">
        <f>IF(ISNUMBER('Rates from Ireland Fedex Priort'!H100),_xlfn.CEILING.MATH('Rates from Ireland Fedex Priort'!H100,1)+IF($A101="EU",Variables!$B$6,Variables!$B$3),'Rates from Ireland Fedex Priort'!H100)</f>
        <v>111</v>
      </c>
      <c r="I101" s="10">
        <f>IF(ISNUMBER('Rates from Ireland Fedex Priort'!I100),_xlfn.CEILING.MATH('Rates from Ireland Fedex Priort'!I100,1)+IF($A101="EU",Variables!$B$6,Variables!$B$3),'Rates from Ireland Fedex Priort'!I100)</f>
        <v>174</v>
      </c>
      <c r="J101" s="10" t="str">
        <f>IF(ISNUMBER('Rates from Ireland Fedex Priort'!J100),_xlfn.CEILING.MATH('Rates from Ireland Fedex Priort'!J100,1)+IF($A101="EU",Variables!$B$6,Variables!$B$3),'Rates from Ireland Fedex Priort'!J100)</f>
        <v>No service</v>
      </c>
      <c r="K101" s="10" t="str">
        <f>IF(ISNUMBER('Rates from Ireland Fedex Priort'!K100),_xlfn.CEILING.MATH('Rates from Ireland Fedex Priort'!K100,1)+IF($A101="EU",Variables!$B$6,Variables!$B$3),'Rates from Ireland Fedex Priort'!K100)</f>
        <v>No service</v>
      </c>
      <c r="L101" s="10" t="str">
        <f>IF(ISNUMBER('Rates from Ireland Fedex Priort'!L100),_xlfn.CEILING.MATH('Rates from Ireland Fedex Priort'!L100,1)+IF($A101="EU",Variables!$B$6,Variables!$B$3),'Rates from Ireland Fedex Priort'!L100)</f>
        <v>No service</v>
      </c>
      <c r="M101" s="10" t="str">
        <f>IF(ISNUMBER('Rates from Ireland Fedex Priort'!M100),_xlfn.CEILING.MATH('Rates from Ireland Fedex Priort'!M100,1)+IF($A101="EU",Variables!$B$6,Variables!$B$3),'Rates from Ireland Fedex Priort'!M100)</f>
        <v>No service</v>
      </c>
      <c r="N101" s="10" t="str">
        <f>IF(ISNUMBER('Rates from Ireland Fedex Priort'!N100),_xlfn.CEILING.MATH('Rates from Ireland Fedex Priort'!N100,1)+IF($A101="EU",Variables!$B$6,Variables!$B$3),'Rates from Ireland Fedex Priort'!N100)</f>
        <v>No service</v>
      </c>
      <c r="O101" s="11" t="s">
        <v>61</v>
      </c>
      <c r="P101" s="11" t="s">
        <v>94</v>
      </c>
      <c r="Q101" s="12">
        <v>80</v>
      </c>
      <c r="R101" s="11" t="s">
        <v>25</v>
      </c>
      <c r="S101" s="3" t="s">
        <v>26</v>
      </c>
      <c r="T101" s="38" t="s">
        <v>27</v>
      </c>
    </row>
    <row r="102" spans="1:20" ht="15.75" customHeight="1" x14ac:dyDescent="0.3">
      <c r="A102" s="39" t="str">
        <f>IF('Rates from Ireland Fedex Priort'!A101="","",'Rates from Ireland Fedex Priort'!A101)</f>
        <v>EU</v>
      </c>
      <c r="B102" s="8" t="str">
        <f>IF('Rates from Ireland Fedex Priort'!B101="","",'Rates from Ireland Fedex Priort'!B101)</f>
        <v>Ireland</v>
      </c>
      <c r="C102" s="9" t="str">
        <f>IF('Rates from Ireland Fedex Priort'!C101="","",'Rates from Ireland Fedex Priort'!C101)</f>
        <v>Indonesia</v>
      </c>
      <c r="D102" s="10">
        <f>IF(ISNUMBER('Rates from Ireland Fedex Priort'!D101),_xlfn.CEILING.MATH('Rates from Ireland Fedex Priort'!D101,1)+IF($A102="EU",Variables!$B$5,Variables!$B$2),'Rates from Ireland Fedex Priort'!D101)</f>
        <v>69</v>
      </c>
      <c r="E102" s="10">
        <f>IF(ISNUMBER('Rates from Ireland Fedex Priort'!E101),_xlfn.CEILING.MATH('Rates from Ireland Fedex Priort'!E101,1)+IF($A102="EU",Variables!$B$6,Variables!$B$3),'Rates from Ireland Fedex Priort'!E101)</f>
        <v>74</v>
      </c>
      <c r="F102" s="10">
        <f>IF(ISNUMBER('Rates from Ireland Fedex Priort'!F101),_xlfn.CEILING.MATH('Rates from Ireland Fedex Priort'!F101,1)+IF($A102="EU",Variables!$B$6,Variables!$B$3),'Rates from Ireland Fedex Priort'!F101)</f>
        <v>79</v>
      </c>
      <c r="G102" s="10">
        <f>IF(ISNUMBER('Rates from Ireland Fedex Priort'!G101),_xlfn.CEILING.MATH('Rates from Ireland Fedex Priort'!G101,1)+IF($A102="EU",Variables!$B$6,Variables!$B$3),'Rates from Ireland Fedex Priort'!G101)</f>
        <v>95</v>
      </c>
      <c r="H102" s="10">
        <f>IF(ISNUMBER('Rates from Ireland Fedex Priort'!H101),_xlfn.CEILING.MATH('Rates from Ireland Fedex Priort'!H101,1)+IF($A102="EU",Variables!$B$6,Variables!$B$3),'Rates from Ireland Fedex Priort'!H101)</f>
        <v>119</v>
      </c>
      <c r="I102" s="10">
        <f>IF(ISNUMBER('Rates from Ireland Fedex Priort'!I101),_xlfn.CEILING.MATH('Rates from Ireland Fedex Priort'!I101,1)+IF($A102="EU",Variables!$B$6,Variables!$B$3),'Rates from Ireland Fedex Priort'!I101)</f>
        <v>179</v>
      </c>
      <c r="J102" s="10" t="str">
        <f>IF(ISNUMBER('Rates from Ireland Fedex Priort'!J101),_xlfn.CEILING.MATH('Rates from Ireland Fedex Priort'!J101,1)+IF($A102="EU",Variables!$B$6,Variables!$B$3),'Rates from Ireland Fedex Priort'!J101)</f>
        <v>No service</v>
      </c>
      <c r="K102" s="10" t="str">
        <f>IF(ISNUMBER('Rates from Ireland Fedex Priort'!K101),_xlfn.CEILING.MATH('Rates from Ireland Fedex Priort'!K101,1)+IF($A102="EU",Variables!$B$6,Variables!$B$3),'Rates from Ireland Fedex Priort'!K101)</f>
        <v>No service</v>
      </c>
      <c r="L102" s="10" t="str">
        <f>IF(ISNUMBER('Rates from Ireland Fedex Priort'!L101),_xlfn.CEILING.MATH('Rates from Ireland Fedex Priort'!L101,1)+IF($A102="EU",Variables!$B$6,Variables!$B$3),'Rates from Ireland Fedex Priort'!L101)</f>
        <v>No service</v>
      </c>
      <c r="M102" s="10" t="str">
        <f>IF(ISNUMBER('Rates from Ireland Fedex Priort'!M101),_xlfn.CEILING.MATH('Rates from Ireland Fedex Priort'!M101,1)+IF($A102="EU",Variables!$B$6,Variables!$B$3),'Rates from Ireland Fedex Priort'!M101)</f>
        <v>No service</v>
      </c>
      <c r="N102" s="10" t="str">
        <f>IF(ISNUMBER('Rates from Ireland Fedex Priort'!N101),_xlfn.CEILING.MATH('Rates from Ireland Fedex Priort'!N101,1)+IF($A102="EU",Variables!$B$6,Variables!$B$3),'Rates from Ireland Fedex Priort'!N101)</f>
        <v>No service</v>
      </c>
      <c r="O102" s="11" t="s">
        <v>41</v>
      </c>
      <c r="P102" s="11" t="s">
        <v>143</v>
      </c>
      <c r="Q102" s="12">
        <v>80</v>
      </c>
      <c r="R102" s="11" t="s">
        <v>25</v>
      </c>
      <c r="S102" s="3" t="s">
        <v>26</v>
      </c>
      <c r="T102" s="38" t="s">
        <v>27</v>
      </c>
    </row>
    <row r="103" spans="1:20" ht="15.75" customHeight="1" x14ac:dyDescent="0.3">
      <c r="A103" s="39" t="str">
        <f>IF('Rates from Ireland Fedex Priort'!A102="","",'Rates from Ireland Fedex Priort'!A102)</f>
        <v>EU</v>
      </c>
      <c r="B103" s="8" t="str">
        <f>IF('Rates from Ireland Fedex Priort'!B102="","",'Rates from Ireland Fedex Priort'!B102)</f>
        <v>Ireland</v>
      </c>
      <c r="C103" s="9" t="str">
        <f>IF('Rates from Ireland Fedex Priort'!C102="","",'Rates from Ireland Fedex Priort'!C102)</f>
        <v>Iran</v>
      </c>
      <c r="D103" s="10" t="str">
        <f>IF(ISNUMBER('Rates from Ireland Fedex Priort'!D102),_xlfn.CEILING.MATH('Rates from Ireland Fedex Priort'!D102,1)+IF($A103="EU",Variables!$B$5,Variables!$B$2),'Rates from Ireland Fedex Priort'!D102)</f>
        <v>No service</v>
      </c>
      <c r="E103" s="10" t="str">
        <f>IF(ISNUMBER('Rates from Ireland Fedex Priort'!E102),_xlfn.CEILING.MATH('Rates from Ireland Fedex Priort'!E102,1)+IF($A103="EU",Variables!$B$6,Variables!$B$3),'Rates from Ireland Fedex Priort'!E102)</f>
        <v>No service</v>
      </c>
      <c r="F103" s="10" t="str">
        <f>IF(ISNUMBER('Rates from Ireland Fedex Priort'!F102),_xlfn.CEILING.MATH('Rates from Ireland Fedex Priort'!F102,1)+IF($A103="EU",Variables!$B$6,Variables!$B$3),'Rates from Ireland Fedex Priort'!F102)</f>
        <v>No service</v>
      </c>
      <c r="G103" s="10" t="str">
        <f>IF(ISNUMBER('Rates from Ireland Fedex Priort'!G102),_xlfn.CEILING.MATH('Rates from Ireland Fedex Priort'!G102,1)+IF($A103="EU",Variables!$B$6,Variables!$B$3),'Rates from Ireland Fedex Priort'!G102)</f>
        <v>No service</v>
      </c>
      <c r="H103" s="10" t="str">
        <f>IF(ISNUMBER('Rates from Ireland Fedex Priort'!H102),_xlfn.CEILING.MATH('Rates from Ireland Fedex Priort'!H102,1)+IF($A103="EU",Variables!$B$6,Variables!$B$3),'Rates from Ireland Fedex Priort'!H102)</f>
        <v>No service</v>
      </c>
      <c r="I103" s="10" t="str">
        <f>IF(ISNUMBER('Rates from Ireland Fedex Priort'!I102),_xlfn.CEILING.MATH('Rates from Ireland Fedex Priort'!I102,1)+IF($A103="EU",Variables!$B$6,Variables!$B$3),'Rates from Ireland Fedex Priort'!I102)</f>
        <v>No service</v>
      </c>
      <c r="J103" s="10" t="str">
        <f>IF(ISNUMBER('Rates from Ireland Fedex Priort'!J102),_xlfn.CEILING.MATH('Rates from Ireland Fedex Priort'!J102,1)+IF($A103="EU",Variables!$B$6,Variables!$B$3),'Rates from Ireland Fedex Priort'!J102)</f>
        <v>No service</v>
      </c>
      <c r="K103" s="10" t="str">
        <f>IF(ISNUMBER('Rates from Ireland Fedex Priort'!K102),_xlfn.CEILING.MATH('Rates from Ireland Fedex Priort'!K102,1)+IF($A103="EU",Variables!$B$6,Variables!$B$3),'Rates from Ireland Fedex Priort'!K102)</f>
        <v>No service</v>
      </c>
      <c r="L103" s="10" t="str">
        <f>IF(ISNUMBER('Rates from Ireland Fedex Priort'!L102),_xlfn.CEILING.MATH('Rates from Ireland Fedex Priort'!L102,1)+IF($A103="EU",Variables!$B$6,Variables!$B$3),'Rates from Ireland Fedex Priort'!L102)</f>
        <v>No service</v>
      </c>
      <c r="M103" s="10" t="str">
        <f>IF(ISNUMBER('Rates from Ireland Fedex Priort'!M102),_xlfn.CEILING.MATH('Rates from Ireland Fedex Priort'!M102,1)+IF($A103="EU",Variables!$B$6,Variables!$B$3),'Rates from Ireland Fedex Priort'!M102)</f>
        <v>No service</v>
      </c>
      <c r="N103" s="10" t="str">
        <f>IF(ISNUMBER('Rates from Ireland Fedex Priort'!N102),_xlfn.CEILING.MATH('Rates from Ireland Fedex Priort'!N102,1)+IF($A103="EU",Variables!$B$6,Variables!$B$3),'Rates from Ireland Fedex Priort'!N102)</f>
        <v>No service</v>
      </c>
      <c r="O103" s="11"/>
      <c r="P103" s="11"/>
      <c r="Q103" s="11"/>
      <c r="R103" s="11"/>
      <c r="S103" s="3" t="s">
        <v>26</v>
      </c>
      <c r="T103" s="38" t="s">
        <v>27</v>
      </c>
    </row>
    <row r="104" spans="1:20" ht="15.75" customHeight="1" x14ac:dyDescent="0.3">
      <c r="A104" s="39" t="str">
        <f>IF('Rates from Ireland Fedex Priort'!A103="","",'Rates from Ireland Fedex Priort'!A103)</f>
        <v>N/A</v>
      </c>
      <c r="B104" s="8" t="str">
        <f>IF('Rates from Ireland Fedex Priort'!B103="","",'Rates from Ireland Fedex Priort'!B103)</f>
        <v>Ireland</v>
      </c>
      <c r="C104" s="9" t="str">
        <f>IF('Rates from Ireland Fedex Priort'!C103="","",'Rates from Ireland Fedex Priort'!C103)</f>
        <v>Ireland</v>
      </c>
      <c r="D104" s="10">
        <f>IF(ISNUMBER('Rates from Ireland Fedex Priort'!D103),_xlfn.CEILING.MATH('Rates from Ireland Fedex Priort'!D103,1)+IF($A104="EU",Variables!$B$5,Variables!$B$2),'Rates from Ireland Fedex Priort'!D103)</f>
        <v>73</v>
      </c>
      <c r="E104" s="10">
        <f>IF(ISNUMBER('Rates from Ireland Fedex Priort'!E103),_xlfn.CEILING.MATH('Rates from Ireland Fedex Priort'!E103,1)+IF($A104="EU",Variables!$B$6,Variables!$B$3),'Rates from Ireland Fedex Priort'!E103)</f>
        <v>70</v>
      </c>
      <c r="F104" s="10">
        <f>IF(ISNUMBER('Rates from Ireland Fedex Priort'!F103),_xlfn.CEILING.MATH('Rates from Ireland Fedex Priort'!F103,1)+IF($A104="EU",Variables!$B$6,Variables!$B$3),'Rates from Ireland Fedex Priort'!F103)</f>
        <v>70</v>
      </c>
      <c r="G104" s="10">
        <f>IF(ISNUMBER('Rates from Ireland Fedex Priort'!G103),_xlfn.CEILING.MATH('Rates from Ireland Fedex Priort'!G103,1)+IF($A104="EU",Variables!$B$6,Variables!$B$3),'Rates from Ireland Fedex Priort'!G103)</f>
        <v>70</v>
      </c>
      <c r="H104" s="10">
        <f>IF(ISNUMBER('Rates from Ireland Fedex Priort'!H103),_xlfn.CEILING.MATH('Rates from Ireland Fedex Priort'!H103,1)+IF($A104="EU",Variables!$B$6,Variables!$B$3),'Rates from Ireland Fedex Priort'!H103)</f>
        <v>70</v>
      </c>
      <c r="I104" s="10">
        <f>IF(ISNUMBER('Rates from Ireland Fedex Priort'!I103),_xlfn.CEILING.MATH('Rates from Ireland Fedex Priort'!I103,1)+IF($A104="EU",Variables!$B$6,Variables!$B$3),'Rates from Ireland Fedex Priort'!I103)</f>
        <v>70</v>
      </c>
      <c r="J104" s="10" t="str">
        <f>IF(ISNUMBER('Rates from Ireland Fedex Priort'!J103),_xlfn.CEILING.MATH('Rates from Ireland Fedex Priort'!J103,1)+IF($A104="EU",Variables!$B$6,Variables!$B$3),'Rates from Ireland Fedex Priort'!J103)</f>
        <v>No service</v>
      </c>
      <c r="K104" s="10" t="str">
        <f>IF(ISNUMBER('Rates from Ireland Fedex Priort'!K103),_xlfn.CEILING.MATH('Rates from Ireland Fedex Priort'!K103,1)+IF($A104="EU",Variables!$B$6,Variables!$B$3),'Rates from Ireland Fedex Priort'!K103)</f>
        <v>No service</v>
      </c>
      <c r="L104" s="10" t="str">
        <f>IF(ISNUMBER('Rates from Ireland Fedex Priort'!L103),_xlfn.CEILING.MATH('Rates from Ireland Fedex Priort'!L103,1)+IF($A104="EU",Variables!$B$6,Variables!$B$3),'Rates from Ireland Fedex Priort'!L103)</f>
        <v>No service</v>
      </c>
      <c r="M104" s="10" t="str">
        <f>IF(ISNUMBER('Rates from Ireland Fedex Priort'!M103),_xlfn.CEILING.MATH('Rates from Ireland Fedex Priort'!M103,1)+IF($A104="EU",Variables!$B$6,Variables!$B$3),'Rates from Ireland Fedex Priort'!M103)</f>
        <v>No service</v>
      </c>
      <c r="N104" s="10" t="str">
        <f>IF(ISNUMBER('Rates from Ireland Fedex Priort'!N103),_xlfn.CEILING.MATH('Rates from Ireland Fedex Priort'!N103,1)+IF($A104="EU",Variables!$B$6,Variables!$B$3),'Rates from Ireland Fedex Priort'!N103)</f>
        <v>No service</v>
      </c>
      <c r="O104" s="21" t="s">
        <v>145</v>
      </c>
      <c r="P104" s="21" t="s">
        <v>145</v>
      </c>
      <c r="Q104" s="22">
        <v>80</v>
      </c>
      <c r="R104" s="21" t="s">
        <v>25</v>
      </c>
      <c r="S104" s="23" t="s">
        <v>26</v>
      </c>
      <c r="T104" s="41" t="s">
        <v>27</v>
      </c>
    </row>
    <row r="105" spans="1:20" ht="15.75" customHeight="1" x14ac:dyDescent="0.3">
      <c r="A105" s="39" t="str">
        <f>IF('Rates from Ireland Fedex Priort'!A104="","",'Rates from Ireland Fedex Priort'!A104)</f>
        <v>EU</v>
      </c>
      <c r="B105" s="8" t="str">
        <f>IF('Rates from Ireland Fedex Priort'!B104="","",'Rates from Ireland Fedex Priort'!B104)</f>
        <v>Ireland</v>
      </c>
      <c r="C105" s="9" t="str">
        <f>IF('Rates from Ireland Fedex Priort'!C104="","",'Rates from Ireland Fedex Priort'!C104)</f>
        <v>Iraq</v>
      </c>
      <c r="D105" s="10">
        <f>IF(ISNUMBER('Rates from Ireland Fedex Priort'!D104),_xlfn.CEILING.MATH('Rates from Ireland Fedex Priort'!D104,1)+IF($A105="EU",Variables!$B$5,Variables!$B$2),'Rates from Ireland Fedex Priort'!D104)</f>
        <v>72</v>
      </c>
      <c r="E105" s="10">
        <f>IF(ISNUMBER('Rates from Ireland Fedex Priort'!E104),_xlfn.CEILING.MATH('Rates from Ireland Fedex Priort'!E104,1)+IF($A105="EU",Variables!$B$6,Variables!$B$3),'Rates from Ireland Fedex Priort'!E104)</f>
        <v>83</v>
      </c>
      <c r="F105" s="10">
        <f>IF(ISNUMBER('Rates from Ireland Fedex Priort'!F104),_xlfn.CEILING.MATH('Rates from Ireland Fedex Priort'!F104,1)+IF($A105="EU",Variables!$B$6,Variables!$B$3),'Rates from Ireland Fedex Priort'!F104)</f>
        <v>88</v>
      </c>
      <c r="G105" s="10">
        <f>IF(ISNUMBER('Rates from Ireland Fedex Priort'!G104),_xlfn.CEILING.MATH('Rates from Ireland Fedex Priort'!G104,1)+IF($A105="EU",Variables!$B$6,Variables!$B$3),'Rates from Ireland Fedex Priort'!G104)</f>
        <v>106</v>
      </c>
      <c r="H105" s="10">
        <f>IF(ISNUMBER('Rates from Ireland Fedex Priort'!H104),_xlfn.CEILING.MATH('Rates from Ireland Fedex Priort'!H104,1)+IF($A105="EU",Variables!$B$6,Variables!$B$3),'Rates from Ireland Fedex Priort'!H104)</f>
        <v>134</v>
      </c>
      <c r="I105" s="10">
        <f>IF(ISNUMBER('Rates from Ireland Fedex Priort'!I104),_xlfn.CEILING.MATH('Rates from Ireland Fedex Priort'!I104,1)+IF($A105="EU",Variables!$B$6,Variables!$B$3),'Rates from Ireland Fedex Priort'!I104)</f>
        <v>242</v>
      </c>
      <c r="J105" s="10" t="str">
        <f>IF(ISNUMBER('Rates from Ireland Fedex Priort'!J104),_xlfn.CEILING.MATH('Rates from Ireland Fedex Priort'!J104,1)+IF($A105="EU",Variables!$B$6,Variables!$B$3),'Rates from Ireland Fedex Priort'!J104)</f>
        <v>No service</v>
      </c>
      <c r="K105" s="10" t="str">
        <f>IF(ISNUMBER('Rates from Ireland Fedex Priort'!K104),_xlfn.CEILING.MATH('Rates from Ireland Fedex Priort'!K104,1)+IF($A105="EU",Variables!$B$6,Variables!$B$3),'Rates from Ireland Fedex Priort'!K104)</f>
        <v>No service</v>
      </c>
      <c r="L105" s="10" t="str">
        <f>IF(ISNUMBER('Rates from Ireland Fedex Priort'!L104),_xlfn.CEILING.MATH('Rates from Ireland Fedex Priort'!L104,1)+IF($A105="EU",Variables!$B$6,Variables!$B$3),'Rates from Ireland Fedex Priort'!L104)</f>
        <v>No service</v>
      </c>
      <c r="M105" s="10" t="str">
        <f>IF(ISNUMBER('Rates from Ireland Fedex Priort'!M104),_xlfn.CEILING.MATH('Rates from Ireland Fedex Priort'!M104,1)+IF($A105="EU",Variables!$B$6,Variables!$B$3),'Rates from Ireland Fedex Priort'!M104)</f>
        <v>No service</v>
      </c>
      <c r="N105" s="10" t="str">
        <f>IF(ISNUMBER('Rates from Ireland Fedex Priort'!N104),_xlfn.CEILING.MATH('Rates from Ireland Fedex Priort'!N104,1)+IF($A105="EU",Variables!$B$6,Variables!$B$3),'Rates from Ireland Fedex Priort'!N104)</f>
        <v>No service</v>
      </c>
      <c r="O105" s="11" t="s">
        <v>35</v>
      </c>
      <c r="P105" s="11" t="s">
        <v>36</v>
      </c>
      <c r="Q105" s="12">
        <v>80</v>
      </c>
      <c r="R105" s="11" t="s">
        <v>25</v>
      </c>
      <c r="S105" s="3" t="s">
        <v>26</v>
      </c>
      <c r="T105" s="38" t="s">
        <v>27</v>
      </c>
    </row>
    <row r="106" spans="1:20" ht="15.75" customHeight="1" x14ac:dyDescent="0.3">
      <c r="A106" s="39" t="str">
        <f>IF('Rates from Ireland Fedex Priort'!A105="","",'Rates from Ireland Fedex Priort'!A105)</f>
        <v>EU</v>
      </c>
      <c r="B106" s="8" t="str">
        <f>IF('Rates from Ireland Fedex Priort'!B105="","",'Rates from Ireland Fedex Priort'!B105)</f>
        <v>Ireland</v>
      </c>
      <c r="C106" s="9" t="str">
        <f>IF('Rates from Ireland Fedex Priort'!C105="","",'Rates from Ireland Fedex Priort'!C105)</f>
        <v>Isle of Man</v>
      </c>
      <c r="D106" s="10" t="str">
        <f>IF(ISNUMBER('Rates from Ireland Fedex Priort'!D105),_xlfn.CEILING.MATH('Rates from Ireland Fedex Priort'!D105,1)+IF($A106="EU",Variables!$B$5,Variables!$B$2),'Rates from Ireland Fedex Priort'!D105)</f>
        <v>No service</v>
      </c>
      <c r="E106" s="10" t="str">
        <f>IF(ISNUMBER('Rates from Ireland Fedex Priort'!E105),_xlfn.CEILING.MATH('Rates from Ireland Fedex Priort'!E105,1)+IF($A106="EU",Variables!$B$6,Variables!$B$3),'Rates from Ireland Fedex Priort'!E105)</f>
        <v>No service</v>
      </c>
      <c r="F106" s="10" t="str">
        <f>IF(ISNUMBER('Rates from Ireland Fedex Priort'!F105),_xlfn.CEILING.MATH('Rates from Ireland Fedex Priort'!F105,1)+IF($A106="EU",Variables!$B$6,Variables!$B$3),'Rates from Ireland Fedex Priort'!F105)</f>
        <v>No service</v>
      </c>
      <c r="G106" s="10" t="str">
        <f>IF(ISNUMBER('Rates from Ireland Fedex Priort'!G105),_xlfn.CEILING.MATH('Rates from Ireland Fedex Priort'!G105,1)+IF($A106="EU",Variables!$B$6,Variables!$B$3),'Rates from Ireland Fedex Priort'!G105)</f>
        <v>No service</v>
      </c>
      <c r="H106" s="10" t="str">
        <f>IF(ISNUMBER('Rates from Ireland Fedex Priort'!H105),_xlfn.CEILING.MATH('Rates from Ireland Fedex Priort'!H105,1)+IF($A106="EU",Variables!$B$6,Variables!$B$3),'Rates from Ireland Fedex Priort'!H105)</f>
        <v>No service</v>
      </c>
      <c r="I106" s="10" t="str">
        <f>IF(ISNUMBER('Rates from Ireland Fedex Priort'!I105),_xlfn.CEILING.MATH('Rates from Ireland Fedex Priort'!I105,1)+IF($A106="EU",Variables!$B$6,Variables!$B$3),'Rates from Ireland Fedex Priort'!I105)</f>
        <v>No service</v>
      </c>
      <c r="J106" s="10" t="str">
        <f>IF(ISNUMBER('Rates from Ireland Fedex Priort'!J105),_xlfn.CEILING.MATH('Rates from Ireland Fedex Priort'!J105,1)+IF($A106="EU",Variables!$B$6,Variables!$B$3),'Rates from Ireland Fedex Priort'!J105)</f>
        <v>No service</v>
      </c>
      <c r="K106" s="10" t="str">
        <f>IF(ISNUMBER('Rates from Ireland Fedex Priort'!K105),_xlfn.CEILING.MATH('Rates from Ireland Fedex Priort'!K105,1)+IF($A106="EU",Variables!$B$6,Variables!$B$3),'Rates from Ireland Fedex Priort'!K105)</f>
        <v>No service</v>
      </c>
      <c r="L106" s="10" t="str">
        <f>IF(ISNUMBER('Rates from Ireland Fedex Priort'!L105),_xlfn.CEILING.MATH('Rates from Ireland Fedex Priort'!L105,1)+IF($A106="EU",Variables!$B$6,Variables!$B$3),'Rates from Ireland Fedex Priort'!L105)</f>
        <v>No service</v>
      </c>
      <c r="M106" s="10" t="str">
        <f>IF(ISNUMBER('Rates from Ireland Fedex Priort'!M105),_xlfn.CEILING.MATH('Rates from Ireland Fedex Priort'!M105,1)+IF($A106="EU",Variables!$B$6,Variables!$B$3),'Rates from Ireland Fedex Priort'!M105)</f>
        <v>No service</v>
      </c>
      <c r="N106" s="10" t="str">
        <f>IF(ISNUMBER('Rates from Ireland Fedex Priort'!N105),_xlfn.CEILING.MATH('Rates from Ireland Fedex Priort'!N105,1)+IF($A106="EU",Variables!$B$6,Variables!$B$3),'Rates from Ireland Fedex Priort'!N105)</f>
        <v>No service</v>
      </c>
      <c r="O106" s="11"/>
      <c r="P106" s="11"/>
      <c r="Q106" s="11"/>
      <c r="R106" s="11" t="s">
        <v>25</v>
      </c>
      <c r="S106" s="3" t="s">
        <v>26</v>
      </c>
      <c r="T106" s="38" t="s">
        <v>27</v>
      </c>
    </row>
    <row r="107" spans="1:20" ht="15.75" customHeight="1" x14ac:dyDescent="0.3">
      <c r="A107" s="39" t="str">
        <f>IF('Rates from Ireland Fedex Priort'!A106="","",'Rates from Ireland Fedex Priort'!A106)</f>
        <v>EU</v>
      </c>
      <c r="B107" s="8" t="str">
        <f>IF('Rates from Ireland Fedex Priort'!B106="","",'Rates from Ireland Fedex Priort'!B106)</f>
        <v>Ireland</v>
      </c>
      <c r="C107" s="9" t="str">
        <f>IF('Rates from Ireland Fedex Priort'!C106="","",'Rates from Ireland Fedex Priort'!C106)</f>
        <v>Israel</v>
      </c>
      <c r="D107" s="10">
        <f>IF(ISNUMBER('Rates from Ireland Fedex Priort'!D106),_xlfn.CEILING.MATH('Rates from Ireland Fedex Priort'!D106,1)+IF($A107="EU",Variables!$B$5,Variables!$B$2),'Rates from Ireland Fedex Priort'!D106)</f>
        <v>62</v>
      </c>
      <c r="E107" s="10">
        <f>IF(ISNUMBER('Rates from Ireland Fedex Priort'!E106),_xlfn.CEILING.MATH('Rates from Ireland Fedex Priort'!E106,1)+IF($A107="EU",Variables!$B$6,Variables!$B$3),'Rates from Ireland Fedex Priort'!E106)</f>
        <v>69</v>
      </c>
      <c r="F107" s="10">
        <f>IF(ISNUMBER('Rates from Ireland Fedex Priort'!F106),_xlfn.CEILING.MATH('Rates from Ireland Fedex Priort'!F106,1)+IF($A107="EU",Variables!$B$6,Variables!$B$3),'Rates from Ireland Fedex Priort'!F106)</f>
        <v>72</v>
      </c>
      <c r="G107" s="10">
        <f>IF(ISNUMBER('Rates from Ireland Fedex Priort'!G106),_xlfn.CEILING.MATH('Rates from Ireland Fedex Priort'!G106,1)+IF($A107="EU",Variables!$B$6,Variables!$B$3),'Rates from Ireland Fedex Priort'!G106)</f>
        <v>86</v>
      </c>
      <c r="H107" s="10">
        <f>IF(ISNUMBER('Rates from Ireland Fedex Priort'!H106),_xlfn.CEILING.MATH('Rates from Ireland Fedex Priort'!H106,1)+IF($A107="EU",Variables!$B$6,Variables!$B$3),'Rates from Ireland Fedex Priort'!H106)</f>
        <v>111</v>
      </c>
      <c r="I107" s="10">
        <f>IF(ISNUMBER('Rates from Ireland Fedex Priort'!I106),_xlfn.CEILING.MATH('Rates from Ireland Fedex Priort'!I106,1)+IF($A107="EU",Variables!$B$6,Variables!$B$3),'Rates from Ireland Fedex Priort'!I106)</f>
        <v>174</v>
      </c>
      <c r="J107" s="10" t="str">
        <f>IF(ISNUMBER('Rates from Ireland Fedex Priort'!J106),_xlfn.CEILING.MATH('Rates from Ireland Fedex Priort'!J106,1)+IF($A107="EU",Variables!$B$6,Variables!$B$3),'Rates from Ireland Fedex Priort'!J106)</f>
        <v>No service</v>
      </c>
      <c r="K107" s="10" t="str">
        <f>IF(ISNUMBER('Rates from Ireland Fedex Priort'!K106),_xlfn.CEILING.MATH('Rates from Ireland Fedex Priort'!K106,1)+IF($A107="EU",Variables!$B$6,Variables!$B$3),'Rates from Ireland Fedex Priort'!K106)</f>
        <v>No service</v>
      </c>
      <c r="L107" s="10" t="str">
        <f>IF(ISNUMBER('Rates from Ireland Fedex Priort'!L106),_xlfn.CEILING.MATH('Rates from Ireland Fedex Priort'!L106,1)+IF($A107="EU",Variables!$B$6,Variables!$B$3),'Rates from Ireland Fedex Priort'!L106)</f>
        <v>No service</v>
      </c>
      <c r="M107" s="10" t="str">
        <f>IF(ISNUMBER('Rates from Ireland Fedex Priort'!M106),_xlfn.CEILING.MATH('Rates from Ireland Fedex Priort'!M106,1)+IF($A107="EU",Variables!$B$6,Variables!$B$3),'Rates from Ireland Fedex Priort'!M106)</f>
        <v>No service</v>
      </c>
      <c r="N107" s="10" t="str">
        <f>IF(ISNUMBER('Rates from Ireland Fedex Priort'!N106),_xlfn.CEILING.MATH('Rates from Ireland Fedex Priort'!N106,1)+IF($A107="EU",Variables!$B$6,Variables!$B$3),'Rates from Ireland Fedex Priort'!N106)</f>
        <v>No service</v>
      </c>
      <c r="O107" s="11" t="s">
        <v>29</v>
      </c>
      <c r="P107" s="11" t="s">
        <v>30</v>
      </c>
      <c r="Q107" s="12">
        <v>80</v>
      </c>
      <c r="R107" s="11" t="s">
        <v>25</v>
      </c>
      <c r="S107" s="3" t="s">
        <v>26</v>
      </c>
      <c r="T107" s="38" t="s">
        <v>27</v>
      </c>
    </row>
    <row r="108" spans="1:20" ht="15.75" customHeight="1" x14ac:dyDescent="0.3">
      <c r="A108" s="39" t="str">
        <f>IF('Rates from Ireland Fedex Priort'!A107="","",'Rates from Ireland Fedex Priort'!A107)</f>
        <v>EU</v>
      </c>
      <c r="B108" s="8" t="str">
        <f>IF('Rates from Ireland Fedex Priort'!B107="","",'Rates from Ireland Fedex Priort'!B107)</f>
        <v>Ireland</v>
      </c>
      <c r="C108" s="9" t="str">
        <f>IF('Rates from Ireland Fedex Priort'!C107="","",'Rates from Ireland Fedex Priort'!C107)</f>
        <v>Italy</v>
      </c>
      <c r="D108" s="10">
        <f>IF(ISNUMBER('Rates from Ireland Fedex Priort'!D107),_xlfn.CEILING.MATH('Rates from Ireland Fedex Priort'!D107,1)+IF($A108="EU",Variables!$B$5,Variables!$B$2),'Rates from Ireland Fedex Priort'!D107)</f>
        <v>63</v>
      </c>
      <c r="E108" s="10">
        <f>IF(ISNUMBER('Rates from Ireland Fedex Priort'!E107),_xlfn.CEILING.MATH('Rates from Ireland Fedex Priort'!E107,1)+IF($A108="EU",Variables!$B$6,Variables!$B$3),'Rates from Ireland Fedex Priort'!E107)</f>
        <v>65</v>
      </c>
      <c r="F108" s="10">
        <f>IF(ISNUMBER('Rates from Ireland Fedex Priort'!F107),_xlfn.CEILING.MATH('Rates from Ireland Fedex Priort'!F107,1)+IF($A108="EU",Variables!$B$6,Variables!$B$3),'Rates from Ireland Fedex Priort'!F107)</f>
        <v>65</v>
      </c>
      <c r="G108" s="10">
        <f>IF(ISNUMBER('Rates from Ireland Fedex Priort'!G107),_xlfn.CEILING.MATH('Rates from Ireland Fedex Priort'!G107,1)+IF($A108="EU",Variables!$B$6,Variables!$B$3),'Rates from Ireland Fedex Priort'!G107)</f>
        <v>68</v>
      </c>
      <c r="H108" s="10">
        <f>IF(ISNUMBER('Rates from Ireland Fedex Priort'!H107),_xlfn.CEILING.MATH('Rates from Ireland Fedex Priort'!H107,1)+IF($A108="EU",Variables!$B$6,Variables!$B$3),'Rates from Ireland Fedex Priort'!H107)</f>
        <v>74</v>
      </c>
      <c r="I108" s="10">
        <f>IF(ISNUMBER('Rates from Ireland Fedex Priort'!I107),_xlfn.CEILING.MATH('Rates from Ireland Fedex Priort'!I107,1)+IF($A108="EU",Variables!$B$6,Variables!$B$3),'Rates from Ireland Fedex Priort'!I107)</f>
        <v>81</v>
      </c>
      <c r="J108" s="10">
        <f>IF(ISNUMBER('Rates from Ireland Fedex Priort'!J107),_xlfn.CEILING.MATH('Rates from Ireland Fedex Priort'!J107,1)+IF($A108="EU",Variables!$B$6,Variables!$B$3),'Rates from Ireland Fedex Priort'!J107)</f>
        <v>87</v>
      </c>
      <c r="K108" s="10">
        <f>IF(ISNUMBER('Rates from Ireland Fedex Priort'!K107),_xlfn.CEILING.MATH('Rates from Ireland Fedex Priort'!K107,1)+IF($A108="EU",Variables!$B$6,Variables!$B$3),'Rates from Ireland Fedex Priort'!K107)</f>
        <v>93</v>
      </c>
      <c r="L108" s="10">
        <f>IF(ISNUMBER('Rates from Ireland Fedex Priort'!L107),_xlfn.CEILING.MATH('Rates from Ireland Fedex Priort'!L107,1)+IF($A108="EU",Variables!$B$6,Variables!$B$3),'Rates from Ireland Fedex Priort'!L107)</f>
        <v>99</v>
      </c>
      <c r="M108" s="10">
        <f>IF(ISNUMBER('Rates from Ireland Fedex Priort'!M107),_xlfn.CEILING.MATH('Rates from Ireland Fedex Priort'!M107,1)+IF($A108="EU",Variables!$B$6,Variables!$B$3),'Rates from Ireland Fedex Priort'!M107)</f>
        <v>112</v>
      </c>
      <c r="N108" s="10">
        <f>IF(ISNUMBER('Rates from Ireland Fedex Priort'!N107),_xlfn.CEILING.MATH('Rates from Ireland Fedex Priort'!N107,1)+IF($A108="EU",Variables!$B$6,Variables!$B$3),'Rates from Ireland Fedex Priort'!N107)</f>
        <v>127</v>
      </c>
      <c r="O108" s="15" t="s">
        <v>29</v>
      </c>
      <c r="P108" s="15" t="s">
        <v>38</v>
      </c>
      <c r="Q108" s="16">
        <v>80</v>
      </c>
      <c r="R108" s="15" t="s">
        <v>25</v>
      </c>
      <c r="S108" s="17" t="s">
        <v>26</v>
      </c>
      <c r="T108" s="40" t="s">
        <v>27</v>
      </c>
    </row>
    <row r="109" spans="1:20" ht="15.75" customHeight="1" x14ac:dyDescent="0.3">
      <c r="A109" s="39" t="str">
        <f>IF('Rates from Ireland Fedex Priort'!A108="","",'Rates from Ireland Fedex Priort'!A108)</f>
        <v>EU</v>
      </c>
      <c r="B109" s="8" t="str">
        <f>IF('Rates from Ireland Fedex Priort'!B108="","",'Rates from Ireland Fedex Priort'!B108)</f>
        <v>Ireland</v>
      </c>
      <c r="C109" s="9" t="str">
        <f>IF('Rates from Ireland Fedex Priort'!C108="","",'Rates from Ireland Fedex Priort'!C108)</f>
        <v>Italy Island</v>
      </c>
      <c r="D109" s="10">
        <f>IF(ISNUMBER('Rates from Ireland Fedex Priort'!D108),_xlfn.CEILING.MATH('Rates from Ireland Fedex Priort'!D108,1)+IF($A109="EU",Variables!$B$5,Variables!$B$2),'Rates from Ireland Fedex Priort'!D108)</f>
        <v>80</v>
      </c>
      <c r="E109" s="10">
        <f>IF(ISNUMBER('Rates from Ireland Fedex Priort'!E108),_xlfn.CEILING.MATH('Rates from Ireland Fedex Priort'!E108,1)+IF($A109="EU",Variables!$B$6,Variables!$B$3),'Rates from Ireland Fedex Priort'!E108)</f>
        <v>104</v>
      </c>
      <c r="F109" s="10">
        <f>IF(ISNUMBER('Rates from Ireland Fedex Priort'!F108),_xlfn.CEILING.MATH('Rates from Ireland Fedex Priort'!F108,1)+IF($A109="EU",Variables!$B$6,Variables!$B$3),'Rates from Ireland Fedex Priort'!F108)</f>
        <v>105</v>
      </c>
      <c r="G109" s="10">
        <f>IF(ISNUMBER('Rates from Ireland Fedex Priort'!G108),_xlfn.CEILING.MATH('Rates from Ireland Fedex Priort'!G108,1)+IF($A109="EU",Variables!$B$6,Variables!$B$3),'Rates from Ireland Fedex Priort'!G108)</f>
        <v>112</v>
      </c>
      <c r="H109" s="10">
        <f>IF(ISNUMBER('Rates from Ireland Fedex Priort'!H108),_xlfn.CEILING.MATH('Rates from Ireland Fedex Priort'!H108,1)+IF($A109="EU",Variables!$B$6,Variables!$B$3),'Rates from Ireland Fedex Priort'!H108)</f>
        <v>118</v>
      </c>
      <c r="I109" s="10">
        <f>IF(ISNUMBER('Rates from Ireland Fedex Priort'!I108),_xlfn.CEILING.MATH('Rates from Ireland Fedex Priort'!I108,1)+IF($A109="EU",Variables!$B$6,Variables!$B$3),'Rates from Ireland Fedex Priort'!I108)</f>
        <v>122</v>
      </c>
      <c r="J109" s="10">
        <f>IF(ISNUMBER('Rates from Ireland Fedex Priort'!J108),_xlfn.CEILING.MATH('Rates from Ireland Fedex Priort'!J108,1)+IF($A109="EU",Variables!$B$6,Variables!$B$3),'Rates from Ireland Fedex Priort'!J108)</f>
        <v>129</v>
      </c>
      <c r="K109" s="10">
        <f>IF(ISNUMBER('Rates from Ireland Fedex Priort'!K108),_xlfn.CEILING.MATH('Rates from Ireland Fedex Priort'!K108,1)+IF($A109="EU",Variables!$B$6,Variables!$B$3),'Rates from Ireland Fedex Priort'!K108)</f>
        <v>144</v>
      </c>
      <c r="L109" s="10">
        <f>IF(ISNUMBER('Rates from Ireland Fedex Priort'!L108),_xlfn.CEILING.MATH('Rates from Ireland Fedex Priort'!L108,1)+IF($A109="EU",Variables!$B$6,Variables!$B$3),'Rates from Ireland Fedex Priort'!L108)</f>
        <v>143</v>
      </c>
      <c r="M109" s="10">
        <f>IF(ISNUMBER('Rates from Ireland Fedex Priort'!M108),_xlfn.CEILING.MATH('Rates from Ireland Fedex Priort'!M108,1)+IF($A109="EU",Variables!$B$6,Variables!$B$3),'Rates from Ireland Fedex Priort'!M108)</f>
        <v>154</v>
      </c>
      <c r="N109" s="10">
        <f>IF(ISNUMBER('Rates from Ireland Fedex Priort'!N108),_xlfn.CEILING.MATH('Rates from Ireland Fedex Priort'!N108,1)+IF($A109="EU",Variables!$B$6,Variables!$B$3),'Rates from Ireland Fedex Priort'!N108)</f>
        <v>170</v>
      </c>
      <c r="O109" s="15" t="s">
        <v>23</v>
      </c>
      <c r="P109" s="15" t="s">
        <v>39</v>
      </c>
      <c r="Q109" s="16">
        <v>80</v>
      </c>
      <c r="R109" s="15" t="s">
        <v>25</v>
      </c>
      <c r="S109" s="17" t="s">
        <v>26</v>
      </c>
      <c r="T109" s="40" t="s">
        <v>27</v>
      </c>
    </row>
    <row r="110" spans="1:20" ht="15.75" customHeight="1" x14ac:dyDescent="0.3">
      <c r="A110" s="39" t="str">
        <f>IF('Rates from Ireland Fedex Priort'!A109="","",'Rates from Ireland Fedex Priort'!A109)</f>
        <v>EU</v>
      </c>
      <c r="B110" s="8" t="str">
        <f>IF('Rates from Ireland Fedex Priort'!B109="","",'Rates from Ireland Fedex Priort'!B109)</f>
        <v>Ireland</v>
      </c>
      <c r="C110" s="9" t="str">
        <f>IF('Rates from Ireland Fedex Priort'!C109="","",'Rates from Ireland Fedex Priort'!C109)</f>
        <v>Ivory Coast</v>
      </c>
      <c r="D110" s="10">
        <f>IF(ISNUMBER('Rates from Ireland Fedex Priort'!D109),_xlfn.CEILING.MATH('Rates from Ireland Fedex Priort'!D109,1)+IF($A110="EU",Variables!$B$5,Variables!$B$2),'Rates from Ireland Fedex Priort'!D109)</f>
        <v>72</v>
      </c>
      <c r="E110" s="10">
        <f>IF(ISNUMBER('Rates from Ireland Fedex Priort'!E109),_xlfn.CEILING.MATH('Rates from Ireland Fedex Priort'!E109,1)+IF($A110="EU",Variables!$B$6,Variables!$B$3),'Rates from Ireland Fedex Priort'!E109)</f>
        <v>83</v>
      </c>
      <c r="F110" s="10">
        <f>IF(ISNUMBER('Rates from Ireland Fedex Priort'!F109),_xlfn.CEILING.MATH('Rates from Ireland Fedex Priort'!F109,1)+IF($A110="EU",Variables!$B$6,Variables!$B$3),'Rates from Ireland Fedex Priort'!F109)</f>
        <v>88</v>
      </c>
      <c r="G110" s="10">
        <f>IF(ISNUMBER('Rates from Ireland Fedex Priort'!G109),_xlfn.CEILING.MATH('Rates from Ireland Fedex Priort'!G109,1)+IF($A110="EU",Variables!$B$6,Variables!$B$3),'Rates from Ireland Fedex Priort'!G109)</f>
        <v>106</v>
      </c>
      <c r="H110" s="10">
        <f>IF(ISNUMBER('Rates from Ireland Fedex Priort'!H109),_xlfn.CEILING.MATH('Rates from Ireland Fedex Priort'!H109,1)+IF($A110="EU",Variables!$B$6,Variables!$B$3),'Rates from Ireland Fedex Priort'!H109)</f>
        <v>134</v>
      </c>
      <c r="I110" s="10">
        <f>IF(ISNUMBER('Rates from Ireland Fedex Priort'!I109),_xlfn.CEILING.MATH('Rates from Ireland Fedex Priort'!I109,1)+IF($A110="EU",Variables!$B$6,Variables!$B$3),'Rates from Ireland Fedex Priort'!I109)</f>
        <v>242</v>
      </c>
      <c r="J110" s="10" t="str">
        <f>IF(ISNUMBER('Rates from Ireland Fedex Priort'!J109),_xlfn.CEILING.MATH('Rates from Ireland Fedex Priort'!J109,1)+IF($A110="EU",Variables!$B$6,Variables!$B$3),'Rates from Ireland Fedex Priort'!J109)</f>
        <v>No service</v>
      </c>
      <c r="K110" s="10" t="str">
        <f>IF(ISNUMBER('Rates from Ireland Fedex Priort'!K109),_xlfn.CEILING.MATH('Rates from Ireland Fedex Priort'!K109,1)+IF($A110="EU",Variables!$B$6,Variables!$B$3),'Rates from Ireland Fedex Priort'!K109)</f>
        <v>No service</v>
      </c>
      <c r="L110" s="10" t="str">
        <f>IF(ISNUMBER('Rates from Ireland Fedex Priort'!L109),_xlfn.CEILING.MATH('Rates from Ireland Fedex Priort'!L109,1)+IF($A110="EU",Variables!$B$6,Variables!$B$3),'Rates from Ireland Fedex Priort'!L109)</f>
        <v>No service</v>
      </c>
      <c r="M110" s="10" t="str">
        <f>IF(ISNUMBER('Rates from Ireland Fedex Priort'!M109),_xlfn.CEILING.MATH('Rates from Ireland Fedex Priort'!M109,1)+IF($A110="EU",Variables!$B$6,Variables!$B$3),'Rates from Ireland Fedex Priort'!M109)</f>
        <v>No service</v>
      </c>
      <c r="N110" s="10" t="str">
        <f>IF(ISNUMBER('Rates from Ireland Fedex Priort'!N109),_xlfn.CEILING.MATH('Rates from Ireland Fedex Priort'!N109,1)+IF($A110="EU",Variables!$B$6,Variables!$B$3),'Rates from Ireland Fedex Priort'!N109)</f>
        <v>No service</v>
      </c>
      <c r="O110" s="11" t="s">
        <v>35</v>
      </c>
      <c r="P110" s="11" t="s">
        <v>36</v>
      </c>
      <c r="Q110" s="12">
        <v>80</v>
      </c>
      <c r="R110" s="11" t="s">
        <v>25</v>
      </c>
      <c r="S110" s="3" t="s">
        <v>26</v>
      </c>
      <c r="T110" s="38" t="s">
        <v>27</v>
      </c>
    </row>
    <row r="111" spans="1:20" ht="15.75" customHeight="1" x14ac:dyDescent="0.3">
      <c r="A111" s="39" t="str">
        <f>IF('Rates from Ireland Fedex Priort'!A110="","",'Rates from Ireland Fedex Priort'!A110)</f>
        <v>EU</v>
      </c>
      <c r="B111" s="8" t="str">
        <f>IF('Rates from Ireland Fedex Priort'!B110="","",'Rates from Ireland Fedex Priort'!B110)</f>
        <v>Ireland</v>
      </c>
      <c r="C111" s="9" t="str">
        <f>IF('Rates from Ireland Fedex Priort'!C110="","",'Rates from Ireland Fedex Priort'!C110)</f>
        <v>Jamaica</v>
      </c>
      <c r="D111" s="10">
        <f>IF(ISNUMBER('Rates from Ireland Fedex Priort'!D110),_xlfn.CEILING.MATH('Rates from Ireland Fedex Priort'!D110,1)+IF($A111="EU",Variables!$B$5,Variables!$B$2),'Rates from Ireland Fedex Priort'!D110)</f>
        <v>68</v>
      </c>
      <c r="E111" s="10">
        <f>IF(ISNUMBER('Rates from Ireland Fedex Priort'!E110),_xlfn.CEILING.MATH('Rates from Ireland Fedex Priort'!E110,1)+IF($A111="EU",Variables!$B$6,Variables!$B$3),'Rates from Ireland Fedex Priort'!E110)</f>
        <v>77</v>
      </c>
      <c r="F111" s="10">
        <f>IF(ISNUMBER('Rates from Ireland Fedex Priort'!F110),_xlfn.CEILING.MATH('Rates from Ireland Fedex Priort'!F110,1)+IF($A111="EU",Variables!$B$6,Variables!$B$3),'Rates from Ireland Fedex Priort'!F110)</f>
        <v>81</v>
      </c>
      <c r="G111" s="10">
        <f>IF(ISNUMBER('Rates from Ireland Fedex Priort'!G110),_xlfn.CEILING.MATH('Rates from Ireland Fedex Priort'!G110,1)+IF($A111="EU",Variables!$B$6,Variables!$B$3),'Rates from Ireland Fedex Priort'!G110)</f>
        <v>96</v>
      </c>
      <c r="H111" s="10">
        <f>IF(ISNUMBER('Rates from Ireland Fedex Priort'!H110),_xlfn.CEILING.MATH('Rates from Ireland Fedex Priort'!H110,1)+IF($A111="EU",Variables!$B$6,Variables!$B$3),'Rates from Ireland Fedex Priort'!H110)</f>
        <v>117</v>
      </c>
      <c r="I111" s="10">
        <f>IF(ISNUMBER('Rates from Ireland Fedex Priort'!I110),_xlfn.CEILING.MATH('Rates from Ireland Fedex Priort'!I110,1)+IF($A111="EU",Variables!$B$6,Variables!$B$3),'Rates from Ireland Fedex Priort'!I110)</f>
        <v>219</v>
      </c>
      <c r="J111" s="10" t="str">
        <f>IF(ISNUMBER('Rates from Ireland Fedex Priort'!J110),_xlfn.CEILING.MATH('Rates from Ireland Fedex Priort'!J110,1)+IF($A111="EU",Variables!$B$6,Variables!$B$3),'Rates from Ireland Fedex Priort'!J110)</f>
        <v>No service</v>
      </c>
      <c r="K111" s="10" t="str">
        <f>IF(ISNUMBER('Rates from Ireland Fedex Priort'!K110),_xlfn.CEILING.MATH('Rates from Ireland Fedex Priort'!K110,1)+IF($A111="EU",Variables!$B$6,Variables!$B$3),'Rates from Ireland Fedex Priort'!K110)</f>
        <v>No service</v>
      </c>
      <c r="L111" s="10" t="str">
        <f>IF(ISNUMBER('Rates from Ireland Fedex Priort'!L110),_xlfn.CEILING.MATH('Rates from Ireland Fedex Priort'!L110,1)+IF($A111="EU",Variables!$B$6,Variables!$B$3),'Rates from Ireland Fedex Priort'!L110)</f>
        <v>No service</v>
      </c>
      <c r="M111" s="10" t="str">
        <f>IF(ISNUMBER('Rates from Ireland Fedex Priort'!M110),_xlfn.CEILING.MATH('Rates from Ireland Fedex Priort'!M110,1)+IF($A111="EU",Variables!$B$6,Variables!$B$3),'Rates from Ireland Fedex Priort'!M110)</f>
        <v>No service</v>
      </c>
      <c r="N111" s="10" t="str">
        <f>IF(ISNUMBER('Rates from Ireland Fedex Priort'!N110),_xlfn.CEILING.MATH('Rates from Ireland Fedex Priort'!N110,1)+IF($A111="EU",Variables!$B$6,Variables!$B$3),'Rates from Ireland Fedex Priort'!N110)</f>
        <v>No service</v>
      </c>
      <c r="O111" s="11" t="s">
        <v>41</v>
      </c>
      <c r="P111" s="11" t="s">
        <v>23</v>
      </c>
      <c r="Q111" s="12">
        <v>80</v>
      </c>
      <c r="R111" s="11" t="s">
        <v>25</v>
      </c>
      <c r="S111" s="3" t="s">
        <v>26</v>
      </c>
      <c r="T111" s="38" t="s">
        <v>27</v>
      </c>
    </row>
    <row r="112" spans="1:20" ht="15.75" customHeight="1" x14ac:dyDescent="0.3">
      <c r="A112" s="39" t="str">
        <f>IF('Rates from Ireland Fedex Priort'!A111="","",'Rates from Ireland Fedex Priort'!A111)</f>
        <v>EU</v>
      </c>
      <c r="B112" s="8" t="str">
        <f>IF('Rates from Ireland Fedex Priort'!B111="","",'Rates from Ireland Fedex Priort'!B111)</f>
        <v>Ireland</v>
      </c>
      <c r="C112" s="9" t="str">
        <f>IF('Rates from Ireland Fedex Priort'!C111="","",'Rates from Ireland Fedex Priort'!C111)</f>
        <v>Japan</v>
      </c>
      <c r="D112" s="10">
        <f>IF(ISNUMBER('Rates from Ireland Fedex Priort'!D111),_xlfn.CEILING.MATH('Rates from Ireland Fedex Priort'!D111,1)+IF($A112="EU",Variables!$B$5,Variables!$B$2),'Rates from Ireland Fedex Priort'!D111)</f>
        <v>65</v>
      </c>
      <c r="E112" s="10">
        <f>IF(ISNUMBER('Rates from Ireland Fedex Priort'!E111),_xlfn.CEILING.MATH('Rates from Ireland Fedex Priort'!E111,1)+IF($A112="EU",Variables!$B$6,Variables!$B$3),'Rates from Ireland Fedex Priort'!E111)</f>
        <v>109</v>
      </c>
      <c r="F112" s="10">
        <f>IF(ISNUMBER('Rates from Ireland Fedex Priort'!F111),_xlfn.CEILING.MATH('Rates from Ireland Fedex Priort'!F111,1)+IF($A112="EU",Variables!$B$6,Variables!$B$3),'Rates from Ireland Fedex Priort'!F111)</f>
        <v>114</v>
      </c>
      <c r="G112" s="10">
        <f>IF(ISNUMBER('Rates from Ireland Fedex Priort'!G111),_xlfn.CEILING.MATH('Rates from Ireland Fedex Priort'!G111,1)+IF($A112="EU",Variables!$B$6,Variables!$B$3),'Rates from Ireland Fedex Priort'!G111)</f>
        <v>131</v>
      </c>
      <c r="H112" s="10">
        <f>IF(ISNUMBER('Rates from Ireland Fedex Priort'!H111),_xlfn.CEILING.MATH('Rates from Ireland Fedex Priort'!H111,1)+IF($A112="EU",Variables!$B$6,Variables!$B$3),'Rates from Ireland Fedex Priort'!H111)</f>
        <v>154</v>
      </c>
      <c r="I112" s="10">
        <f>IF(ISNUMBER('Rates from Ireland Fedex Priort'!I111),_xlfn.CEILING.MATH('Rates from Ireland Fedex Priort'!I111,1)+IF($A112="EU",Variables!$B$6,Variables!$B$3),'Rates from Ireland Fedex Priort'!I111)</f>
        <v>214</v>
      </c>
      <c r="J112" s="10" t="str">
        <f>IF(ISNUMBER('Rates from Ireland Fedex Priort'!J111),_xlfn.CEILING.MATH('Rates from Ireland Fedex Priort'!J111,1)+IF($A112="EU",Variables!$B$6,Variables!$B$3),'Rates from Ireland Fedex Priort'!J111)</f>
        <v>No service</v>
      </c>
      <c r="K112" s="10" t="str">
        <f>IF(ISNUMBER('Rates from Ireland Fedex Priort'!K111),_xlfn.CEILING.MATH('Rates from Ireland Fedex Priort'!K111,1)+IF($A112="EU",Variables!$B$6,Variables!$B$3),'Rates from Ireland Fedex Priort'!K111)</f>
        <v>No service</v>
      </c>
      <c r="L112" s="10" t="str">
        <f>IF(ISNUMBER('Rates from Ireland Fedex Priort'!L111),_xlfn.CEILING.MATH('Rates from Ireland Fedex Priort'!L111,1)+IF($A112="EU",Variables!$B$6,Variables!$B$3),'Rates from Ireland Fedex Priort'!L111)</f>
        <v>No service</v>
      </c>
      <c r="M112" s="10" t="str">
        <f>IF(ISNUMBER('Rates from Ireland Fedex Priort'!M111),_xlfn.CEILING.MATH('Rates from Ireland Fedex Priort'!M111,1)+IF($A112="EU",Variables!$B$6,Variables!$B$3),'Rates from Ireland Fedex Priort'!M111)</f>
        <v>No service</v>
      </c>
      <c r="N112" s="10" t="str">
        <f>IF(ISNUMBER('Rates from Ireland Fedex Priort'!N111),_xlfn.CEILING.MATH('Rates from Ireland Fedex Priort'!N111,1)+IF($A112="EU",Variables!$B$6,Variables!$B$3),'Rates from Ireland Fedex Priort'!N111)</f>
        <v>No service</v>
      </c>
      <c r="O112" s="11" t="s">
        <v>24</v>
      </c>
      <c r="P112" s="11" t="s">
        <v>69</v>
      </c>
      <c r="Q112" s="12">
        <v>80</v>
      </c>
      <c r="R112" s="11" t="s">
        <v>25</v>
      </c>
      <c r="S112" s="3" t="s">
        <v>26</v>
      </c>
      <c r="T112" s="38" t="s">
        <v>27</v>
      </c>
    </row>
    <row r="113" spans="1:20" ht="15.75" customHeight="1" x14ac:dyDescent="0.3">
      <c r="A113" s="39" t="str">
        <f>IF('Rates from Ireland Fedex Priort'!A112="","",'Rates from Ireland Fedex Priort'!A112)</f>
        <v>EU</v>
      </c>
      <c r="B113" s="8" t="str">
        <f>IF('Rates from Ireland Fedex Priort'!B112="","",'Rates from Ireland Fedex Priort'!B112)</f>
        <v>Ireland</v>
      </c>
      <c r="C113" s="9" t="str">
        <f>IF('Rates from Ireland Fedex Priort'!C112="","",'Rates from Ireland Fedex Priort'!C112)</f>
        <v xml:space="preserve">Jersey </v>
      </c>
      <c r="D113" s="10">
        <f>IF(ISNUMBER('Rates from Ireland Fedex Priort'!D112),_xlfn.CEILING.MATH('Rates from Ireland Fedex Priort'!D112,1)+IF($A113="EU",Variables!$B$5,Variables!$B$2),'Rates from Ireland Fedex Priort'!D112)</f>
        <v>62</v>
      </c>
      <c r="E113" s="10">
        <f>IF(ISNUMBER('Rates from Ireland Fedex Priort'!E112),_xlfn.CEILING.MATH('Rates from Ireland Fedex Priort'!E112,1)+IF($A113="EU",Variables!$B$6,Variables!$B$3),'Rates from Ireland Fedex Priort'!E112)</f>
        <v>69</v>
      </c>
      <c r="F113" s="10">
        <f>IF(ISNUMBER('Rates from Ireland Fedex Priort'!F112),_xlfn.CEILING.MATH('Rates from Ireland Fedex Priort'!F112,1)+IF($A113="EU",Variables!$B$6,Variables!$B$3),'Rates from Ireland Fedex Priort'!F112)</f>
        <v>72</v>
      </c>
      <c r="G113" s="10">
        <f>IF(ISNUMBER('Rates from Ireland Fedex Priort'!G112),_xlfn.CEILING.MATH('Rates from Ireland Fedex Priort'!G112,1)+IF($A113="EU",Variables!$B$6,Variables!$B$3),'Rates from Ireland Fedex Priort'!G112)</f>
        <v>86</v>
      </c>
      <c r="H113" s="10">
        <f>IF(ISNUMBER('Rates from Ireland Fedex Priort'!H112),_xlfn.CEILING.MATH('Rates from Ireland Fedex Priort'!H112,1)+IF($A113="EU",Variables!$B$6,Variables!$B$3),'Rates from Ireland Fedex Priort'!H112)</f>
        <v>111</v>
      </c>
      <c r="I113" s="10">
        <f>IF(ISNUMBER('Rates from Ireland Fedex Priort'!I112),_xlfn.CEILING.MATH('Rates from Ireland Fedex Priort'!I112,1)+IF($A113="EU",Variables!$B$6,Variables!$B$3),'Rates from Ireland Fedex Priort'!I112)</f>
        <v>174</v>
      </c>
      <c r="J113" s="10" t="str">
        <f>IF(ISNUMBER('Rates from Ireland Fedex Priort'!J112),_xlfn.CEILING.MATH('Rates from Ireland Fedex Priort'!J112,1)+IF($A113="EU",Variables!$B$6,Variables!$B$3),'Rates from Ireland Fedex Priort'!J112)</f>
        <v>No service</v>
      </c>
      <c r="K113" s="10" t="str">
        <f>IF(ISNUMBER('Rates from Ireland Fedex Priort'!K112),_xlfn.CEILING.MATH('Rates from Ireland Fedex Priort'!K112,1)+IF($A113="EU",Variables!$B$6,Variables!$B$3),'Rates from Ireland Fedex Priort'!K112)</f>
        <v>No service</v>
      </c>
      <c r="L113" s="10" t="str">
        <f>IF(ISNUMBER('Rates from Ireland Fedex Priort'!L112),_xlfn.CEILING.MATH('Rates from Ireland Fedex Priort'!L112,1)+IF($A113="EU",Variables!$B$6,Variables!$B$3),'Rates from Ireland Fedex Priort'!L112)</f>
        <v>No service</v>
      </c>
      <c r="M113" s="10" t="str">
        <f>IF(ISNUMBER('Rates from Ireland Fedex Priort'!M112),_xlfn.CEILING.MATH('Rates from Ireland Fedex Priort'!M112,1)+IF($A113="EU",Variables!$B$6,Variables!$B$3),'Rates from Ireland Fedex Priort'!M112)</f>
        <v>No service</v>
      </c>
      <c r="N113" s="10" t="str">
        <f>IF(ISNUMBER('Rates from Ireland Fedex Priort'!N112),_xlfn.CEILING.MATH('Rates from Ireland Fedex Priort'!N112,1)+IF($A113="EU",Variables!$B$6,Variables!$B$3),'Rates from Ireland Fedex Priort'!N112)</f>
        <v>No service</v>
      </c>
      <c r="O113" s="11" t="s">
        <v>29</v>
      </c>
      <c r="P113" s="11" t="s">
        <v>33</v>
      </c>
      <c r="Q113" s="12">
        <v>80</v>
      </c>
      <c r="R113" s="11" t="s">
        <v>25</v>
      </c>
      <c r="S113" s="3" t="s">
        <v>26</v>
      </c>
      <c r="T113" s="38" t="s">
        <v>27</v>
      </c>
    </row>
    <row r="114" spans="1:20" ht="15.75" customHeight="1" x14ac:dyDescent="0.3">
      <c r="A114" s="39" t="str">
        <f>IF('Rates from Ireland Fedex Priort'!A113="","",'Rates from Ireland Fedex Priort'!A113)</f>
        <v>EU</v>
      </c>
      <c r="B114" s="8" t="str">
        <f>IF('Rates from Ireland Fedex Priort'!B113="","",'Rates from Ireland Fedex Priort'!B113)</f>
        <v>Ireland</v>
      </c>
      <c r="C114" s="9" t="str">
        <f>IF('Rates from Ireland Fedex Priort'!C113="","",'Rates from Ireland Fedex Priort'!C113)</f>
        <v>Jordan</v>
      </c>
      <c r="D114" s="10">
        <f>IF(ISNUMBER('Rates from Ireland Fedex Priort'!D113),_xlfn.CEILING.MATH('Rates from Ireland Fedex Priort'!D113,1)+IF($A114="EU",Variables!$B$5,Variables!$B$2),'Rates from Ireland Fedex Priort'!D113)</f>
        <v>62</v>
      </c>
      <c r="E114" s="10">
        <f>IF(ISNUMBER('Rates from Ireland Fedex Priort'!E113),_xlfn.CEILING.MATH('Rates from Ireland Fedex Priort'!E113,1)+IF($A114="EU",Variables!$B$6,Variables!$B$3),'Rates from Ireland Fedex Priort'!E113)</f>
        <v>69</v>
      </c>
      <c r="F114" s="10">
        <f>IF(ISNUMBER('Rates from Ireland Fedex Priort'!F113),_xlfn.CEILING.MATH('Rates from Ireland Fedex Priort'!F113,1)+IF($A114="EU",Variables!$B$6,Variables!$B$3),'Rates from Ireland Fedex Priort'!F113)</f>
        <v>72</v>
      </c>
      <c r="G114" s="10">
        <f>IF(ISNUMBER('Rates from Ireland Fedex Priort'!G113),_xlfn.CEILING.MATH('Rates from Ireland Fedex Priort'!G113,1)+IF($A114="EU",Variables!$B$6,Variables!$B$3),'Rates from Ireland Fedex Priort'!G113)</f>
        <v>86</v>
      </c>
      <c r="H114" s="10">
        <f>IF(ISNUMBER('Rates from Ireland Fedex Priort'!H113),_xlfn.CEILING.MATH('Rates from Ireland Fedex Priort'!H113,1)+IF($A114="EU",Variables!$B$6,Variables!$B$3),'Rates from Ireland Fedex Priort'!H113)</f>
        <v>111</v>
      </c>
      <c r="I114" s="10">
        <f>IF(ISNUMBER('Rates from Ireland Fedex Priort'!I113),_xlfn.CEILING.MATH('Rates from Ireland Fedex Priort'!I113,1)+IF($A114="EU",Variables!$B$6,Variables!$B$3),'Rates from Ireland Fedex Priort'!I113)</f>
        <v>174</v>
      </c>
      <c r="J114" s="10" t="str">
        <f>IF(ISNUMBER('Rates from Ireland Fedex Priort'!J113),_xlfn.CEILING.MATH('Rates from Ireland Fedex Priort'!J113,1)+IF($A114="EU",Variables!$B$6,Variables!$B$3),'Rates from Ireland Fedex Priort'!J113)</f>
        <v>No service</v>
      </c>
      <c r="K114" s="10" t="str">
        <f>IF(ISNUMBER('Rates from Ireland Fedex Priort'!K113),_xlfn.CEILING.MATH('Rates from Ireland Fedex Priort'!K113,1)+IF($A114="EU",Variables!$B$6,Variables!$B$3),'Rates from Ireland Fedex Priort'!K113)</f>
        <v>No service</v>
      </c>
      <c r="L114" s="10" t="str">
        <f>IF(ISNUMBER('Rates from Ireland Fedex Priort'!L113),_xlfn.CEILING.MATH('Rates from Ireland Fedex Priort'!L113,1)+IF($A114="EU",Variables!$B$6,Variables!$B$3),'Rates from Ireland Fedex Priort'!L113)</f>
        <v>No service</v>
      </c>
      <c r="M114" s="10" t="str">
        <f>IF(ISNUMBER('Rates from Ireland Fedex Priort'!M113),_xlfn.CEILING.MATH('Rates from Ireland Fedex Priort'!M113,1)+IF($A114="EU",Variables!$B$6,Variables!$B$3),'Rates from Ireland Fedex Priort'!M113)</f>
        <v>No service</v>
      </c>
      <c r="N114" s="10" t="str">
        <f>IF(ISNUMBER('Rates from Ireland Fedex Priort'!N113),_xlfn.CEILING.MATH('Rates from Ireland Fedex Priort'!N113,1)+IF($A114="EU",Variables!$B$6,Variables!$B$3),'Rates from Ireland Fedex Priort'!N113)</f>
        <v>No service</v>
      </c>
      <c r="O114" s="11" t="s">
        <v>29</v>
      </c>
      <c r="P114" s="11" t="s">
        <v>30</v>
      </c>
      <c r="Q114" s="12">
        <v>80</v>
      </c>
      <c r="R114" s="11" t="s">
        <v>25</v>
      </c>
      <c r="S114" s="3" t="s">
        <v>26</v>
      </c>
      <c r="T114" s="38" t="s">
        <v>27</v>
      </c>
    </row>
    <row r="115" spans="1:20" ht="15.75" customHeight="1" x14ac:dyDescent="0.3">
      <c r="A115" s="39" t="str">
        <f>IF('Rates from Ireland Fedex Priort'!A114="","",'Rates from Ireland Fedex Priort'!A114)</f>
        <v>EU</v>
      </c>
      <c r="B115" s="8" t="str">
        <f>IF('Rates from Ireland Fedex Priort'!B114="","",'Rates from Ireland Fedex Priort'!B114)</f>
        <v>Ireland</v>
      </c>
      <c r="C115" s="9" t="str">
        <f>IF('Rates from Ireland Fedex Priort'!C114="","",'Rates from Ireland Fedex Priort'!C114)</f>
        <v>Kazakhstan</v>
      </c>
      <c r="D115" s="10">
        <f>IF(ISNUMBER('Rates from Ireland Fedex Priort'!D114),_xlfn.CEILING.MATH('Rates from Ireland Fedex Priort'!D114,1)+IF($A115="EU",Variables!$B$5,Variables!$B$2),'Rates from Ireland Fedex Priort'!D114)</f>
        <v>72</v>
      </c>
      <c r="E115" s="10">
        <f>IF(ISNUMBER('Rates from Ireland Fedex Priort'!E114),_xlfn.CEILING.MATH('Rates from Ireland Fedex Priort'!E114,1)+IF($A115="EU",Variables!$B$6,Variables!$B$3),'Rates from Ireland Fedex Priort'!E114)</f>
        <v>83</v>
      </c>
      <c r="F115" s="10">
        <f>IF(ISNUMBER('Rates from Ireland Fedex Priort'!F114),_xlfn.CEILING.MATH('Rates from Ireland Fedex Priort'!F114,1)+IF($A115="EU",Variables!$B$6,Variables!$B$3),'Rates from Ireland Fedex Priort'!F114)</f>
        <v>88</v>
      </c>
      <c r="G115" s="10">
        <f>IF(ISNUMBER('Rates from Ireland Fedex Priort'!G114),_xlfn.CEILING.MATH('Rates from Ireland Fedex Priort'!G114,1)+IF($A115="EU",Variables!$B$6,Variables!$B$3),'Rates from Ireland Fedex Priort'!G114)</f>
        <v>106</v>
      </c>
      <c r="H115" s="10">
        <f>IF(ISNUMBER('Rates from Ireland Fedex Priort'!H114),_xlfn.CEILING.MATH('Rates from Ireland Fedex Priort'!H114,1)+IF($A115="EU",Variables!$B$6,Variables!$B$3),'Rates from Ireland Fedex Priort'!H114)</f>
        <v>134</v>
      </c>
      <c r="I115" s="10">
        <f>IF(ISNUMBER('Rates from Ireland Fedex Priort'!I114),_xlfn.CEILING.MATH('Rates from Ireland Fedex Priort'!I114,1)+IF($A115="EU",Variables!$B$6,Variables!$B$3),'Rates from Ireland Fedex Priort'!I114)</f>
        <v>242</v>
      </c>
      <c r="J115" s="10" t="str">
        <f>IF(ISNUMBER('Rates from Ireland Fedex Priort'!J114),_xlfn.CEILING.MATH('Rates from Ireland Fedex Priort'!J114,1)+IF($A115="EU",Variables!$B$6,Variables!$B$3),'Rates from Ireland Fedex Priort'!J114)</f>
        <v>No service</v>
      </c>
      <c r="K115" s="10" t="str">
        <f>IF(ISNUMBER('Rates from Ireland Fedex Priort'!K114),_xlfn.CEILING.MATH('Rates from Ireland Fedex Priort'!K114,1)+IF($A115="EU",Variables!$B$6,Variables!$B$3),'Rates from Ireland Fedex Priort'!K114)</f>
        <v>No service</v>
      </c>
      <c r="L115" s="10" t="str">
        <f>IF(ISNUMBER('Rates from Ireland Fedex Priort'!L114),_xlfn.CEILING.MATH('Rates from Ireland Fedex Priort'!L114,1)+IF($A115="EU",Variables!$B$6,Variables!$B$3),'Rates from Ireland Fedex Priort'!L114)</f>
        <v>No service</v>
      </c>
      <c r="M115" s="10" t="str">
        <f>IF(ISNUMBER('Rates from Ireland Fedex Priort'!M114),_xlfn.CEILING.MATH('Rates from Ireland Fedex Priort'!M114,1)+IF($A115="EU",Variables!$B$6,Variables!$B$3),'Rates from Ireland Fedex Priort'!M114)</f>
        <v>No service</v>
      </c>
      <c r="N115" s="10" t="str">
        <f>IF(ISNUMBER('Rates from Ireland Fedex Priort'!N114),_xlfn.CEILING.MATH('Rates from Ireland Fedex Priort'!N114,1)+IF($A115="EU",Variables!$B$6,Variables!$B$3),'Rates from Ireland Fedex Priort'!N114)</f>
        <v>No service</v>
      </c>
      <c r="O115" s="11" t="s">
        <v>35</v>
      </c>
      <c r="P115" s="11" t="s">
        <v>36</v>
      </c>
      <c r="Q115" s="12">
        <v>80</v>
      </c>
      <c r="R115" s="11" t="s">
        <v>25</v>
      </c>
      <c r="S115" s="3" t="s">
        <v>26</v>
      </c>
      <c r="T115" s="38" t="s">
        <v>27</v>
      </c>
    </row>
    <row r="116" spans="1:20" ht="15.75" customHeight="1" x14ac:dyDescent="0.3">
      <c r="A116" s="39" t="str">
        <f>IF('Rates from Ireland Fedex Priort'!A115="","",'Rates from Ireland Fedex Priort'!A115)</f>
        <v>EU</v>
      </c>
      <c r="B116" s="8" t="str">
        <f>IF('Rates from Ireland Fedex Priort'!B115="","",'Rates from Ireland Fedex Priort'!B115)</f>
        <v>Ireland</v>
      </c>
      <c r="C116" s="9" t="str">
        <f>IF('Rates from Ireland Fedex Priort'!C115="","",'Rates from Ireland Fedex Priort'!C115)</f>
        <v>Kenya</v>
      </c>
      <c r="D116" s="10">
        <f>IF(ISNUMBER('Rates from Ireland Fedex Priort'!D115),_xlfn.CEILING.MATH('Rates from Ireland Fedex Priort'!D115,1)+IF($A116="EU",Variables!$B$5,Variables!$B$2),'Rates from Ireland Fedex Priort'!D115)</f>
        <v>72</v>
      </c>
      <c r="E116" s="10">
        <f>IF(ISNUMBER('Rates from Ireland Fedex Priort'!E115),_xlfn.CEILING.MATH('Rates from Ireland Fedex Priort'!E115,1)+IF($A116="EU",Variables!$B$6,Variables!$B$3),'Rates from Ireland Fedex Priort'!E115)</f>
        <v>83</v>
      </c>
      <c r="F116" s="10">
        <f>IF(ISNUMBER('Rates from Ireland Fedex Priort'!F115),_xlfn.CEILING.MATH('Rates from Ireland Fedex Priort'!F115,1)+IF($A116="EU",Variables!$B$6,Variables!$B$3),'Rates from Ireland Fedex Priort'!F115)</f>
        <v>88</v>
      </c>
      <c r="G116" s="10">
        <f>IF(ISNUMBER('Rates from Ireland Fedex Priort'!G115),_xlfn.CEILING.MATH('Rates from Ireland Fedex Priort'!G115,1)+IF($A116="EU",Variables!$B$6,Variables!$B$3),'Rates from Ireland Fedex Priort'!G115)</f>
        <v>106</v>
      </c>
      <c r="H116" s="10">
        <f>IF(ISNUMBER('Rates from Ireland Fedex Priort'!H115),_xlfn.CEILING.MATH('Rates from Ireland Fedex Priort'!H115,1)+IF($A116="EU",Variables!$B$6,Variables!$B$3),'Rates from Ireland Fedex Priort'!H115)</f>
        <v>134</v>
      </c>
      <c r="I116" s="10">
        <f>IF(ISNUMBER('Rates from Ireland Fedex Priort'!I115),_xlfn.CEILING.MATH('Rates from Ireland Fedex Priort'!I115,1)+IF($A116="EU",Variables!$B$6,Variables!$B$3),'Rates from Ireland Fedex Priort'!I115)</f>
        <v>242</v>
      </c>
      <c r="J116" s="10" t="str">
        <f>IF(ISNUMBER('Rates from Ireland Fedex Priort'!J115),_xlfn.CEILING.MATH('Rates from Ireland Fedex Priort'!J115,1)+IF($A116="EU",Variables!$B$6,Variables!$B$3),'Rates from Ireland Fedex Priort'!J115)</f>
        <v>No service</v>
      </c>
      <c r="K116" s="10" t="str">
        <f>IF(ISNUMBER('Rates from Ireland Fedex Priort'!K115),_xlfn.CEILING.MATH('Rates from Ireland Fedex Priort'!K115,1)+IF($A116="EU",Variables!$B$6,Variables!$B$3),'Rates from Ireland Fedex Priort'!K115)</f>
        <v>No service</v>
      </c>
      <c r="L116" s="10" t="str">
        <f>IF(ISNUMBER('Rates from Ireland Fedex Priort'!L115),_xlfn.CEILING.MATH('Rates from Ireland Fedex Priort'!L115,1)+IF($A116="EU",Variables!$B$6,Variables!$B$3),'Rates from Ireland Fedex Priort'!L115)</f>
        <v>No service</v>
      </c>
      <c r="M116" s="10" t="str">
        <f>IF(ISNUMBER('Rates from Ireland Fedex Priort'!M115),_xlfn.CEILING.MATH('Rates from Ireland Fedex Priort'!M115,1)+IF($A116="EU",Variables!$B$6,Variables!$B$3),'Rates from Ireland Fedex Priort'!M115)</f>
        <v>No service</v>
      </c>
      <c r="N116" s="10" t="str">
        <f>IF(ISNUMBER('Rates from Ireland Fedex Priort'!N115),_xlfn.CEILING.MATH('Rates from Ireland Fedex Priort'!N115,1)+IF($A116="EU",Variables!$B$6,Variables!$B$3),'Rates from Ireland Fedex Priort'!N115)</f>
        <v>No service</v>
      </c>
      <c r="O116" s="11" t="s">
        <v>35</v>
      </c>
      <c r="P116" s="11" t="s">
        <v>36</v>
      </c>
      <c r="Q116" s="12">
        <v>80</v>
      </c>
      <c r="R116" s="11" t="s">
        <v>25</v>
      </c>
      <c r="S116" s="3" t="s">
        <v>26</v>
      </c>
      <c r="T116" s="38" t="s">
        <v>27</v>
      </c>
    </row>
    <row r="117" spans="1:20" ht="15.75" customHeight="1" x14ac:dyDescent="0.3">
      <c r="A117" s="39" t="str">
        <f>IF('Rates from Ireland Fedex Priort'!A116="","",'Rates from Ireland Fedex Priort'!A116)</f>
        <v>EU</v>
      </c>
      <c r="B117" s="8" t="str">
        <f>IF('Rates from Ireland Fedex Priort'!B116="","",'Rates from Ireland Fedex Priort'!B116)</f>
        <v>Ireland</v>
      </c>
      <c r="C117" s="9" t="str">
        <f>IF('Rates from Ireland Fedex Priort'!C116="","",'Rates from Ireland Fedex Priort'!C116)</f>
        <v>Kiribati</v>
      </c>
      <c r="D117" s="10" t="str">
        <f>IF(ISNUMBER('Rates from Ireland Fedex Priort'!D116),_xlfn.CEILING.MATH('Rates from Ireland Fedex Priort'!D116,1)+IF($A117="EU",Variables!$B$5,Variables!$B$2),'Rates from Ireland Fedex Priort'!D116)</f>
        <v>No service</v>
      </c>
      <c r="E117" s="10" t="str">
        <f>IF(ISNUMBER('Rates from Ireland Fedex Priort'!E116),_xlfn.CEILING.MATH('Rates from Ireland Fedex Priort'!E116,1)+IF($A117="EU",Variables!$B$6,Variables!$B$3),'Rates from Ireland Fedex Priort'!E116)</f>
        <v>No service</v>
      </c>
      <c r="F117" s="10" t="str">
        <f>IF(ISNUMBER('Rates from Ireland Fedex Priort'!F116),_xlfn.CEILING.MATH('Rates from Ireland Fedex Priort'!F116,1)+IF($A117="EU",Variables!$B$6,Variables!$B$3),'Rates from Ireland Fedex Priort'!F116)</f>
        <v>No service</v>
      </c>
      <c r="G117" s="10" t="str">
        <f>IF(ISNUMBER('Rates from Ireland Fedex Priort'!G116),_xlfn.CEILING.MATH('Rates from Ireland Fedex Priort'!G116,1)+IF($A117="EU",Variables!$B$6,Variables!$B$3),'Rates from Ireland Fedex Priort'!G116)</f>
        <v>No service</v>
      </c>
      <c r="H117" s="10" t="str">
        <f>IF(ISNUMBER('Rates from Ireland Fedex Priort'!H116),_xlfn.CEILING.MATH('Rates from Ireland Fedex Priort'!H116,1)+IF($A117="EU",Variables!$B$6,Variables!$B$3),'Rates from Ireland Fedex Priort'!H116)</f>
        <v>No service</v>
      </c>
      <c r="I117" s="10" t="str">
        <f>IF(ISNUMBER('Rates from Ireland Fedex Priort'!I116),_xlfn.CEILING.MATH('Rates from Ireland Fedex Priort'!I116,1)+IF($A117="EU",Variables!$B$6,Variables!$B$3),'Rates from Ireland Fedex Priort'!I116)</f>
        <v>No service</v>
      </c>
      <c r="J117" s="10" t="str">
        <f>IF(ISNUMBER('Rates from Ireland Fedex Priort'!J116),_xlfn.CEILING.MATH('Rates from Ireland Fedex Priort'!J116,1)+IF($A117="EU",Variables!$B$6,Variables!$B$3),'Rates from Ireland Fedex Priort'!J116)</f>
        <v>No service</v>
      </c>
      <c r="K117" s="10" t="str">
        <f>IF(ISNUMBER('Rates from Ireland Fedex Priort'!K116),_xlfn.CEILING.MATH('Rates from Ireland Fedex Priort'!K116,1)+IF($A117="EU",Variables!$B$6,Variables!$B$3),'Rates from Ireland Fedex Priort'!K116)</f>
        <v>No service</v>
      </c>
      <c r="L117" s="10" t="str">
        <f>IF(ISNUMBER('Rates from Ireland Fedex Priort'!L116),_xlfn.CEILING.MATH('Rates from Ireland Fedex Priort'!L116,1)+IF($A117="EU",Variables!$B$6,Variables!$B$3),'Rates from Ireland Fedex Priort'!L116)</f>
        <v>No service</v>
      </c>
      <c r="M117" s="10" t="str">
        <f>IF(ISNUMBER('Rates from Ireland Fedex Priort'!M116),_xlfn.CEILING.MATH('Rates from Ireland Fedex Priort'!M116,1)+IF($A117="EU",Variables!$B$6,Variables!$B$3),'Rates from Ireland Fedex Priort'!M116)</f>
        <v>No service</v>
      </c>
      <c r="N117" s="10" t="str">
        <f>IF(ISNUMBER('Rates from Ireland Fedex Priort'!N116),_xlfn.CEILING.MATH('Rates from Ireland Fedex Priort'!N116,1)+IF($A117="EU",Variables!$B$6,Variables!$B$3),'Rates from Ireland Fedex Priort'!N116)</f>
        <v>No service</v>
      </c>
      <c r="O117" s="11"/>
      <c r="P117" s="11"/>
      <c r="Q117" s="11"/>
      <c r="R117" s="11"/>
      <c r="S117" s="3" t="s">
        <v>26</v>
      </c>
      <c r="T117" s="38" t="s">
        <v>27</v>
      </c>
    </row>
    <row r="118" spans="1:20" ht="15.75" customHeight="1" x14ac:dyDescent="0.3">
      <c r="A118" s="39" t="str">
        <f>IF('Rates from Ireland Fedex Priort'!A117="","",'Rates from Ireland Fedex Priort'!A117)</f>
        <v>EU</v>
      </c>
      <c r="B118" s="8" t="str">
        <f>IF('Rates from Ireland Fedex Priort'!B117="","",'Rates from Ireland Fedex Priort'!B117)</f>
        <v>Ireland</v>
      </c>
      <c r="C118" s="9" t="str">
        <f>IF('Rates from Ireland Fedex Priort'!C117="","",'Rates from Ireland Fedex Priort'!C117)</f>
        <v>Kosovo</v>
      </c>
      <c r="D118" s="10" t="str">
        <f>IF(ISNUMBER('Rates from Ireland Fedex Priort'!D117),_xlfn.CEILING.MATH('Rates from Ireland Fedex Priort'!D117,1)+IF($A118="EU",Variables!$B$5,Variables!$B$2),'Rates from Ireland Fedex Priort'!D117)</f>
        <v>No service</v>
      </c>
      <c r="E118" s="10" t="str">
        <f>IF(ISNUMBER('Rates from Ireland Fedex Priort'!E117),_xlfn.CEILING.MATH('Rates from Ireland Fedex Priort'!E117,1)+IF($A118="EU",Variables!$B$6,Variables!$B$3),'Rates from Ireland Fedex Priort'!E117)</f>
        <v>No service</v>
      </c>
      <c r="F118" s="10" t="str">
        <f>IF(ISNUMBER('Rates from Ireland Fedex Priort'!F117),_xlfn.CEILING.MATH('Rates from Ireland Fedex Priort'!F117,1)+IF($A118="EU",Variables!$B$6,Variables!$B$3),'Rates from Ireland Fedex Priort'!F117)</f>
        <v>No service</v>
      </c>
      <c r="G118" s="10" t="str">
        <f>IF(ISNUMBER('Rates from Ireland Fedex Priort'!G117),_xlfn.CEILING.MATH('Rates from Ireland Fedex Priort'!G117,1)+IF($A118="EU",Variables!$B$6,Variables!$B$3),'Rates from Ireland Fedex Priort'!G117)</f>
        <v>No service</v>
      </c>
      <c r="H118" s="10" t="str">
        <f>IF(ISNUMBER('Rates from Ireland Fedex Priort'!H117),_xlfn.CEILING.MATH('Rates from Ireland Fedex Priort'!H117,1)+IF($A118="EU",Variables!$B$6,Variables!$B$3),'Rates from Ireland Fedex Priort'!H117)</f>
        <v>No service</v>
      </c>
      <c r="I118" s="10" t="str">
        <f>IF(ISNUMBER('Rates from Ireland Fedex Priort'!I117),_xlfn.CEILING.MATH('Rates from Ireland Fedex Priort'!I117,1)+IF($A118="EU",Variables!$B$6,Variables!$B$3),'Rates from Ireland Fedex Priort'!I117)</f>
        <v>No service</v>
      </c>
      <c r="J118" s="10" t="str">
        <f>IF(ISNUMBER('Rates from Ireland Fedex Priort'!J117),_xlfn.CEILING.MATH('Rates from Ireland Fedex Priort'!J117,1)+IF($A118="EU",Variables!$B$6,Variables!$B$3),'Rates from Ireland Fedex Priort'!J117)</f>
        <v>No service</v>
      </c>
      <c r="K118" s="10" t="str">
        <f>IF(ISNUMBER('Rates from Ireland Fedex Priort'!K117),_xlfn.CEILING.MATH('Rates from Ireland Fedex Priort'!K117,1)+IF($A118="EU",Variables!$B$6,Variables!$B$3),'Rates from Ireland Fedex Priort'!K117)</f>
        <v>No service</v>
      </c>
      <c r="L118" s="10" t="str">
        <f>IF(ISNUMBER('Rates from Ireland Fedex Priort'!L117),_xlfn.CEILING.MATH('Rates from Ireland Fedex Priort'!L117,1)+IF($A118="EU",Variables!$B$6,Variables!$B$3),'Rates from Ireland Fedex Priort'!L117)</f>
        <v>No service</v>
      </c>
      <c r="M118" s="10" t="str">
        <f>IF(ISNUMBER('Rates from Ireland Fedex Priort'!M117),_xlfn.CEILING.MATH('Rates from Ireland Fedex Priort'!M117,1)+IF($A118="EU",Variables!$B$6,Variables!$B$3),'Rates from Ireland Fedex Priort'!M117)</f>
        <v>No service</v>
      </c>
      <c r="N118" s="10" t="str">
        <f>IF(ISNUMBER('Rates from Ireland Fedex Priort'!N117),_xlfn.CEILING.MATH('Rates from Ireland Fedex Priort'!N117,1)+IF($A118="EU",Variables!$B$6,Variables!$B$3),'Rates from Ireland Fedex Priort'!N117)</f>
        <v>No service</v>
      </c>
      <c r="O118" s="11"/>
      <c r="P118" s="11"/>
      <c r="Q118" s="11"/>
      <c r="R118" s="11"/>
      <c r="S118" s="3" t="s">
        <v>26</v>
      </c>
      <c r="T118" s="38" t="s">
        <v>27</v>
      </c>
    </row>
    <row r="119" spans="1:20" ht="15.75" customHeight="1" x14ac:dyDescent="0.3">
      <c r="A119" s="39" t="str">
        <f>IF('Rates from Ireland Fedex Priort'!A118="","",'Rates from Ireland Fedex Priort'!A118)</f>
        <v>EU</v>
      </c>
      <c r="B119" s="8" t="str">
        <f>IF('Rates from Ireland Fedex Priort'!B118="","",'Rates from Ireland Fedex Priort'!B118)</f>
        <v>Ireland</v>
      </c>
      <c r="C119" s="9" t="str">
        <f>IF('Rates from Ireland Fedex Priort'!C118="","",'Rates from Ireland Fedex Priort'!C118)</f>
        <v>Kuwait</v>
      </c>
      <c r="D119" s="10">
        <f>IF(ISNUMBER('Rates from Ireland Fedex Priort'!D118),_xlfn.CEILING.MATH('Rates from Ireland Fedex Priort'!D118,1)+IF($A119="EU",Variables!$B$5,Variables!$B$2),'Rates from Ireland Fedex Priort'!D118)</f>
        <v>62</v>
      </c>
      <c r="E119" s="10">
        <f>IF(ISNUMBER('Rates from Ireland Fedex Priort'!E118),_xlfn.CEILING.MATH('Rates from Ireland Fedex Priort'!E118,1)+IF($A119="EU",Variables!$B$6,Variables!$B$3),'Rates from Ireland Fedex Priort'!E118)</f>
        <v>69</v>
      </c>
      <c r="F119" s="10">
        <f>IF(ISNUMBER('Rates from Ireland Fedex Priort'!F118),_xlfn.CEILING.MATH('Rates from Ireland Fedex Priort'!F118,1)+IF($A119="EU",Variables!$B$6,Variables!$B$3),'Rates from Ireland Fedex Priort'!F118)</f>
        <v>72</v>
      </c>
      <c r="G119" s="10">
        <f>IF(ISNUMBER('Rates from Ireland Fedex Priort'!G118),_xlfn.CEILING.MATH('Rates from Ireland Fedex Priort'!G118,1)+IF($A119="EU",Variables!$B$6,Variables!$B$3),'Rates from Ireland Fedex Priort'!G118)</f>
        <v>86</v>
      </c>
      <c r="H119" s="10">
        <f>IF(ISNUMBER('Rates from Ireland Fedex Priort'!H118),_xlfn.CEILING.MATH('Rates from Ireland Fedex Priort'!H118,1)+IF($A119="EU",Variables!$B$6,Variables!$B$3),'Rates from Ireland Fedex Priort'!H118)</f>
        <v>111</v>
      </c>
      <c r="I119" s="10">
        <f>IF(ISNUMBER('Rates from Ireland Fedex Priort'!I118),_xlfn.CEILING.MATH('Rates from Ireland Fedex Priort'!I118,1)+IF($A119="EU",Variables!$B$6,Variables!$B$3),'Rates from Ireland Fedex Priort'!I118)</f>
        <v>174</v>
      </c>
      <c r="J119" s="10" t="str">
        <f>IF(ISNUMBER('Rates from Ireland Fedex Priort'!J118),_xlfn.CEILING.MATH('Rates from Ireland Fedex Priort'!J118,1)+IF($A119="EU",Variables!$B$6,Variables!$B$3),'Rates from Ireland Fedex Priort'!J118)</f>
        <v>No service</v>
      </c>
      <c r="K119" s="10" t="str">
        <f>IF(ISNUMBER('Rates from Ireland Fedex Priort'!K118),_xlfn.CEILING.MATH('Rates from Ireland Fedex Priort'!K118,1)+IF($A119="EU",Variables!$B$6,Variables!$B$3),'Rates from Ireland Fedex Priort'!K118)</f>
        <v>No service</v>
      </c>
      <c r="L119" s="10" t="str">
        <f>IF(ISNUMBER('Rates from Ireland Fedex Priort'!L118),_xlfn.CEILING.MATH('Rates from Ireland Fedex Priort'!L118,1)+IF($A119="EU",Variables!$B$6,Variables!$B$3),'Rates from Ireland Fedex Priort'!L118)</f>
        <v>No service</v>
      </c>
      <c r="M119" s="10" t="str">
        <f>IF(ISNUMBER('Rates from Ireland Fedex Priort'!M118),_xlfn.CEILING.MATH('Rates from Ireland Fedex Priort'!M118,1)+IF($A119="EU",Variables!$B$6,Variables!$B$3),'Rates from Ireland Fedex Priort'!M118)</f>
        <v>No service</v>
      </c>
      <c r="N119" s="10" t="str">
        <f>IF(ISNUMBER('Rates from Ireland Fedex Priort'!N118),_xlfn.CEILING.MATH('Rates from Ireland Fedex Priort'!N118,1)+IF($A119="EU",Variables!$B$6,Variables!$B$3),'Rates from Ireland Fedex Priort'!N118)</f>
        <v>No service</v>
      </c>
      <c r="O119" s="11" t="s">
        <v>29</v>
      </c>
      <c r="P119" s="11" t="s">
        <v>30</v>
      </c>
      <c r="Q119" s="12">
        <v>80</v>
      </c>
      <c r="R119" s="11" t="s">
        <v>25</v>
      </c>
      <c r="S119" s="3" t="s">
        <v>26</v>
      </c>
      <c r="T119" s="38" t="s">
        <v>27</v>
      </c>
    </row>
    <row r="120" spans="1:20" ht="15.75" customHeight="1" x14ac:dyDescent="0.3">
      <c r="A120" s="39" t="str">
        <f>IF('Rates from Ireland Fedex Priort'!A119="","",'Rates from Ireland Fedex Priort'!A119)</f>
        <v>EU</v>
      </c>
      <c r="B120" s="8" t="str">
        <f>IF('Rates from Ireland Fedex Priort'!B119="","",'Rates from Ireland Fedex Priort'!B119)</f>
        <v>Ireland</v>
      </c>
      <c r="C120" s="9" t="str">
        <f>IF('Rates from Ireland Fedex Priort'!C119="","",'Rates from Ireland Fedex Priort'!C119)</f>
        <v>Kyrgyzstan</v>
      </c>
      <c r="D120" s="10">
        <f>IF(ISNUMBER('Rates from Ireland Fedex Priort'!D119),_xlfn.CEILING.MATH('Rates from Ireland Fedex Priort'!D119,1)+IF($A120="EU",Variables!$B$5,Variables!$B$2),'Rates from Ireland Fedex Priort'!D119)</f>
        <v>72</v>
      </c>
      <c r="E120" s="10">
        <f>IF(ISNUMBER('Rates from Ireland Fedex Priort'!E119),_xlfn.CEILING.MATH('Rates from Ireland Fedex Priort'!E119,1)+IF($A120="EU",Variables!$B$6,Variables!$B$3),'Rates from Ireland Fedex Priort'!E119)</f>
        <v>83</v>
      </c>
      <c r="F120" s="10">
        <f>IF(ISNUMBER('Rates from Ireland Fedex Priort'!F119),_xlfn.CEILING.MATH('Rates from Ireland Fedex Priort'!F119,1)+IF($A120="EU",Variables!$B$6,Variables!$B$3),'Rates from Ireland Fedex Priort'!F119)</f>
        <v>88</v>
      </c>
      <c r="G120" s="10">
        <f>IF(ISNUMBER('Rates from Ireland Fedex Priort'!G119),_xlfn.CEILING.MATH('Rates from Ireland Fedex Priort'!G119,1)+IF($A120="EU",Variables!$B$6,Variables!$B$3),'Rates from Ireland Fedex Priort'!G119)</f>
        <v>106</v>
      </c>
      <c r="H120" s="10">
        <f>IF(ISNUMBER('Rates from Ireland Fedex Priort'!H119),_xlfn.CEILING.MATH('Rates from Ireland Fedex Priort'!H119,1)+IF($A120="EU",Variables!$B$6,Variables!$B$3),'Rates from Ireland Fedex Priort'!H119)</f>
        <v>134</v>
      </c>
      <c r="I120" s="10">
        <f>IF(ISNUMBER('Rates from Ireland Fedex Priort'!I119),_xlfn.CEILING.MATH('Rates from Ireland Fedex Priort'!I119,1)+IF($A120="EU",Variables!$B$6,Variables!$B$3),'Rates from Ireland Fedex Priort'!I119)</f>
        <v>242</v>
      </c>
      <c r="J120" s="10" t="str">
        <f>IF(ISNUMBER('Rates from Ireland Fedex Priort'!J119),_xlfn.CEILING.MATH('Rates from Ireland Fedex Priort'!J119,1)+IF($A120="EU",Variables!$B$6,Variables!$B$3),'Rates from Ireland Fedex Priort'!J119)</f>
        <v>No service</v>
      </c>
      <c r="K120" s="10" t="str">
        <f>IF(ISNUMBER('Rates from Ireland Fedex Priort'!K119),_xlfn.CEILING.MATH('Rates from Ireland Fedex Priort'!K119,1)+IF($A120="EU",Variables!$B$6,Variables!$B$3),'Rates from Ireland Fedex Priort'!K119)</f>
        <v>No service</v>
      </c>
      <c r="L120" s="10" t="str">
        <f>IF(ISNUMBER('Rates from Ireland Fedex Priort'!L119),_xlfn.CEILING.MATH('Rates from Ireland Fedex Priort'!L119,1)+IF($A120="EU",Variables!$B$6,Variables!$B$3),'Rates from Ireland Fedex Priort'!L119)</f>
        <v>No service</v>
      </c>
      <c r="M120" s="10" t="str">
        <f>IF(ISNUMBER('Rates from Ireland Fedex Priort'!M119),_xlfn.CEILING.MATH('Rates from Ireland Fedex Priort'!M119,1)+IF($A120="EU",Variables!$B$6,Variables!$B$3),'Rates from Ireland Fedex Priort'!M119)</f>
        <v>No service</v>
      </c>
      <c r="N120" s="10" t="str">
        <f>IF(ISNUMBER('Rates from Ireland Fedex Priort'!N119),_xlfn.CEILING.MATH('Rates from Ireland Fedex Priort'!N119,1)+IF($A120="EU",Variables!$B$6,Variables!$B$3),'Rates from Ireland Fedex Priort'!N119)</f>
        <v>No service</v>
      </c>
      <c r="O120" s="11" t="s">
        <v>35</v>
      </c>
      <c r="P120" s="11" t="s">
        <v>36</v>
      </c>
      <c r="Q120" s="12">
        <v>80</v>
      </c>
      <c r="R120" s="11" t="s">
        <v>25</v>
      </c>
      <c r="S120" s="3" t="s">
        <v>26</v>
      </c>
      <c r="T120" s="38" t="s">
        <v>27</v>
      </c>
    </row>
    <row r="121" spans="1:20" ht="15.75" customHeight="1" x14ac:dyDescent="0.3">
      <c r="A121" s="39" t="str">
        <f>IF('Rates from Ireland Fedex Priort'!A120="","",'Rates from Ireland Fedex Priort'!A120)</f>
        <v>EU</v>
      </c>
      <c r="B121" s="8" t="str">
        <f>IF('Rates from Ireland Fedex Priort'!B120="","",'Rates from Ireland Fedex Priort'!B120)</f>
        <v>Ireland</v>
      </c>
      <c r="C121" s="9" t="str">
        <f>IF('Rates from Ireland Fedex Priort'!C120="","",'Rates from Ireland Fedex Priort'!C120)</f>
        <v>Laos</v>
      </c>
      <c r="D121" s="10">
        <f>IF(ISNUMBER('Rates from Ireland Fedex Priort'!D120),_xlfn.CEILING.MATH('Rates from Ireland Fedex Priort'!D120,1)+IF($A121="EU",Variables!$B$5,Variables!$B$2),'Rates from Ireland Fedex Priort'!D120)</f>
        <v>69</v>
      </c>
      <c r="E121" s="10">
        <f>IF(ISNUMBER('Rates from Ireland Fedex Priort'!E120),_xlfn.CEILING.MATH('Rates from Ireland Fedex Priort'!E120,1)+IF($A121="EU",Variables!$B$6,Variables!$B$3),'Rates from Ireland Fedex Priort'!E120)</f>
        <v>74</v>
      </c>
      <c r="F121" s="10">
        <f>IF(ISNUMBER('Rates from Ireland Fedex Priort'!F120),_xlfn.CEILING.MATH('Rates from Ireland Fedex Priort'!F120,1)+IF($A121="EU",Variables!$B$6,Variables!$B$3),'Rates from Ireland Fedex Priort'!F120)</f>
        <v>79</v>
      </c>
      <c r="G121" s="10">
        <f>IF(ISNUMBER('Rates from Ireland Fedex Priort'!G120),_xlfn.CEILING.MATH('Rates from Ireland Fedex Priort'!G120,1)+IF($A121="EU",Variables!$B$6,Variables!$B$3),'Rates from Ireland Fedex Priort'!G120)</f>
        <v>95</v>
      </c>
      <c r="H121" s="10">
        <f>IF(ISNUMBER('Rates from Ireland Fedex Priort'!H120),_xlfn.CEILING.MATH('Rates from Ireland Fedex Priort'!H120,1)+IF($A121="EU",Variables!$B$6,Variables!$B$3),'Rates from Ireland Fedex Priort'!H120)</f>
        <v>119</v>
      </c>
      <c r="I121" s="10">
        <f>IF(ISNUMBER('Rates from Ireland Fedex Priort'!I120),_xlfn.CEILING.MATH('Rates from Ireland Fedex Priort'!I120,1)+IF($A121="EU",Variables!$B$6,Variables!$B$3),'Rates from Ireland Fedex Priort'!I120)</f>
        <v>179</v>
      </c>
      <c r="J121" s="10" t="str">
        <f>IF(ISNUMBER('Rates from Ireland Fedex Priort'!J120),_xlfn.CEILING.MATH('Rates from Ireland Fedex Priort'!J120,1)+IF($A121="EU",Variables!$B$6,Variables!$B$3),'Rates from Ireland Fedex Priort'!J120)</f>
        <v>No service</v>
      </c>
      <c r="K121" s="10" t="str">
        <f>IF(ISNUMBER('Rates from Ireland Fedex Priort'!K120),_xlfn.CEILING.MATH('Rates from Ireland Fedex Priort'!K120,1)+IF($A121="EU",Variables!$B$6,Variables!$B$3),'Rates from Ireland Fedex Priort'!K120)</f>
        <v>No service</v>
      </c>
      <c r="L121" s="10" t="str">
        <f>IF(ISNUMBER('Rates from Ireland Fedex Priort'!L120),_xlfn.CEILING.MATH('Rates from Ireland Fedex Priort'!L120,1)+IF($A121="EU",Variables!$B$6,Variables!$B$3),'Rates from Ireland Fedex Priort'!L120)</f>
        <v>No service</v>
      </c>
      <c r="M121" s="10" t="str">
        <f>IF(ISNUMBER('Rates from Ireland Fedex Priort'!M120),_xlfn.CEILING.MATH('Rates from Ireland Fedex Priort'!M120,1)+IF($A121="EU",Variables!$B$6,Variables!$B$3),'Rates from Ireland Fedex Priort'!M120)</f>
        <v>No service</v>
      </c>
      <c r="N121" s="10" t="str">
        <f>IF(ISNUMBER('Rates from Ireland Fedex Priort'!N120),_xlfn.CEILING.MATH('Rates from Ireland Fedex Priort'!N120,1)+IF($A121="EU",Variables!$B$6,Variables!$B$3),'Rates from Ireland Fedex Priort'!N120)</f>
        <v>No service</v>
      </c>
      <c r="O121" s="11" t="s">
        <v>41</v>
      </c>
      <c r="P121" s="11" t="s">
        <v>143</v>
      </c>
      <c r="Q121" s="12">
        <v>80</v>
      </c>
      <c r="R121" s="11" t="s">
        <v>25</v>
      </c>
      <c r="S121" s="3" t="s">
        <v>26</v>
      </c>
      <c r="T121" s="38" t="s">
        <v>27</v>
      </c>
    </row>
    <row r="122" spans="1:20" ht="15.75" customHeight="1" x14ac:dyDescent="0.3">
      <c r="A122" s="39" t="str">
        <f>IF('Rates from Ireland Fedex Priort'!A121="","",'Rates from Ireland Fedex Priort'!A121)</f>
        <v>EU</v>
      </c>
      <c r="B122" s="8" t="str">
        <f>IF('Rates from Ireland Fedex Priort'!B121="","",'Rates from Ireland Fedex Priort'!B121)</f>
        <v>Ireland</v>
      </c>
      <c r="C122" s="9" t="str">
        <f>IF('Rates from Ireland Fedex Priort'!C121="","",'Rates from Ireland Fedex Priort'!C121)</f>
        <v>Latvia</v>
      </c>
      <c r="D122" s="10">
        <f>IF(ISNUMBER('Rates from Ireland Fedex Priort'!D121),_xlfn.CEILING.MATH('Rates from Ireland Fedex Priort'!D121,1)+IF($A122="EU",Variables!$B$5,Variables!$B$2),'Rates from Ireland Fedex Priort'!D121)</f>
        <v>68</v>
      </c>
      <c r="E122" s="10">
        <f>IF(ISNUMBER('Rates from Ireland Fedex Priort'!E121),_xlfn.CEILING.MATH('Rates from Ireland Fedex Priort'!E121,1)+IF($A122="EU",Variables!$B$6,Variables!$B$3),'Rates from Ireland Fedex Priort'!E121)</f>
        <v>74</v>
      </c>
      <c r="F122" s="10">
        <f>IF(ISNUMBER('Rates from Ireland Fedex Priort'!F121),_xlfn.CEILING.MATH('Rates from Ireland Fedex Priort'!F121,1)+IF($A122="EU",Variables!$B$6,Variables!$B$3),'Rates from Ireland Fedex Priort'!F121)</f>
        <v>77</v>
      </c>
      <c r="G122" s="10">
        <f>IF(ISNUMBER('Rates from Ireland Fedex Priort'!G121),_xlfn.CEILING.MATH('Rates from Ireland Fedex Priort'!G121,1)+IF($A122="EU",Variables!$B$6,Variables!$B$3),'Rates from Ireland Fedex Priort'!G121)</f>
        <v>79</v>
      </c>
      <c r="H122" s="10">
        <f>IF(ISNUMBER('Rates from Ireland Fedex Priort'!H121),_xlfn.CEILING.MATH('Rates from Ireland Fedex Priort'!H121,1)+IF($A122="EU",Variables!$B$6,Variables!$B$3),'Rates from Ireland Fedex Priort'!H121)</f>
        <v>82</v>
      </c>
      <c r="I122" s="10">
        <f>IF(ISNUMBER('Rates from Ireland Fedex Priort'!I121),_xlfn.CEILING.MATH('Rates from Ireland Fedex Priort'!I121,1)+IF($A122="EU",Variables!$B$6,Variables!$B$3),'Rates from Ireland Fedex Priort'!I121)</f>
        <v>95</v>
      </c>
      <c r="J122" s="10">
        <f>IF(ISNUMBER('Rates from Ireland Fedex Priort'!J121),_xlfn.CEILING.MATH('Rates from Ireland Fedex Priort'!J121,1)+IF($A122="EU",Variables!$B$6,Variables!$B$3),'Rates from Ireland Fedex Priort'!J121)</f>
        <v>103</v>
      </c>
      <c r="K122" s="10">
        <f>IF(ISNUMBER('Rates from Ireland Fedex Priort'!K121),_xlfn.CEILING.MATH('Rates from Ireland Fedex Priort'!K121,1)+IF($A122="EU",Variables!$B$6,Variables!$B$3),'Rates from Ireland Fedex Priort'!K121)</f>
        <v>112</v>
      </c>
      <c r="L122" s="10">
        <f>IF(ISNUMBER('Rates from Ireland Fedex Priort'!L121),_xlfn.CEILING.MATH('Rates from Ireland Fedex Priort'!L121,1)+IF($A122="EU",Variables!$B$6,Variables!$B$3),'Rates from Ireland Fedex Priort'!L121)</f>
        <v>139</v>
      </c>
      <c r="M122" s="10">
        <f>IF(ISNUMBER('Rates from Ireland Fedex Priort'!M121),_xlfn.CEILING.MATH('Rates from Ireland Fedex Priort'!M121,1)+IF($A122="EU",Variables!$B$6,Variables!$B$3),'Rates from Ireland Fedex Priort'!M121)</f>
        <v>148</v>
      </c>
      <c r="N122" s="10">
        <f>IF(ISNUMBER('Rates from Ireland Fedex Priort'!N121),_xlfn.CEILING.MATH('Rates from Ireland Fedex Priort'!N121,1)+IF($A122="EU",Variables!$B$6,Variables!$B$3),'Rates from Ireland Fedex Priort'!N121)</f>
        <v>152</v>
      </c>
      <c r="O122" s="15" t="s">
        <v>61</v>
      </c>
      <c r="P122" s="15" t="s">
        <v>23</v>
      </c>
      <c r="Q122" s="16">
        <v>80</v>
      </c>
      <c r="R122" s="15" t="s">
        <v>25</v>
      </c>
      <c r="S122" s="17" t="s">
        <v>26</v>
      </c>
      <c r="T122" s="40" t="s">
        <v>27</v>
      </c>
    </row>
    <row r="123" spans="1:20" ht="15.75" customHeight="1" x14ac:dyDescent="0.3">
      <c r="A123" s="39" t="str">
        <f>IF('Rates from Ireland Fedex Priort'!A122="","",'Rates from Ireland Fedex Priort'!A122)</f>
        <v>EU</v>
      </c>
      <c r="B123" s="8" t="str">
        <f>IF('Rates from Ireland Fedex Priort'!B122="","",'Rates from Ireland Fedex Priort'!B122)</f>
        <v>Ireland</v>
      </c>
      <c r="C123" s="9" t="str">
        <f>IF('Rates from Ireland Fedex Priort'!C122="","",'Rates from Ireland Fedex Priort'!C122)</f>
        <v>Lebanon</v>
      </c>
      <c r="D123" s="10">
        <f>IF(ISNUMBER('Rates from Ireland Fedex Priort'!D122),_xlfn.CEILING.MATH('Rates from Ireland Fedex Priort'!D122,1)+IF($A123="EU",Variables!$B$5,Variables!$B$2),'Rates from Ireland Fedex Priort'!D122)</f>
        <v>62</v>
      </c>
      <c r="E123" s="10">
        <f>IF(ISNUMBER('Rates from Ireland Fedex Priort'!E122),_xlfn.CEILING.MATH('Rates from Ireland Fedex Priort'!E122,1)+IF($A123="EU",Variables!$B$6,Variables!$B$3),'Rates from Ireland Fedex Priort'!E122)</f>
        <v>69</v>
      </c>
      <c r="F123" s="10">
        <f>IF(ISNUMBER('Rates from Ireland Fedex Priort'!F122),_xlfn.CEILING.MATH('Rates from Ireland Fedex Priort'!F122,1)+IF($A123="EU",Variables!$B$6,Variables!$B$3),'Rates from Ireland Fedex Priort'!F122)</f>
        <v>72</v>
      </c>
      <c r="G123" s="10">
        <f>IF(ISNUMBER('Rates from Ireland Fedex Priort'!G122),_xlfn.CEILING.MATH('Rates from Ireland Fedex Priort'!G122,1)+IF($A123="EU",Variables!$B$6,Variables!$B$3),'Rates from Ireland Fedex Priort'!G122)</f>
        <v>86</v>
      </c>
      <c r="H123" s="10">
        <f>IF(ISNUMBER('Rates from Ireland Fedex Priort'!H122),_xlfn.CEILING.MATH('Rates from Ireland Fedex Priort'!H122,1)+IF($A123="EU",Variables!$B$6,Variables!$B$3),'Rates from Ireland Fedex Priort'!H122)</f>
        <v>111</v>
      </c>
      <c r="I123" s="10">
        <f>IF(ISNUMBER('Rates from Ireland Fedex Priort'!I122),_xlfn.CEILING.MATH('Rates from Ireland Fedex Priort'!I122,1)+IF($A123="EU",Variables!$B$6,Variables!$B$3),'Rates from Ireland Fedex Priort'!I122)</f>
        <v>174</v>
      </c>
      <c r="J123" s="10" t="str">
        <f>IF(ISNUMBER('Rates from Ireland Fedex Priort'!J122),_xlfn.CEILING.MATH('Rates from Ireland Fedex Priort'!J122,1)+IF($A123="EU",Variables!$B$6,Variables!$B$3),'Rates from Ireland Fedex Priort'!J122)</f>
        <v>No service</v>
      </c>
      <c r="K123" s="10" t="str">
        <f>IF(ISNUMBER('Rates from Ireland Fedex Priort'!K122),_xlfn.CEILING.MATH('Rates from Ireland Fedex Priort'!K122,1)+IF($A123="EU",Variables!$B$6,Variables!$B$3),'Rates from Ireland Fedex Priort'!K122)</f>
        <v>No service</v>
      </c>
      <c r="L123" s="10" t="str">
        <f>IF(ISNUMBER('Rates from Ireland Fedex Priort'!L122),_xlfn.CEILING.MATH('Rates from Ireland Fedex Priort'!L122,1)+IF($A123="EU",Variables!$B$6,Variables!$B$3),'Rates from Ireland Fedex Priort'!L122)</f>
        <v>No service</v>
      </c>
      <c r="M123" s="10" t="str">
        <f>IF(ISNUMBER('Rates from Ireland Fedex Priort'!M122),_xlfn.CEILING.MATH('Rates from Ireland Fedex Priort'!M122,1)+IF($A123="EU",Variables!$B$6,Variables!$B$3),'Rates from Ireland Fedex Priort'!M122)</f>
        <v>No service</v>
      </c>
      <c r="N123" s="10" t="str">
        <f>IF(ISNUMBER('Rates from Ireland Fedex Priort'!N122),_xlfn.CEILING.MATH('Rates from Ireland Fedex Priort'!N122,1)+IF($A123="EU",Variables!$B$6,Variables!$B$3),'Rates from Ireland Fedex Priort'!N122)</f>
        <v>No service</v>
      </c>
      <c r="O123" s="11" t="s">
        <v>29</v>
      </c>
      <c r="P123" s="11" t="s">
        <v>30</v>
      </c>
      <c r="Q123" s="12">
        <v>80</v>
      </c>
      <c r="R123" s="11" t="s">
        <v>25</v>
      </c>
      <c r="S123" s="3" t="s">
        <v>26</v>
      </c>
      <c r="T123" s="38" t="s">
        <v>27</v>
      </c>
    </row>
    <row r="124" spans="1:20" ht="15.75" customHeight="1" x14ac:dyDescent="0.3">
      <c r="A124" s="39" t="str">
        <f>IF('Rates from Ireland Fedex Priort'!A123="","",'Rates from Ireland Fedex Priort'!A123)</f>
        <v>EU</v>
      </c>
      <c r="B124" s="8" t="str">
        <f>IF('Rates from Ireland Fedex Priort'!B123="","",'Rates from Ireland Fedex Priort'!B123)</f>
        <v>Ireland</v>
      </c>
      <c r="C124" s="9" t="str">
        <f>IF('Rates from Ireland Fedex Priort'!C123="","",'Rates from Ireland Fedex Priort'!C123)</f>
        <v>Lesotho</v>
      </c>
      <c r="D124" s="10">
        <f>IF(ISNUMBER('Rates from Ireland Fedex Priort'!D123),_xlfn.CEILING.MATH('Rates from Ireland Fedex Priort'!D123,1)+IF($A124="EU",Variables!$B$5,Variables!$B$2),'Rates from Ireland Fedex Priort'!D123)</f>
        <v>72</v>
      </c>
      <c r="E124" s="10">
        <f>IF(ISNUMBER('Rates from Ireland Fedex Priort'!E123),_xlfn.CEILING.MATH('Rates from Ireland Fedex Priort'!E123,1)+IF($A124="EU",Variables!$B$6,Variables!$B$3),'Rates from Ireland Fedex Priort'!E123)</f>
        <v>83</v>
      </c>
      <c r="F124" s="10">
        <f>IF(ISNUMBER('Rates from Ireland Fedex Priort'!F123),_xlfn.CEILING.MATH('Rates from Ireland Fedex Priort'!F123,1)+IF($A124="EU",Variables!$B$6,Variables!$B$3),'Rates from Ireland Fedex Priort'!F123)</f>
        <v>88</v>
      </c>
      <c r="G124" s="10">
        <f>IF(ISNUMBER('Rates from Ireland Fedex Priort'!G123),_xlfn.CEILING.MATH('Rates from Ireland Fedex Priort'!G123,1)+IF($A124="EU",Variables!$B$6,Variables!$B$3),'Rates from Ireland Fedex Priort'!G123)</f>
        <v>106</v>
      </c>
      <c r="H124" s="10">
        <f>IF(ISNUMBER('Rates from Ireland Fedex Priort'!H123),_xlfn.CEILING.MATH('Rates from Ireland Fedex Priort'!H123,1)+IF($A124="EU",Variables!$B$6,Variables!$B$3),'Rates from Ireland Fedex Priort'!H123)</f>
        <v>134</v>
      </c>
      <c r="I124" s="10">
        <f>IF(ISNUMBER('Rates from Ireland Fedex Priort'!I123),_xlfn.CEILING.MATH('Rates from Ireland Fedex Priort'!I123,1)+IF($A124="EU",Variables!$B$6,Variables!$B$3),'Rates from Ireland Fedex Priort'!I123)</f>
        <v>242</v>
      </c>
      <c r="J124" s="10" t="str">
        <f>IF(ISNUMBER('Rates from Ireland Fedex Priort'!J123),_xlfn.CEILING.MATH('Rates from Ireland Fedex Priort'!J123,1)+IF($A124="EU",Variables!$B$6,Variables!$B$3),'Rates from Ireland Fedex Priort'!J123)</f>
        <v>No service</v>
      </c>
      <c r="K124" s="10" t="str">
        <f>IF(ISNUMBER('Rates from Ireland Fedex Priort'!K123),_xlfn.CEILING.MATH('Rates from Ireland Fedex Priort'!K123,1)+IF($A124="EU",Variables!$B$6,Variables!$B$3),'Rates from Ireland Fedex Priort'!K123)</f>
        <v>No service</v>
      </c>
      <c r="L124" s="10" t="str">
        <f>IF(ISNUMBER('Rates from Ireland Fedex Priort'!L123),_xlfn.CEILING.MATH('Rates from Ireland Fedex Priort'!L123,1)+IF($A124="EU",Variables!$B$6,Variables!$B$3),'Rates from Ireland Fedex Priort'!L123)</f>
        <v>No service</v>
      </c>
      <c r="M124" s="10" t="str">
        <f>IF(ISNUMBER('Rates from Ireland Fedex Priort'!M123),_xlfn.CEILING.MATH('Rates from Ireland Fedex Priort'!M123,1)+IF($A124="EU",Variables!$B$6,Variables!$B$3),'Rates from Ireland Fedex Priort'!M123)</f>
        <v>No service</v>
      </c>
      <c r="N124" s="10" t="str">
        <f>IF(ISNUMBER('Rates from Ireland Fedex Priort'!N123),_xlfn.CEILING.MATH('Rates from Ireland Fedex Priort'!N123,1)+IF($A124="EU",Variables!$B$6,Variables!$B$3),'Rates from Ireland Fedex Priort'!N123)</f>
        <v>No service</v>
      </c>
      <c r="O124" s="11" t="s">
        <v>35</v>
      </c>
      <c r="P124" s="11" t="s">
        <v>36</v>
      </c>
      <c r="Q124" s="12">
        <v>80</v>
      </c>
      <c r="R124" s="11" t="s">
        <v>25</v>
      </c>
      <c r="S124" s="3" t="s">
        <v>26</v>
      </c>
      <c r="T124" s="38" t="s">
        <v>27</v>
      </c>
    </row>
    <row r="125" spans="1:20" ht="15.75" customHeight="1" x14ac:dyDescent="0.3">
      <c r="A125" s="39" t="str">
        <f>IF('Rates from Ireland Fedex Priort'!A124="","",'Rates from Ireland Fedex Priort'!A124)</f>
        <v>EU</v>
      </c>
      <c r="B125" s="8" t="str">
        <f>IF('Rates from Ireland Fedex Priort'!B124="","",'Rates from Ireland Fedex Priort'!B124)</f>
        <v>Ireland</v>
      </c>
      <c r="C125" s="9" t="str">
        <f>IF('Rates from Ireland Fedex Priort'!C124="","",'Rates from Ireland Fedex Priort'!C124)</f>
        <v>Liberia</v>
      </c>
      <c r="D125" s="10">
        <f>IF(ISNUMBER('Rates from Ireland Fedex Priort'!D124),_xlfn.CEILING.MATH('Rates from Ireland Fedex Priort'!D124,1)+IF($A125="EU",Variables!$B$5,Variables!$B$2),'Rates from Ireland Fedex Priort'!D124)</f>
        <v>72</v>
      </c>
      <c r="E125" s="10">
        <f>IF(ISNUMBER('Rates from Ireland Fedex Priort'!E124),_xlfn.CEILING.MATH('Rates from Ireland Fedex Priort'!E124,1)+IF($A125="EU",Variables!$B$6,Variables!$B$3),'Rates from Ireland Fedex Priort'!E124)</f>
        <v>83</v>
      </c>
      <c r="F125" s="10">
        <f>IF(ISNUMBER('Rates from Ireland Fedex Priort'!F124),_xlfn.CEILING.MATH('Rates from Ireland Fedex Priort'!F124,1)+IF($A125="EU",Variables!$B$6,Variables!$B$3),'Rates from Ireland Fedex Priort'!F124)</f>
        <v>88</v>
      </c>
      <c r="G125" s="10">
        <f>IF(ISNUMBER('Rates from Ireland Fedex Priort'!G124),_xlfn.CEILING.MATH('Rates from Ireland Fedex Priort'!G124,1)+IF($A125="EU",Variables!$B$6,Variables!$B$3),'Rates from Ireland Fedex Priort'!G124)</f>
        <v>106</v>
      </c>
      <c r="H125" s="10">
        <f>IF(ISNUMBER('Rates from Ireland Fedex Priort'!H124),_xlfn.CEILING.MATH('Rates from Ireland Fedex Priort'!H124,1)+IF($A125="EU",Variables!$B$6,Variables!$B$3),'Rates from Ireland Fedex Priort'!H124)</f>
        <v>134</v>
      </c>
      <c r="I125" s="10">
        <f>IF(ISNUMBER('Rates from Ireland Fedex Priort'!I124),_xlfn.CEILING.MATH('Rates from Ireland Fedex Priort'!I124,1)+IF($A125="EU",Variables!$B$6,Variables!$B$3),'Rates from Ireland Fedex Priort'!I124)</f>
        <v>242</v>
      </c>
      <c r="J125" s="10" t="str">
        <f>IF(ISNUMBER('Rates from Ireland Fedex Priort'!J124),_xlfn.CEILING.MATH('Rates from Ireland Fedex Priort'!J124,1)+IF($A125="EU",Variables!$B$6,Variables!$B$3),'Rates from Ireland Fedex Priort'!J124)</f>
        <v>No service</v>
      </c>
      <c r="K125" s="10" t="str">
        <f>IF(ISNUMBER('Rates from Ireland Fedex Priort'!K124),_xlfn.CEILING.MATH('Rates from Ireland Fedex Priort'!K124,1)+IF($A125="EU",Variables!$B$6,Variables!$B$3),'Rates from Ireland Fedex Priort'!K124)</f>
        <v>No service</v>
      </c>
      <c r="L125" s="10" t="str">
        <f>IF(ISNUMBER('Rates from Ireland Fedex Priort'!L124),_xlfn.CEILING.MATH('Rates from Ireland Fedex Priort'!L124,1)+IF($A125="EU",Variables!$B$6,Variables!$B$3),'Rates from Ireland Fedex Priort'!L124)</f>
        <v>No service</v>
      </c>
      <c r="M125" s="10" t="str">
        <f>IF(ISNUMBER('Rates from Ireland Fedex Priort'!M124),_xlfn.CEILING.MATH('Rates from Ireland Fedex Priort'!M124,1)+IF($A125="EU",Variables!$B$6,Variables!$B$3),'Rates from Ireland Fedex Priort'!M124)</f>
        <v>No service</v>
      </c>
      <c r="N125" s="10" t="str">
        <f>IF(ISNUMBER('Rates from Ireland Fedex Priort'!N124),_xlfn.CEILING.MATH('Rates from Ireland Fedex Priort'!N124,1)+IF($A125="EU",Variables!$B$6,Variables!$B$3),'Rates from Ireland Fedex Priort'!N124)</f>
        <v>No service</v>
      </c>
      <c r="O125" s="11" t="s">
        <v>35</v>
      </c>
      <c r="P125" s="11" t="s">
        <v>36</v>
      </c>
      <c r="Q125" s="12">
        <v>80</v>
      </c>
      <c r="R125" s="11" t="s">
        <v>25</v>
      </c>
      <c r="S125" s="3" t="s">
        <v>26</v>
      </c>
      <c r="T125" s="38" t="s">
        <v>27</v>
      </c>
    </row>
    <row r="126" spans="1:20" ht="15.75" customHeight="1" x14ac:dyDescent="0.3">
      <c r="A126" s="39" t="str">
        <f>IF('Rates from Ireland Fedex Priort'!A125="","",'Rates from Ireland Fedex Priort'!A125)</f>
        <v>EU</v>
      </c>
      <c r="B126" s="8" t="str">
        <f>IF('Rates from Ireland Fedex Priort'!B125="","",'Rates from Ireland Fedex Priort'!B125)</f>
        <v>Ireland</v>
      </c>
      <c r="C126" s="9" t="str">
        <f>IF('Rates from Ireland Fedex Priort'!C125="","",'Rates from Ireland Fedex Priort'!C125)</f>
        <v>Libya</v>
      </c>
      <c r="D126" s="10">
        <f>IF(ISNUMBER('Rates from Ireland Fedex Priort'!D125),_xlfn.CEILING.MATH('Rates from Ireland Fedex Priort'!D125,1)+IF($A126="EU",Variables!$B$5,Variables!$B$2),'Rates from Ireland Fedex Priort'!D125)</f>
        <v>62</v>
      </c>
      <c r="E126" s="10">
        <f>IF(ISNUMBER('Rates from Ireland Fedex Priort'!E125),_xlfn.CEILING.MATH('Rates from Ireland Fedex Priort'!E125,1)+IF($A126="EU",Variables!$B$6,Variables!$B$3),'Rates from Ireland Fedex Priort'!E125)</f>
        <v>69</v>
      </c>
      <c r="F126" s="10">
        <f>IF(ISNUMBER('Rates from Ireland Fedex Priort'!F125),_xlfn.CEILING.MATH('Rates from Ireland Fedex Priort'!F125,1)+IF($A126="EU",Variables!$B$6,Variables!$B$3),'Rates from Ireland Fedex Priort'!F125)</f>
        <v>72</v>
      </c>
      <c r="G126" s="10">
        <f>IF(ISNUMBER('Rates from Ireland Fedex Priort'!G125),_xlfn.CEILING.MATH('Rates from Ireland Fedex Priort'!G125,1)+IF($A126="EU",Variables!$B$6,Variables!$B$3),'Rates from Ireland Fedex Priort'!G125)</f>
        <v>86</v>
      </c>
      <c r="H126" s="10">
        <f>IF(ISNUMBER('Rates from Ireland Fedex Priort'!H125),_xlfn.CEILING.MATH('Rates from Ireland Fedex Priort'!H125,1)+IF($A126="EU",Variables!$B$6,Variables!$B$3),'Rates from Ireland Fedex Priort'!H125)</f>
        <v>111</v>
      </c>
      <c r="I126" s="10">
        <f>IF(ISNUMBER('Rates from Ireland Fedex Priort'!I125),_xlfn.CEILING.MATH('Rates from Ireland Fedex Priort'!I125,1)+IF($A126="EU",Variables!$B$6,Variables!$B$3),'Rates from Ireland Fedex Priort'!I125)</f>
        <v>174</v>
      </c>
      <c r="J126" s="10" t="str">
        <f>IF(ISNUMBER('Rates from Ireland Fedex Priort'!J125),_xlfn.CEILING.MATH('Rates from Ireland Fedex Priort'!J125,1)+IF($A126="EU",Variables!$B$6,Variables!$B$3),'Rates from Ireland Fedex Priort'!J125)</f>
        <v>No service</v>
      </c>
      <c r="K126" s="10" t="str">
        <f>IF(ISNUMBER('Rates from Ireland Fedex Priort'!K125),_xlfn.CEILING.MATH('Rates from Ireland Fedex Priort'!K125,1)+IF($A126="EU",Variables!$B$6,Variables!$B$3),'Rates from Ireland Fedex Priort'!K125)</f>
        <v>No service</v>
      </c>
      <c r="L126" s="10" t="str">
        <f>IF(ISNUMBER('Rates from Ireland Fedex Priort'!L125),_xlfn.CEILING.MATH('Rates from Ireland Fedex Priort'!L125,1)+IF($A126="EU",Variables!$B$6,Variables!$B$3),'Rates from Ireland Fedex Priort'!L125)</f>
        <v>No service</v>
      </c>
      <c r="M126" s="10" t="str">
        <f>IF(ISNUMBER('Rates from Ireland Fedex Priort'!M125),_xlfn.CEILING.MATH('Rates from Ireland Fedex Priort'!M125,1)+IF($A126="EU",Variables!$B$6,Variables!$B$3),'Rates from Ireland Fedex Priort'!M125)</f>
        <v>No service</v>
      </c>
      <c r="N126" s="10" t="str">
        <f>IF(ISNUMBER('Rates from Ireland Fedex Priort'!N125),_xlfn.CEILING.MATH('Rates from Ireland Fedex Priort'!N125,1)+IF($A126="EU",Variables!$B$6,Variables!$B$3),'Rates from Ireland Fedex Priort'!N125)</f>
        <v>No service</v>
      </c>
      <c r="O126" s="11" t="s">
        <v>29</v>
      </c>
      <c r="P126" s="11" t="s">
        <v>30</v>
      </c>
      <c r="Q126" s="12">
        <v>80</v>
      </c>
      <c r="R126" s="11" t="s">
        <v>25</v>
      </c>
      <c r="S126" s="3" t="s">
        <v>26</v>
      </c>
      <c r="T126" s="38" t="s">
        <v>27</v>
      </c>
    </row>
    <row r="127" spans="1:20" ht="15.75" customHeight="1" x14ac:dyDescent="0.3">
      <c r="A127" s="39" t="str">
        <f>IF('Rates from Ireland Fedex Priort'!A126="","",'Rates from Ireland Fedex Priort'!A126)</f>
        <v>EU</v>
      </c>
      <c r="B127" s="8" t="str">
        <f>IF('Rates from Ireland Fedex Priort'!B126="","",'Rates from Ireland Fedex Priort'!B126)</f>
        <v>Ireland</v>
      </c>
      <c r="C127" s="9" t="str">
        <f>IF('Rates from Ireland Fedex Priort'!C126="","",'Rates from Ireland Fedex Priort'!C126)</f>
        <v>Liechtenstein</v>
      </c>
      <c r="D127" s="10">
        <f>IF(ISNUMBER('Rates from Ireland Fedex Priort'!D126),_xlfn.CEILING.MATH('Rates from Ireland Fedex Priort'!D126,1)+IF($A127="EU",Variables!$B$5,Variables!$B$2),'Rates from Ireland Fedex Priort'!D126)</f>
        <v>64</v>
      </c>
      <c r="E127" s="10">
        <f>IF(ISNUMBER('Rates from Ireland Fedex Priort'!E126),_xlfn.CEILING.MATH('Rates from Ireland Fedex Priort'!E126,1)+IF($A127="EU",Variables!$B$6,Variables!$B$3),'Rates from Ireland Fedex Priort'!E126)</f>
        <v>100</v>
      </c>
      <c r="F127" s="10">
        <f>IF(ISNUMBER('Rates from Ireland Fedex Priort'!F126),_xlfn.CEILING.MATH('Rates from Ireland Fedex Priort'!F126,1)+IF($A127="EU",Variables!$B$6,Variables!$B$3),'Rates from Ireland Fedex Priort'!F126)</f>
        <v>100</v>
      </c>
      <c r="G127" s="10">
        <f>IF(ISNUMBER('Rates from Ireland Fedex Priort'!G126),_xlfn.CEILING.MATH('Rates from Ireland Fedex Priort'!G126,1)+IF($A127="EU",Variables!$B$6,Variables!$B$3),'Rates from Ireland Fedex Priort'!G126)</f>
        <v>105</v>
      </c>
      <c r="H127" s="10">
        <f>IF(ISNUMBER('Rates from Ireland Fedex Priort'!H126),_xlfn.CEILING.MATH('Rates from Ireland Fedex Priort'!H126,1)+IF($A127="EU",Variables!$B$6,Variables!$B$3),'Rates from Ireland Fedex Priort'!H126)</f>
        <v>117</v>
      </c>
      <c r="I127" s="10">
        <f>IF(ISNUMBER('Rates from Ireland Fedex Priort'!I126),_xlfn.CEILING.MATH('Rates from Ireland Fedex Priort'!I126,1)+IF($A127="EU",Variables!$B$6,Variables!$B$3),'Rates from Ireland Fedex Priort'!I126)</f>
        <v>124</v>
      </c>
      <c r="J127" s="10">
        <f>IF(ISNUMBER('Rates from Ireland Fedex Priort'!J126),_xlfn.CEILING.MATH('Rates from Ireland Fedex Priort'!J126,1)+IF($A127="EU",Variables!$B$6,Variables!$B$3),'Rates from Ireland Fedex Priort'!J126)</f>
        <v>133</v>
      </c>
      <c r="K127" s="10">
        <f>IF(ISNUMBER('Rates from Ireland Fedex Priort'!K126),_xlfn.CEILING.MATH('Rates from Ireland Fedex Priort'!K126,1)+IF($A127="EU",Variables!$B$6,Variables!$B$3),'Rates from Ireland Fedex Priort'!K126)</f>
        <v>142</v>
      </c>
      <c r="L127" s="10">
        <f>IF(ISNUMBER('Rates from Ireland Fedex Priort'!L126),_xlfn.CEILING.MATH('Rates from Ireland Fedex Priort'!L126,1)+IF($A127="EU",Variables!$B$6,Variables!$B$3),'Rates from Ireland Fedex Priort'!L126)</f>
        <v>142</v>
      </c>
      <c r="M127" s="10">
        <f>IF(ISNUMBER('Rates from Ireland Fedex Priort'!M126),_xlfn.CEILING.MATH('Rates from Ireland Fedex Priort'!M126,1)+IF($A127="EU",Variables!$B$6,Variables!$B$3),'Rates from Ireland Fedex Priort'!M126)</f>
        <v>158</v>
      </c>
      <c r="N127" s="10">
        <f>IF(ISNUMBER('Rates from Ireland Fedex Priort'!N126),_xlfn.CEILING.MATH('Rates from Ireland Fedex Priort'!N126,1)+IF($A127="EU",Variables!$B$6,Variables!$B$3),'Rates from Ireland Fedex Priort'!N126)</f>
        <v>175</v>
      </c>
      <c r="O127" s="15" t="s">
        <v>29</v>
      </c>
      <c r="P127" s="15" t="s">
        <v>69</v>
      </c>
      <c r="Q127" s="16">
        <v>80</v>
      </c>
      <c r="R127" s="15" t="s">
        <v>25</v>
      </c>
      <c r="S127" s="17" t="s">
        <v>26</v>
      </c>
      <c r="T127" s="40" t="s">
        <v>27</v>
      </c>
    </row>
    <row r="128" spans="1:20" ht="15.75" customHeight="1" x14ac:dyDescent="0.3">
      <c r="A128" s="39" t="str">
        <f>IF('Rates from Ireland Fedex Priort'!A127="","",'Rates from Ireland Fedex Priort'!A127)</f>
        <v>EU</v>
      </c>
      <c r="B128" s="8" t="str">
        <f>IF('Rates from Ireland Fedex Priort'!B127="","",'Rates from Ireland Fedex Priort'!B127)</f>
        <v>Ireland</v>
      </c>
      <c r="C128" s="9" t="str">
        <f>IF('Rates from Ireland Fedex Priort'!C127="","",'Rates from Ireland Fedex Priort'!C127)</f>
        <v>Lithuania</v>
      </c>
      <c r="D128" s="10">
        <f>IF(ISNUMBER('Rates from Ireland Fedex Priort'!D127),_xlfn.CEILING.MATH('Rates from Ireland Fedex Priort'!D127,1)+IF($A128="EU",Variables!$B$5,Variables!$B$2),'Rates from Ireland Fedex Priort'!D127)</f>
        <v>68</v>
      </c>
      <c r="E128" s="10">
        <f>IF(ISNUMBER('Rates from Ireland Fedex Priort'!E127),_xlfn.CEILING.MATH('Rates from Ireland Fedex Priort'!E127,1)+IF($A128="EU",Variables!$B$6,Variables!$B$3),'Rates from Ireland Fedex Priort'!E127)</f>
        <v>74</v>
      </c>
      <c r="F128" s="10">
        <f>IF(ISNUMBER('Rates from Ireland Fedex Priort'!F127),_xlfn.CEILING.MATH('Rates from Ireland Fedex Priort'!F127,1)+IF($A128="EU",Variables!$B$6,Variables!$B$3),'Rates from Ireland Fedex Priort'!F127)</f>
        <v>77</v>
      </c>
      <c r="G128" s="10">
        <f>IF(ISNUMBER('Rates from Ireland Fedex Priort'!G127),_xlfn.CEILING.MATH('Rates from Ireland Fedex Priort'!G127,1)+IF($A128="EU",Variables!$B$6,Variables!$B$3),'Rates from Ireland Fedex Priort'!G127)</f>
        <v>79</v>
      </c>
      <c r="H128" s="10">
        <f>IF(ISNUMBER('Rates from Ireland Fedex Priort'!H127),_xlfn.CEILING.MATH('Rates from Ireland Fedex Priort'!H127,1)+IF($A128="EU",Variables!$B$6,Variables!$B$3),'Rates from Ireland Fedex Priort'!H127)</f>
        <v>82</v>
      </c>
      <c r="I128" s="10">
        <f>IF(ISNUMBER('Rates from Ireland Fedex Priort'!I127),_xlfn.CEILING.MATH('Rates from Ireland Fedex Priort'!I127,1)+IF($A128="EU",Variables!$B$6,Variables!$B$3),'Rates from Ireland Fedex Priort'!I127)</f>
        <v>95</v>
      </c>
      <c r="J128" s="10">
        <f>IF(ISNUMBER('Rates from Ireland Fedex Priort'!J127),_xlfn.CEILING.MATH('Rates from Ireland Fedex Priort'!J127,1)+IF($A128="EU",Variables!$B$6,Variables!$B$3),'Rates from Ireland Fedex Priort'!J127)</f>
        <v>103</v>
      </c>
      <c r="K128" s="10">
        <f>IF(ISNUMBER('Rates from Ireland Fedex Priort'!K127),_xlfn.CEILING.MATH('Rates from Ireland Fedex Priort'!K127,1)+IF($A128="EU",Variables!$B$6,Variables!$B$3),'Rates from Ireland Fedex Priort'!K127)</f>
        <v>112</v>
      </c>
      <c r="L128" s="10">
        <f>IF(ISNUMBER('Rates from Ireland Fedex Priort'!L127),_xlfn.CEILING.MATH('Rates from Ireland Fedex Priort'!L127,1)+IF($A128="EU",Variables!$B$6,Variables!$B$3),'Rates from Ireland Fedex Priort'!L127)</f>
        <v>114</v>
      </c>
      <c r="M128" s="10">
        <f>IF(ISNUMBER('Rates from Ireland Fedex Priort'!M127),_xlfn.CEILING.MATH('Rates from Ireland Fedex Priort'!M127,1)+IF($A128="EU",Variables!$B$6,Variables!$B$3),'Rates from Ireland Fedex Priort'!M127)</f>
        <v>122</v>
      </c>
      <c r="N128" s="10">
        <f>IF(ISNUMBER('Rates from Ireland Fedex Priort'!N127),_xlfn.CEILING.MATH('Rates from Ireland Fedex Priort'!N127,1)+IF($A128="EU",Variables!$B$6,Variables!$B$3),'Rates from Ireland Fedex Priort'!N127)</f>
        <v>127</v>
      </c>
      <c r="O128" s="15" t="s">
        <v>29</v>
      </c>
      <c r="P128" s="15" t="s">
        <v>33</v>
      </c>
      <c r="Q128" s="16">
        <v>80</v>
      </c>
      <c r="R128" s="15" t="s">
        <v>25</v>
      </c>
      <c r="S128" s="17" t="s">
        <v>26</v>
      </c>
      <c r="T128" s="40" t="s">
        <v>27</v>
      </c>
    </row>
    <row r="129" spans="1:20" ht="15.75" customHeight="1" x14ac:dyDescent="0.3">
      <c r="A129" s="39" t="str">
        <f>IF('Rates from Ireland Fedex Priort'!A128="","",'Rates from Ireland Fedex Priort'!A128)</f>
        <v>EU</v>
      </c>
      <c r="B129" s="8" t="str">
        <f>IF('Rates from Ireland Fedex Priort'!B128="","",'Rates from Ireland Fedex Priort'!B128)</f>
        <v>Ireland</v>
      </c>
      <c r="C129" s="9" t="str">
        <f>IF('Rates from Ireland Fedex Priort'!C128="","",'Rates from Ireland Fedex Priort'!C128)</f>
        <v>Luxembourg</v>
      </c>
      <c r="D129" s="10">
        <f>IF(ISNUMBER('Rates from Ireland Fedex Priort'!D128),_xlfn.CEILING.MATH('Rates from Ireland Fedex Priort'!D128,1)+IF($A129="EU",Variables!$B$5,Variables!$B$2),'Rates from Ireland Fedex Priort'!D128)</f>
        <v>64</v>
      </c>
      <c r="E129" s="10">
        <f>IF(ISNUMBER('Rates from Ireland Fedex Priort'!E128),_xlfn.CEILING.MATH('Rates from Ireland Fedex Priort'!E128,1)+IF($A129="EU",Variables!$B$6,Variables!$B$3),'Rates from Ireland Fedex Priort'!E128)</f>
        <v>74</v>
      </c>
      <c r="F129" s="10">
        <f>IF(ISNUMBER('Rates from Ireland Fedex Priort'!F128),_xlfn.CEILING.MATH('Rates from Ireland Fedex Priort'!F128,1)+IF($A129="EU",Variables!$B$6,Variables!$B$3),'Rates from Ireland Fedex Priort'!F128)</f>
        <v>77</v>
      </c>
      <c r="G129" s="10">
        <f>IF(ISNUMBER('Rates from Ireland Fedex Priort'!G128),_xlfn.CEILING.MATH('Rates from Ireland Fedex Priort'!G128,1)+IF($A129="EU",Variables!$B$6,Variables!$B$3),'Rates from Ireland Fedex Priort'!G128)</f>
        <v>82</v>
      </c>
      <c r="H129" s="10">
        <f>IF(ISNUMBER('Rates from Ireland Fedex Priort'!H128),_xlfn.CEILING.MATH('Rates from Ireland Fedex Priort'!H128,1)+IF($A129="EU",Variables!$B$6,Variables!$B$3),'Rates from Ireland Fedex Priort'!H128)</f>
        <v>84</v>
      </c>
      <c r="I129" s="10">
        <f>IF(ISNUMBER('Rates from Ireland Fedex Priort'!I128),_xlfn.CEILING.MATH('Rates from Ireland Fedex Priort'!I128,1)+IF($A129="EU",Variables!$B$6,Variables!$B$3),'Rates from Ireland Fedex Priort'!I128)</f>
        <v>87</v>
      </c>
      <c r="J129" s="10">
        <f>IF(ISNUMBER('Rates from Ireland Fedex Priort'!J128),_xlfn.CEILING.MATH('Rates from Ireland Fedex Priort'!J128,1)+IF($A129="EU",Variables!$B$6,Variables!$B$3),'Rates from Ireland Fedex Priort'!J128)</f>
        <v>99</v>
      </c>
      <c r="K129" s="10">
        <f>IF(ISNUMBER('Rates from Ireland Fedex Priort'!K128),_xlfn.CEILING.MATH('Rates from Ireland Fedex Priort'!K128,1)+IF($A129="EU",Variables!$B$6,Variables!$B$3),'Rates from Ireland Fedex Priort'!K128)</f>
        <v>106</v>
      </c>
      <c r="L129" s="10">
        <f>IF(ISNUMBER('Rates from Ireland Fedex Priort'!L128),_xlfn.CEILING.MATH('Rates from Ireland Fedex Priort'!L128,1)+IF($A129="EU",Variables!$B$6,Variables!$B$3),'Rates from Ireland Fedex Priort'!L128)</f>
        <v>133</v>
      </c>
      <c r="M129" s="10">
        <f>IF(ISNUMBER('Rates from Ireland Fedex Priort'!M128),_xlfn.CEILING.MATH('Rates from Ireland Fedex Priort'!M128,1)+IF($A129="EU",Variables!$B$6,Variables!$B$3),'Rates from Ireland Fedex Priort'!M128)</f>
        <v>139</v>
      </c>
      <c r="N129" s="10">
        <f>IF(ISNUMBER('Rates from Ireland Fedex Priort'!N128),_xlfn.CEILING.MATH('Rates from Ireland Fedex Priort'!N128,1)+IF($A129="EU",Variables!$B$6,Variables!$B$3),'Rates from Ireland Fedex Priort'!N128)</f>
        <v>180</v>
      </c>
      <c r="O129" s="15" t="s">
        <v>29</v>
      </c>
      <c r="P129" s="15" t="s">
        <v>33</v>
      </c>
      <c r="Q129" s="16">
        <v>80</v>
      </c>
      <c r="R129" s="15" t="s">
        <v>25</v>
      </c>
      <c r="S129" s="17" t="s">
        <v>26</v>
      </c>
      <c r="T129" s="40" t="s">
        <v>27</v>
      </c>
    </row>
    <row r="130" spans="1:20" ht="15.75" customHeight="1" x14ac:dyDescent="0.3">
      <c r="A130" s="39" t="str">
        <f>IF('Rates from Ireland Fedex Priort'!A129="","",'Rates from Ireland Fedex Priort'!A129)</f>
        <v>EU</v>
      </c>
      <c r="B130" s="8" t="str">
        <f>IF('Rates from Ireland Fedex Priort'!B129="","",'Rates from Ireland Fedex Priort'!B129)</f>
        <v>Ireland</v>
      </c>
      <c r="C130" s="9" t="str">
        <f>IF('Rates from Ireland Fedex Priort'!C129="","",'Rates from Ireland Fedex Priort'!C129)</f>
        <v>Macau</v>
      </c>
      <c r="D130" s="10">
        <f>IF(ISNUMBER('Rates from Ireland Fedex Priort'!D129),_xlfn.CEILING.MATH('Rates from Ireland Fedex Priort'!D129,1)+IF($A130="EU",Variables!$B$5,Variables!$B$2),'Rates from Ireland Fedex Priort'!D129)</f>
        <v>69</v>
      </c>
      <c r="E130" s="10">
        <f>IF(ISNUMBER('Rates from Ireland Fedex Priort'!E129),_xlfn.CEILING.MATH('Rates from Ireland Fedex Priort'!E129,1)+IF($A130="EU",Variables!$B$6,Variables!$B$3),'Rates from Ireland Fedex Priort'!E129)</f>
        <v>74</v>
      </c>
      <c r="F130" s="10">
        <f>IF(ISNUMBER('Rates from Ireland Fedex Priort'!F129),_xlfn.CEILING.MATH('Rates from Ireland Fedex Priort'!F129,1)+IF($A130="EU",Variables!$B$6,Variables!$B$3),'Rates from Ireland Fedex Priort'!F129)</f>
        <v>79</v>
      </c>
      <c r="G130" s="10">
        <f>IF(ISNUMBER('Rates from Ireland Fedex Priort'!G129),_xlfn.CEILING.MATH('Rates from Ireland Fedex Priort'!G129,1)+IF($A130="EU",Variables!$B$6,Variables!$B$3),'Rates from Ireland Fedex Priort'!G129)</f>
        <v>95</v>
      </c>
      <c r="H130" s="10">
        <f>IF(ISNUMBER('Rates from Ireland Fedex Priort'!H129),_xlfn.CEILING.MATH('Rates from Ireland Fedex Priort'!H129,1)+IF($A130="EU",Variables!$B$6,Variables!$B$3),'Rates from Ireland Fedex Priort'!H129)</f>
        <v>119</v>
      </c>
      <c r="I130" s="10">
        <f>IF(ISNUMBER('Rates from Ireland Fedex Priort'!I129),_xlfn.CEILING.MATH('Rates from Ireland Fedex Priort'!I129,1)+IF($A130="EU",Variables!$B$6,Variables!$B$3),'Rates from Ireland Fedex Priort'!I129)</f>
        <v>179</v>
      </c>
      <c r="J130" s="10" t="str">
        <f>IF(ISNUMBER('Rates from Ireland Fedex Priort'!J129),_xlfn.CEILING.MATH('Rates from Ireland Fedex Priort'!J129,1)+IF($A130="EU",Variables!$B$6,Variables!$B$3),'Rates from Ireland Fedex Priort'!J129)</f>
        <v>No service</v>
      </c>
      <c r="K130" s="10" t="str">
        <f>IF(ISNUMBER('Rates from Ireland Fedex Priort'!K129),_xlfn.CEILING.MATH('Rates from Ireland Fedex Priort'!K129,1)+IF($A130="EU",Variables!$B$6,Variables!$B$3),'Rates from Ireland Fedex Priort'!K129)</f>
        <v>No service</v>
      </c>
      <c r="L130" s="10" t="str">
        <f>IF(ISNUMBER('Rates from Ireland Fedex Priort'!L129),_xlfn.CEILING.MATH('Rates from Ireland Fedex Priort'!L129,1)+IF($A130="EU",Variables!$B$6,Variables!$B$3),'Rates from Ireland Fedex Priort'!L129)</f>
        <v>No service</v>
      </c>
      <c r="M130" s="10" t="str">
        <f>IF(ISNUMBER('Rates from Ireland Fedex Priort'!M129),_xlfn.CEILING.MATH('Rates from Ireland Fedex Priort'!M129,1)+IF($A130="EU",Variables!$B$6,Variables!$B$3),'Rates from Ireland Fedex Priort'!M129)</f>
        <v>No service</v>
      </c>
      <c r="N130" s="10" t="str">
        <f>IF(ISNUMBER('Rates from Ireland Fedex Priort'!N129),_xlfn.CEILING.MATH('Rates from Ireland Fedex Priort'!N129,1)+IF($A130="EU",Variables!$B$6,Variables!$B$3),'Rates from Ireland Fedex Priort'!N129)</f>
        <v>No service</v>
      </c>
      <c r="O130" s="11" t="s">
        <v>41</v>
      </c>
      <c r="P130" s="11" t="s">
        <v>143</v>
      </c>
      <c r="Q130" s="12">
        <v>80</v>
      </c>
      <c r="R130" s="11" t="s">
        <v>25</v>
      </c>
      <c r="S130" s="3" t="s">
        <v>26</v>
      </c>
      <c r="T130" s="38" t="s">
        <v>27</v>
      </c>
    </row>
    <row r="131" spans="1:20" ht="15.75" customHeight="1" x14ac:dyDescent="0.3">
      <c r="A131" s="39" t="str">
        <f>IF('Rates from Ireland Fedex Priort'!A130="","",'Rates from Ireland Fedex Priort'!A130)</f>
        <v>EU</v>
      </c>
      <c r="B131" s="8" t="str">
        <f>IF('Rates from Ireland Fedex Priort'!B130="","",'Rates from Ireland Fedex Priort'!B130)</f>
        <v>Ireland</v>
      </c>
      <c r="C131" s="9" t="str">
        <f>IF('Rates from Ireland Fedex Priort'!C130="","",'Rates from Ireland Fedex Priort'!C130)</f>
        <v>Madagascar</v>
      </c>
      <c r="D131" s="10">
        <f>IF(ISNUMBER('Rates from Ireland Fedex Priort'!D130),_xlfn.CEILING.MATH('Rates from Ireland Fedex Priort'!D130,1)+IF($A131="EU",Variables!$B$5,Variables!$B$2),'Rates from Ireland Fedex Priort'!D130)</f>
        <v>72</v>
      </c>
      <c r="E131" s="10">
        <f>IF(ISNUMBER('Rates from Ireland Fedex Priort'!E130),_xlfn.CEILING.MATH('Rates from Ireland Fedex Priort'!E130,1)+IF($A131="EU",Variables!$B$6,Variables!$B$3),'Rates from Ireland Fedex Priort'!E130)</f>
        <v>83</v>
      </c>
      <c r="F131" s="10">
        <f>IF(ISNUMBER('Rates from Ireland Fedex Priort'!F130),_xlfn.CEILING.MATH('Rates from Ireland Fedex Priort'!F130,1)+IF($A131="EU",Variables!$B$6,Variables!$B$3),'Rates from Ireland Fedex Priort'!F130)</f>
        <v>88</v>
      </c>
      <c r="G131" s="10">
        <f>IF(ISNUMBER('Rates from Ireland Fedex Priort'!G130),_xlfn.CEILING.MATH('Rates from Ireland Fedex Priort'!G130,1)+IF($A131="EU",Variables!$B$6,Variables!$B$3),'Rates from Ireland Fedex Priort'!G130)</f>
        <v>106</v>
      </c>
      <c r="H131" s="10">
        <f>IF(ISNUMBER('Rates from Ireland Fedex Priort'!H130),_xlfn.CEILING.MATH('Rates from Ireland Fedex Priort'!H130,1)+IF($A131="EU",Variables!$B$6,Variables!$B$3),'Rates from Ireland Fedex Priort'!H130)</f>
        <v>134</v>
      </c>
      <c r="I131" s="10">
        <f>IF(ISNUMBER('Rates from Ireland Fedex Priort'!I130),_xlfn.CEILING.MATH('Rates from Ireland Fedex Priort'!I130,1)+IF($A131="EU",Variables!$B$6,Variables!$B$3),'Rates from Ireland Fedex Priort'!I130)</f>
        <v>242</v>
      </c>
      <c r="J131" s="10" t="str">
        <f>IF(ISNUMBER('Rates from Ireland Fedex Priort'!J130),_xlfn.CEILING.MATH('Rates from Ireland Fedex Priort'!J130,1)+IF($A131="EU",Variables!$B$6,Variables!$B$3),'Rates from Ireland Fedex Priort'!J130)</f>
        <v>No service</v>
      </c>
      <c r="K131" s="10" t="str">
        <f>IF(ISNUMBER('Rates from Ireland Fedex Priort'!K130),_xlfn.CEILING.MATH('Rates from Ireland Fedex Priort'!K130,1)+IF($A131="EU",Variables!$B$6,Variables!$B$3),'Rates from Ireland Fedex Priort'!K130)</f>
        <v>No service</v>
      </c>
      <c r="L131" s="10" t="str">
        <f>IF(ISNUMBER('Rates from Ireland Fedex Priort'!L130),_xlfn.CEILING.MATH('Rates from Ireland Fedex Priort'!L130,1)+IF($A131="EU",Variables!$B$6,Variables!$B$3),'Rates from Ireland Fedex Priort'!L130)</f>
        <v>No service</v>
      </c>
      <c r="M131" s="10" t="str">
        <f>IF(ISNUMBER('Rates from Ireland Fedex Priort'!M130),_xlfn.CEILING.MATH('Rates from Ireland Fedex Priort'!M130,1)+IF($A131="EU",Variables!$B$6,Variables!$B$3),'Rates from Ireland Fedex Priort'!M130)</f>
        <v>No service</v>
      </c>
      <c r="N131" s="10" t="str">
        <f>IF(ISNUMBER('Rates from Ireland Fedex Priort'!N130),_xlfn.CEILING.MATH('Rates from Ireland Fedex Priort'!N130,1)+IF($A131="EU",Variables!$B$6,Variables!$B$3),'Rates from Ireland Fedex Priort'!N130)</f>
        <v>No service</v>
      </c>
      <c r="O131" s="11" t="s">
        <v>35</v>
      </c>
      <c r="P131" s="11" t="s">
        <v>36</v>
      </c>
      <c r="Q131" s="12">
        <v>80</v>
      </c>
      <c r="R131" s="11" t="s">
        <v>25</v>
      </c>
      <c r="S131" s="3" t="s">
        <v>26</v>
      </c>
      <c r="T131" s="38" t="s">
        <v>27</v>
      </c>
    </row>
    <row r="132" spans="1:20" ht="15.75" customHeight="1" x14ac:dyDescent="0.3">
      <c r="A132" s="39" t="str">
        <f>IF('Rates from Ireland Fedex Priort'!A131="","",'Rates from Ireland Fedex Priort'!A131)</f>
        <v>EU</v>
      </c>
      <c r="B132" s="8" t="str">
        <f>IF('Rates from Ireland Fedex Priort'!B131="","",'Rates from Ireland Fedex Priort'!B131)</f>
        <v>Ireland</v>
      </c>
      <c r="C132" s="9" t="str">
        <f>IF('Rates from Ireland Fedex Priort'!C131="","",'Rates from Ireland Fedex Priort'!C131)</f>
        <v>Malawi</v>
      </c>
      <c r="D132" s="10">
        <f>IF(ISNUMBER('Rates from Ireland Fedex Priort'!D131),_xlfn.CEILING.MATH('Rates from Ireland Fedex Priort'!D131,1)+IF($A132="EU",Variables!$B$5,Variables!$B$2),'Rates from Ireland Fedex Priort'!D131)</f>
        <v>72</v>
      </c>
      <c r="E132" s="10">
        <f>IF(ISNUMBER('Rates from Ireland Fedex Priort'!E131),_xlfn.CEILING.MATH('Rates from Ireland Fedex Priort'!E131,1)+IF($A132="EU",Variables!$B$6,Variables!$B$3),'Rates from Ireland Fedex Priort'!E131)</f>
        <v>83</v>
      </c>
      <c r="F132" s="10">
        <f>IF(ISNUMBER('Rates from Ireland Fedex Priort'!F131),_xlfn.CEILING.MATH('Rates from Ireland Fedex Priort'!F131,1)+IF($A132="EU",Variables!$B$6,Variables!$B$3),'Rates from Ireland Fedex Priort'!F131)</f>
        <v>88</v>
      </c>
      <c r="G132" s="10">
        <f>IF(ISNUMBER('Rates from Ireland Fedex Priort'!G131),_xlfn.CEILING.MATH('Rates from Ireland Fedex Priort'!G131,1)+IF($A132="EU",Variables!$B$6,Variables!$B$3),'Rates from Ireland Fedex Priort'!G131)</f>
        <v>106</v>
      </c>
      <c r="H132" s="10">
        <f>IF(ISNUMBER('Rates from Ireland Fedex Priort'!H131),_xlfn.CEILING.MATH('Rates from Ireland Fedex Priort'!H131,1)+IF($A132="EU",Variables!$B$6,Variables!$B$3),'Rates from Ireland Fedex Priort'!H131)</f>
        <v>134</v>
      </c>
      <c r="I132" s="10">
        <f>IF(ISNUMBER('Rates from Ireland Fedex Priort'!I131),_xlfn.CEILING.MATH('Rates from Ireland Fedex Priort'!I131,1)+IF($A132="EU",Variables!$B$6,Variables!$B$3),'Rates from Ireland Fedex Priort'!I131)</f>
        <v>242</v>
      </c>
      <c r="J132" s="10" t="str">
        <f>IF(ISNUMBER('Rates from Ireland Fedex Priort'!J131),_xlfn.CEILING.MATH('Rates from Ireland Fedex Priort'!J131,1)+IF($A132="EU",Variables!$B$6,Variables!$B$3),'Rates from Ireland Fedex Priort'!J131)</f>
        <v>No service</v>
      </c>
      <c r="K132" s="10" t="str">
        <f>IF(ISNUMBER('Rates from Ireland Fedex Priort'!K131),_xlfn.CEILING.MATH('Rates from Ireland Fedex Priort'!K131,1)+IF($A132="EU",Variables!$B$6,Variables!$B$3),'Rates from Ireland Fedex Priort'!K131)</f>
        <v>No service</v>
      </c>
      <c r="L132" s="10" t="str">
        <f>IF(ISNUMBER('Rates from Ireland Fedex Priort'!L131),_xlfn.CEILING.MATH('Rates from Ireland Fedex Priort'!L131,1)+IF($A132="EU",Variables!$B$6,Variables!$B$3),'Rates from Ireland Fedex Priort'!L131)</f>
        <v>No service</v>
      </c>
      <c r="M132" s="10" t="str">
        <f>IF(ISNUMBER('Rates from Ireland Fedex Priort'!M131),_xlfn.CEILING.MATH('Rates from Ireland Fedex Priort'!M131,1)+IF($A132="EU",Variables!$B$6,Variables!$B$3),'Rates from Ireland Fedex Priort'!M131)</f>
        <v>No service</v>
      </c>
      <c r="N132" s="10" t="str">
        <f>IF(ISNUMBER('Rates from Ireland Fedex Priort'!N131),_xlfn.CEILING.MATH('Rates from Ireland Fedex Priort'!N131,1)+IF($A132="EU",Variables!$B$6,Variables!$B$3),'Rates from Ireland Fedex Priort'!N131)</f>
        <v>No service</v>
      </c>
      <c r="O132" s="11" t="s">
        <v>35</v>
      </c>
      <c r="P132" s="11" t="s">
        <v>36</v>
      </c>
      <c r="Q132" s="12">
        <v>80</v>
      </c>
      <c r="R132" s="11" t="s">
        <v>25</v>
      </c>
      <c r="S132" s="3" t="s">
        <v>26</v>
      </c>
      <c r="T132" s="38" t="s">
        <v>27</v>
      </c>
    </row>
    <row r="133" spans="1:20" ht="15.75" customHeight="1" x14ac:dyDescent="0.3">
      <c r="A133" s="39" t="str">
        <f>IF('Rates from Ireland Fedex Priort'!A132="","",'Rates from Ireland Fedex Priort'!A132)</f>
        <v>EU</v>
      </c>
      <c r="B133" s="8" t="str">
        <f>IF('Rates from Ireland Fedex Priort'!B132="","",'Rates from Ireland Fedex Priort'!B132)</f>
        <v>Ireland</v>
      </c>
      <c r="C133" s="9" t="str">
        <f>IF('Rates from Ireland Fedex Priort'!C132="","",'Rates from Ireland Fedex Priort'!C132)</f>
        <v>Malaysia</v>
      </c>
      <c r="D133" s="10">
        <f>IF(ISNUMBER('Rates from Ireland Fedex Priort'!D132),_xlfn.CEILING.MATH('Rates from Ireland Fedex Priort'!D132,1)+IF($A133="EU",Variables!$B$5,Variables!$B$2),'Rates from Ireland Fedex Priort'!D132)</f>
        <v>65</v>
      </c>
      <c r="E133" s="10">
        <f>IF(ISNUMBER('Rates from Ireland Fedex Priort'!E132),_xlfn.CEILING.MATH('Rates from Ireland Fedex Priort'!E132,1)+IF($A133="EU",Variables!$B$6,Variables!$B$3),'Rates from Ireland Fedex Priort'!E132)</f>
        <v>74</v>
      </c>
      <c r="F133" s="10">
        <f>IF(ISNUMBER('Rates from Ireland Fedex Priort'!F132),_xlfn.CEILING.MATH('Rates from Ireland Fedex Priort'!F132,1)+IF($A133="EU",Variables!$B$6,Variables!$B$3),'Rates from Ireland Fedex Priort'!F132)</f>
        <v>79</v>
      </c>
      <c r="G133" s="10">
        <f>IF(ISNUMBER('Rates from Ireland Fedex Priort'!G132),_xlfn.CEILING.MATH('Rates from Ireland Fedex Priort'!G132,1)+IF($A133="EU",Variables!$B$6,Variables!$B$3),'Rates from Ireland Fedex Priort'!G132)</f>
        <v>95</v>
      </c>
      <c r="H133" s="10">
        <f>IF(ISNUMBER('Rates from Ireland Fedex Priort'!H132),_xlfn.CEILING.MATH('Rates from Ireland Fedex Priort'!H132,1)+IF($A133="EU",Variables!$B$6,Variables!$B$3),'Rates from Ireland Fedex Priort'!H132)</f>
        <v>119</v>
      </c>
      <c r="I133" s="10">
        <f>IF(ISNUMBER('Rates from Ireland Fedex Priort'!I132),_xlfn.CEILING.MATH('Rates from Ireland Fedex Priort'!I132,1)+IF($A133="EU",Variables!$B$6,Variables!$B$3),'Rates from Ireland Fedex Priort'!I132)</f>
        <v>179</v>
      </c>
      <c r="J133" s="10" t="str">
        <f>IF(ISNUMBER('Rates from Ireland Fedex Priort'!J132),_xlfn.CEILING.MATH('Rates from Ireland Fedex Priort'!J132,1)+IF($A133="EU",Variables!$B$6,Variables!$B$3),'Rates from Ireland Fedex Priort'!J132)</f>
        <v>No service</v>
      </c>
      <c r="K133" s="10" t="str">
        <f>IF(ISNUMBER('Rates from Ireland Fedex Priort'!K132),_xlfn.CEILING.MATH('Rates from Ireland Fedex Priort'!K132,1)+IF($A133="EU",Variables!$B$6,Variables!$B$3),'Rates from Ireland Fedex Priort'!K132)</f>
        <v>No service</v>
      </c>
      <c r="L133" s="10" t="str">
        <f>IF(ISNUMBER('Rates from Ireland Fedex Priort'!L132),_xlfn.CEILING.MATH('Rates from Ireland Fedex Priort'!L132,1)+IF($A133="EU",Variables!$B$6,Variables!$B$3),'Rates from Ireland Fedex Priort'!L132)</f>
        <v>No service</v>
      </c>
      <c r="M133" s="10" t="str">
        <f>IF(ISNUMBER('Rates from Ireland Fedex Priort'!M132),_xlfn.CEILING.MATH('Rates from Ireland Fedex Priort'!M132,1)+IF($A133="EU",Variables!$B$6,Variables!$B$3),'Rates from Ireland Fedex Priort'!M132)</f>
        <v>No service</v>
      </c>
      <c r="N133" s="10" t="str">
        <f>IF(ISNUMBER('Rates from Ireland Fedex Priort'!N132),_xlfn.CEILING.MATH('Rates from Ireland Fedex Priort'!N132,1)+IF($A133="EU",Variables!$B$6,Variables!$B$3),'Rates from Ireland Fedex Priort'!N132)</f>
        <v>No service</v>
      </c>
      <c r="O133" s="11" t="s">
        <v>61</v>
      </c>
      <c r="P133" s="11" t="s">
        <v>23</v>
      </c>
      <c r="Q133" s="12">
        <v>80</v>
      </c>
      <c r="R133" s="11" t="s">
        <v>25</v>
      </c>
      <c r="S133" s="3" t="s">
        <v>26</v>
      </c>
      <c r="T133" s="38" t="s">
        <v>27</v>
      </c>
    </row>
    <row r="134" spans="1:20" ht="15.75" customHeight="1" x14ac:dyDescent="0.3">
      <c r="A134" s="39" t="str">
        <f>IF('Rates from Ireland Fedex Priort'!A133="","",'Rates from Ireland Fedex Priort'!A133)</f>
        <v>EU</v>
      </c>
      <c r="B134" s="8" t="str">
        <f>IF('Rates from Ireland Fedex Priort'!B133="","",'Rates from Ireland Fedex Priort'!B133)</f>
        <v>Ireland</v>
      </c>
      <c r="C134" s="9" t="str">
        <f>IF('Rates from Ireland Fedex Priort'!C133="","",'Rates from Ireland Fedex Priort'!C133)</f>
        <v>Maldives</v>
      </c>
      <c r="D134" s="10">
        <f>IF(ISNUMBER('Rates from Ireland Fedex Priort'!D133),_xlfn.CEILING.MATH('Rates from Ireland Fedex Priort'!D133,1)+IF($A134="EU",Variables!$B$5,Variables!$B$2),'Rates from Ireland Fedex Priort'!D133)</f>
        <v>72</v>
      </c>
      <c r="E134" s="10">
        <f>IF(ISNUMBER('Rates from Ireland Fedex Priort'!E133),_xlfn.CEILING.MATH('Rates from Ireland Fedex Priort'!E133,1)+IF($A134="EU",Variables!$B$6,Variables!$B$3),'Rates from Ireland Fedex Priort'!E133)</f>
        <v>83</v>
      </c>
      <c r="F134" s="10">
        <f>IF(ISNUMBER('Rates from Ireland Fedex Priort'!F133),_xlfn.CEILING.MATH('Rates from Ireland Fedex Priort'!F133,1)+IF($A134="EU",Variables!$B$6,Variables!$B$3),'Rates from Ireland Fedex Priort'!F133)</f>
        <v>88</v>
      </c>
      <c r="G134" s="10">
        <f>IF(ISNUMBER('Rates from Ireland Fedex Priort'!G133),_xlfn.CEILING.MATH('Rates from Ireland Fedex Priort'!G133,1)+IF($A134="EU",Variables!$B$6,Variables!$B$3),'Rates from Ireland Fedex Priort'!G133)</f>
        <v>106</v>
      </c>
      <c r="H134" s="10">
        <f>IF(ISNUMBER('Rates from Ireland Fedex Priort'!H133),_xlfn.CEILING.MATH('Rates from Ireland Fedex Priort'!H133,1)+IF($A134="EU",Variables!$B$6,Variables!$B$3),'Rates from Ireland Fedex Priort'!H133)</f>
        <v>134</v>
      </c>
      <c r="I134" s="10">
        <f>IF(ISNUMBER('Rates from Ireland Fedex Priort'!I133),_xlfn.CEILING.MATH('Rates from Ireland Fedex Priort'!I133,1)+IF($A134="EU",Variables!$B$6,Variables!$B$3),'Rates from Ireland Fedex Priort'!I133)</f>
        <v>242</v>
      </c>
      <c r="J134" s="10" t="str">
        <f>IF(ISNUMBER('Rates from Ireland Fedex Priort'!J133),_xlfn.CEILING.MATH('Rates from Ireland Fedex Priort'!J133,1)+IF($A134="EU",Variables!$B$6,Variables!$B$3),'Rates from Ireland Fedex Priort'!J133)</f>
        <v>No service</v>
      </c>
      <c r="K134" s="10" t="str">
        <f>IF(ISNUMBER('Rates from Ireland Fedex Priort'!K133),_xlfn.CEILING.MATH('Rates from Ireland Fedex Priort'!K133,1)+IF($A134="EU",Variables!$B$6,Variables!$B$3),'Rates from Ireland Fedex Priort'!K133)</f>
        <v>No service</v>
      </c>
      <c r="L134" s="10" t="str">
        <f>IF(ISNUMBER('Rates from Ireland Fedex Priort'!L133),_xlfn.CEILING.MATH('Rates from Ireland Fedex Priort'!L133,1)+IF($A134="EU",Variables!$B$6,Variables!$B$3),'Rates from Ireland Fedex Priort'!L133)</f>
        <v>No service</v>
      </c>
      <c r="M134" s="10" t="str">
        <f>IF(ISNUMBER('Rates from Ireland Fedex Priort'!M133),_xlfn.CEILING.MATH('Rates from Ireland Fedex Priort'!M133,1)+IF($A134="EU",Variables!$B$6,Variables!$B$3),'Rates from Ireland Fedex Priort'!M133)</f>
        <v>No service</v>
      </c>
      <c r="N134" s="10" t="str">
        <f>IF(ISNUMBER('Rates from Ireland Fedex Priort'!N133),_xlfn.CEILING.MATH('Rates from Ireland Fedex Priort'!N133,1)+IF($A134="EU",Variables!$B$6,Variables!$B$3),'Rates from Ireland Fedex Priort'!N133)</f>
        <v>No service</v>
      </c>
      <c r="O134" s="11" t="s">
        <v>35</v>
      </c>
      <c r="P134" s="11" t="s">
        <v>36</v>
      </c>
      <c r="Q134" s="12">
        <v>80</v>
      </c>
      <c r="R134" s="11" t="s">
        <v>25</v>
      </c>
      <c r="S134" s="3" t="s">
        <v>26</v>
      </c>
      <c r="T134" s="38" t="s">
        <v>27</v>
      </c>
    </row>
    <row r="135" spans="1:20" ht="15.75" customHeight="1" x14ac:dyDescent="0.3">
      <c r="A135" s="39" t="str">
        <f>IF('Rates from Ireland Fedex Priort'!A134="","",'Rates from Ireland Fedex Priort'!A134)</f>
        <v>EU</v>
      </c>
      <c r="B135" s="8" t="str">
        <f>IF('Rates from Ireland Fedex Priort'!B134="","",'Rates from Ireland Fedex Priort'!B134)</f>
        <v>Ireland</v>
      </c>
      <c r="C135" s="9" t="str">
        <f>IF('Rates from Ireland Fedex Priort'!C134="","",'Rates from Ireland Fedex Priort'!C134)</f>
        <v>Mali</v>
      </c>
      <c r="D135" s="10">
        <f>IF(ISNUMBER('Rates from Ireland Fedex Priort'!D134),_xlfn.CEILING.MATH('Rates from Ireland Fedex Priort'!D134,1)+IF($A135="EU",Variables!$B$5,Variables!$B$2),'Rates from Ireland Fedex Priort'!D134)</f>
        <v>72</v>
      </c>
      <c r="E135" s="10">
        <f>IF(ISNUMBER('Rates from Ireland Fedex Priort'!E134),_xlfn.CEILING.MATH('Rates from Ireland Fedex Priort'!E134,1)+IF($A135="EU",Variables!$B$6,Variables!$B$3),'Rates from Ireland Fedex Priort'!E134)</f>
        <v>83</v>
      </c>
      <c r="F135" s="10">
        <f>IF(ISNUMBER('Rates from Ireland Fedex Priort'!F134),_xlfn.CEILING.MATH('Rates from Ireland Fedex Priort'!F134,1)+IF($A135="EU",Variables!$B$6,Variables!$B$3),'Rates from Ireland Fedex Priort'!F134)</f>
        <v>88</v>
      </c>
      <c r="G135" s="10">
        <f>IF(ISNUMBER('Rates from Ireland Fedex Priort'!G134),_xlfn.CEILING.MATH('Rates from Ireland Fedex Priort'!G134,1)+IF($A135="EU",Variables!$B$6,Variables!$B$3),'Rates from Ireland Fedex Priort'!G134)</f>
        <v>106</v>
      </c>
      <c r="H135" s="10">
        <f>IF(ISNUMBER('Rates from Ireland Fedex Priort'!H134),_xlfn.CEILING.MATH('Rates from Ireland Fedex Priort'!H134,1)+IF($A135="EU",Variables!$B$6,Variables!$B$3),'Rates from Ireland Fedex Priort'!H134)</f>
        <v>134</v>
      </c>
      <c r="I135" s="10">
        <f>IF(ISNUMBER('Rates from Ireland Fedex Priort'!I134),_xlfn.CEILING.MATH('Rates from Ireland Fedex Priort'!I134,1)+IF($A135="EU",Variables!$B$6,Variables!$B$3),'Rates from Ireland Fedex Priort'!I134)</f>
        <v>242</v>
      </c>
      <c r="J135" s="10" t="str">
        <f>IF(ISNUMBER('Rates from Ireland Fedex Priort'!J134),_xlfn.CEILING.MATH('Rates from Ireland Fedex Priort'!J134,1)+IF($A135="EU",Variables!$B$6,Variables!$B$3),'Rates from Ireland Fedex Priort'!J134)</f>
        <v>No service</v>
      </c>
      <c r="K135" s="10" t="str">
        <f>IF(ISNUMBER('Rates from Ireland Fedex Priort'!K134),_xlfn.CEILING.MATH('Rates from Ireland Fedex Priort'!K134,1)+IF($A135="EU",Variables!$B$6,Variables!$B$3),'Rates from Ireland Fedex Priort'!K134)</f>
        <v>No service</v>
      </c>
      <c r="L135" s="10" t="str">
        <f>IF(ISNUMBER('Rates from Ireland Fedex Priort'!L134),_xlfn.CEILING.MATH('Rates from Ireland Fedex Priort'!L134,1)+IF($A135="EU",Variables!$B$6,Variables!$B$3),'Rates from Ireland Fedex Priort'!L134)</f>
        <v>No service</v>
      </c>
      <c r="M135" s="10" t="str">
        <f>IF(ISNUMBER('Rates from Ireland Fedex Priort'!M134),_xlfn.CEILING.MATH('Rates from Ireland Fedex Priort'!M134,1)+IF($A135="EU",Variables!$B$6,Variables!$B$3),'Rates from Ireland Fedex Priort'!M134)</f>
        <v>No service</v>
      </c>
      <c r="N135" s="10" t="str">
        <f>IF(ISNUMBER('Rates from Ireland Fedex Priort'!N134),_xlfn.CEILING.MATH('Rates from Ireland Fedex Priort'!N134,1)+IF($A135="EU",Variables!$B$6,Variables!$B$3),'Rates from Ireland Fedex Priort'!N134)</f>
        <v>No service</v>
      </c>
      <c r="O135" s="11" t="s">
        <v>35</v>
      </c>
      <c r="P135" s="11" t="s">
        <v>36</v>
      </c>
      <c r="Q135" s="12">
        <v>80</v>
      </c>
      <c r="R135" s="11" t="s">
        <v>25</v>
      </c>
      <c r="S135" s="3" t="s">
        <v>26</v>
      </c>
      <c r="T135" s="38" t="s">
        <v>27</v>
      </c>
    </row>
    <row r="136" spans="1:20" ht="15.75" customHeight="1" x14ac:dyDescent="0.3">
      <c r="A136" s="39" t="str">
        <f>IF('Rates from Ireland Fedex Priort'!A135="","",'Rates from Ireland Fedex Priort'!A135)</f>
        <v>EU</v>
      </c>
      <c r="B136" s="8" t="str">
        <f>IF('Rates from Ireland Fedex Priort'!B135="","",'Rates from Ireland Fedex Priort'!B135)</f>
        <v>Ireland</v>
      </c>
      <c r="C136" s="9" t="str">
        <f>IF('Rates from Ireland Fedex Priort'!C135="","",'Rates from Ireland Fedex Priort'!C135)</f>
        <v>Malta</v>
      </c>
      <c r="D136" s="10">
        <f>IF(ISNUMBER('Rates from Ireland Fedex Priort'!D135),_xlfn.CEILING.MATH('Rates from Ireland Fedex Priort'!D135,1)+IF($A136="EU",Variables!$B$5,Variables!$B$2),'Rates from Ireland Fedex Priort'!D135)</f>
        <v>87</v>
      </c>
      <c r="E136" s="10">
        <f>IF(ISNUMBER('Rates from Ireland Fedex Priort'!E135),_xlfn.CEILING.MATH('Rates from Ireland Fedex Priort'!E135,1)+IF($A136="EU",Variables!$B$6,Variables!$B$3),'Rates from Ireland Fedex Priort'!E135)</f>
        <v>95</v>
      </c>
      <c r="F136" s="10">
        <f>IF(ISNUMBER('Rates from Ireland Fedex Priort'!F135),_xlfn.CEILING.MATH('Rates from Ireland Fedex Priort'!F135,1)+IF($A136="EU",Variables!$B$6,Variables!$B$3),'Rates from Ireland Fedex Priort'!F135)</f>
        <v>95</v>
      </c>
      <c r="G136" s="10">
        <f>IF(ISNUMBER('Rates from Ireland Fedex Priort'!G135),_xlfn.CEILING.MATH('Rates from Ireland Fedex Priort'!G135,1)+IF($A136="EU",Variables!$B$6,Variables!$B$3),'Rates from Ireland Fedex Priort'!G135)</f>
        <v>107</v>
      </c>
      <c r="H136" s="10">
        <f>IF(ISNUMBER('Rates from Ireland Fedex Priort'!H135),_xlfn.CEILING.MATH('Rates from Ireland Fedex Priort'!H135,1)+IF($A136="EU",Variables!$B$6,Variables!$B$3),'Rates from Ireland Fedex Priort'!H135)</f>
        <v>110</v>
      </c>
      <c r="I136" s="10">
        <f>IF(ISNUMBER('Rates from Ireland Fedex Priort'!I135),_xlfn.CEILING.MATH('Rates from Ireland Fedex Priort'!I135,1)+IF($A136="EU",Variables!$B$6,Variables!$B$3),'Rates from Ireland Fedex Priort'!I135)</f>
        <v>122</v>
      </c>
      <c r="J136" s="10">
        <f>IF(ISNUMBER('Rates from Ireland Fedex Priort'!J135),_xlfn.CEILING.MATH('Rates from Ireland Fedex Priort'!J135,1)+IF($A136="EU",Variables!$B$6,Variables!$B$3),'Rates from Ireland Fedex Priort'!J135)</f>
        <v>135</v>
      </c>
      <c r="K136" s="10">
        <f>IF(ISNUMBER('Rates from Ireland Fedex Priort'!K135),_xlfn.CEILING.MATH('Rates from Ireland Fedex Priort'!K135,1)+IF($A136="EU",Variables!$B$6,Variables!$B$3),'Rates from Ireland Fedex Priort'!K135)</f>
        <v>144</v>
      </c>
      <c r="L136" s="10">
        <f>IF(ISNUMBER('Rates from Ireland Fedex Priort'!L135),_xlfn.CEILING.MATH('Rates from Ireland Fedex Priort'!L135,1)+IF($A136="EU",Variables!$B$6,Variables!$B$3),'Rates from Ireland Fedex Priort'!L135)</f>
        <v>135</v>
      </c>
      <c r="M136" s="10">
        <f>IF(ISNUMBER('Rates from Ireland Fedex Priort'!M135),_xlfn.CEILING.MATH('Rates from Ireland Fedex Priort'!M135,1)+IF($A136="EU",Variables!$B$6,Variables!$B$3),'Rates from Ireland Fedex Priort'!M135)</f>
        <v>160</v>
      </c>
      <c r="N136" s="10">
        <f>IF(ISNUMBER('Rates from Ireland Fedex Priort'!N135),_xlfn.CEILING.MATH('Rates from Ireland Fedex Priort'!N135,1)+IF($A136="EU",Variables!$B$6,Variables!$B$3),'Rates from Ireland Fedex Priort'!N135)</f>
        <v>186</v>
      </c>
      <c r="O136" s="15" t="s">
        <v>178</v>
      </c>
      <c r="P136" s="15" t="s">
        <v>124</v>
      </c>
      <c r="Q136" s="16">
        <v>80</v>
      </c>
      <c r="R136" s="15" t="s">
        <v>25</v>
      </c>
      <c r="S136" s="17" t="s">
        <v>26</v>
      </c>
      <c r="T136" s="40" t="s">
        <v>27</v>
      </c>
    </row>
    <row r="137" spans="1:20" ht="15.75" customHeight="1" x14ac:dyDescent="0.3">
      <c r="A137" s="39" t="str">
        <f>IF('Rates from Ireland Fedex Priort'!A136="","",'Rates from Ireland Fedex Priort'!A136)</f>
        <v>EU</v>
      </c>
      <c r="B137" s="8" t="str">
        <f>IF('Rates from Ireland Fedex Priort'!B136="","",'Rates from Ireland Fedex Priort'!B136)</f>
        <v>Ireland</v>
      </c>
      <c r="C137" s="9" t="str">
        <f>IF('Rates from Ireland Fedex Priort'!C136="","",'Rates from Ireland Fedex Priort'!C136)</f>
        <v>Marshall Islands</v>
      </c>
      <c r="D137" s="10">
        <f>IF(ISNUMBER('Rates from Ireland Fedex Priort'!D136),_xlfn.CEILING.MATH('Rates from Ireland Fedex Priort'!D136,1)+IF($A137="EU",Variables!$B$5,Variables!$B$2),'Rates from Ireland Fedex Priort'!D136)</f>
        <v>72</v>
      </c>
      <c r="E137" s="10">
        <f>IF(ISNUMBER('Rates from Ireland Fedex Priort'!E136),_xlfn.CEILING.MATH('Rates from Ireland Fedex Priort'!E136,1)+IF($A137="EU",Variables!$B$6,Variables!$B$3),'Rates from Ireland Fedex Priort'!E136)</f>
        <v>83</v>
      </c>
      <c r="F137" s="10">
        <f>IF(ISNUMBER('Rates from Ireland Fedex Priort'!F136),_xlfn.CEILING.MATH('Rates from Ireland Fedex Priort'!F136,1)+IF($A137="EU",Variables!$B$6,Variables!$B$3),'Rates from Ireland Fedex Priort'!F136)</f>
        <v>88</v>
      </c>
      <c r="G137" s="10">
        <f>IF(ISNUMBER('Rates from Ireland Fedex Priort'!G136),_xlfn.CEILING.MATH('Rates from Ireland Fedex Priort'!G136,1)+IF($A137="EU",Variables!$B$6,Variables!$B$3),'Rates from Ireland Fedex Priort'!G136)</f>
        <v>106</v>
      </c>
      <c r="H137" s="10">
        <f>IF(ISNUMBER('Rates from Ireland Fedex Priort'!H136),_xlfn.CEILING.MATH('Rates from Ireland Fedex Priort'!H136,1)+IF($A137="EU",Variables!$B$6,Variables!$B$3),'Rates from Ireland Fedex Priort'!H136)</f>
        <v>134</v>
      </c>
      <c r="I137" s="10">
        <f>IF(ISNUMBER('Rates from Ireland Fedex Priort'!I136),_xlfn.CEILING.MATH('Rates from Ireland Fedex Priort'!I136,1)+IF($A137="EU",Variables!$B$6,Variables!$B$3),'Rates from Ireland Fedex Priort'!I136)</f>
        <v>242</v>
      </c>
      <c r="J137" s="10" t="str">
        <f>IF(ISNUMBER('Rates from Ireland Fedex Priort'!J136),_xlfn.CEILING.MATH('Rates from Ireland Fedex Priort'!J136,1)+IF($A137="EU",Variables!$B$6,Variables!$B$3),'Rates from Ireland Fedex Priort'!J136)</f>
        <v>No service</v>
      </c>
      <c r="K137" s="10" t="str">
        <f>IF(ISNUMBER('Rates from Ireland Fedex Priort'!K136),_xlfn.CEILING.MATH('Rates from Ireland Fedex Priort'!K136,1)+IF($A137="EU",Variables!$B$6,Variables!$B$3),'Rates from Ireland Fedex Priort'!K136)</f>
        <v>No service</v>
      </c>
      <c r="L137" s="10" t="str">
        <f>IF(ISNUMBER('Rates from Ireland Fedex Priort'!L136),_xlfn.CEILING.MATH('Rates from Ireland Fedex Priort'!L136,1)+IF($A137="EU",Variables!$B$6,Variables!$B$3),'Rates from Ireland Fedex Priort'!L136)</f>
        <v>No service</v>
      </c>
      <c r="M137" s="10" t="str">
        <f>IF(ISNUMBER('Rates from Ireland Fedex Priort'!M136),_xlfn.CEILING.MATH('Rates from Ireland Fedex Priort'!M136,1)+IF($A137="EU",Variables!$B$6,Variables!$B$3),'Rates from Ireland Fedex Priort'!M136)</f>
        <v>No service</v>
      </c>
      <c r="N137" s="10" t="str">
        <f>IF(ISNUMBER('Rates from Ireland Fedex Priort'!N136),_xlfn.CEILING.MATH('Rates from Ireland Fedex Priort'!N136,1)+IF($A137="EU",Variables!$B$6,Variables!$B$3),'Rates from Ireland Fedex Priort'!N136)</f>
        <v>No service</v>
      </c>
      <c r="O137" s="11" t="s">
        <v>35</v>
      </c>
      <c r="P137" s="11" t="s">
        <v>36</v>
      </c>
      <c r="Q137" s="12">
        <v>80</v>
      </c>
      <c r="R137" s="11" t="s">
        <v>25</v>
      </c>
      <c r="S137" s="3" t="s">
        <v>26</v>
      </c>
      <c r="T137" s="38" t="s">
        <v>27</v>
      </c>
    </row>
    <row r="138" spans="1:20" ht="15.75" customHeight="1" x14ac:dyDescent="0.3">
      <c r="A138" s="39" t="str">
        <f>IF('Rates from Ireland Fedex Priort'!A137="","",'Rates from Ireland Fedex Priort'!A137)</f>
        <v>EU</v>
      </c>
      <c r="B138" s="8" t="str">
        <f>IF('Rates from Ireland Fedex Priort'!B137="","",'Rates from Ireland Fedex Priort'!B137)</f>
        <v>Ireland</v>
      </c>
      <c r="C138" s="9" t="str">
        <f>IF('Rates from Ireland Fedex Priort'!C137="","",'Rates from Ireland Fedex Priort'!C137)</f>
        <v>Martinique (France)</v>
      </c>
      <c r="D138" s="10">
        <f>IF(ISNUMBER('Rates from Ireland Fedex Priort'!D137),_xlfn.CEILING.MATH('Rates from Ireland Fedex Priort'!D137,1)+IF($A138="EU",Variables!$B$5,Variables!$B$2),'Rates from Ireland Fedex Priort'!D137)</f>
        <v>68</v>
      </c>
      <c r="E138" s="10">
        <f>IF(ISNUMBER('Rates from Ireland Fedex Priort'!E137),_xlfn.CEILING.MATH('Rates from Ireland Fedex Priort'!E137,1)+IF($A138="EU",Variables!$B$6,Variables!$B$3),'Rates from Ireland Fedex Priort'!E137)</f>
        <v>77</v>
      </c>
      <c r="F138" s="10">
        <f>IF(ISNUMBER('Rates from Ireland Fedex Priort'!F137),_xlfn.CEILING.MATH('Rates from Ireland Fedex Priort'!F137,1)+IF($A138="EU",Variables!$B$6,Variables!$B$3),'Rates from Ireland Fedex Priort'!F137)</f>
        <v>81</v>
      </c>
      <c r="G138" s="10">
        <f>IF(ISNUMBER('Rates from Ireland Fedex Priort'!G137),_xlfn.CEILING.MATH('Rates from Ireland Fedex Priort'!G137,1)+IF($A138="EU",Variables!$B$6,Variables!$B$3),'Rates from Ireland Fedex Priort'!G137)</f>
        <v>96</v>
      </c>
      <c r="H138" s="10">
        <f>IF(ISNUMBER('Rates from Ireland Fedex Priort'!H137),_xlfn.CEILING.MATH('Rates from Ireland Fedex Priort'!H137,1)+IF($A138="EU",Variables!$B$6,Variables!$B$3),'Rates from Ireland Fedex Priort'!H137)</f>
        <v>117</v>
      </c>
      <c r="I138" s="10">
        <f>IF(ISNUMBER('Rates from Ireland Fedex Priort'!I137),_xlfn.CEILING.MATH('Rates from Ireland Fedex Priort'!I137,1)+IF($A138="EU",Variables!$B$6,Variables!$B$3),'Rates from Ireland Fedex Priort'!I137)</f>
        <v>219</v>
      </c>
      <c r="J138" s="10" t="str">
        <f>IF(ISNUMBER('Rates from Ireland Fedex Priort'!J137),_xlfn.CEILING.MATH('Rates from Ireland Fedex Priort'!J137,1)+IF($A138="EU",Variables!$B$6,Variables!$B$3),'Rates from Ireland Fedex Priort'!J137)</f>
        <v>No service</v>
      </c>
      <c r="K138" s="10" t="str">
        <f>IF(ISNUMBER('Rates from Ireland Fedex Priort'!K137),_xlfn.CEILING.MATH('Rates from Ireland Fedex Priort'!K137,1)+IF($A138="EU",Variables!$B$6,Variables!$B$3),'Rates from Ireland Fedex Priort'!K137)</f>
        <v>No service</v>
      </c>
      <c r="L138" s="10" t="str">
        <f>IF(ISNUMBER('Rates from Ireland Fedex Priort'!L137),_xlfn.CEILING.MATH('Rates from Ireland Fedex Priort'!L137,1)+IF($A138="EU",Variables!$B$6,Variables!$B$3),'Rates from Ireland Fedex Priort'!L137)</f>
        <v>No service</v>
      </c>
      <c r="M138" s="10" t="str">
        <f>IF(ISNUMBER('Rates from Ireland Fedex Priort'!M137),_xlfn.CEILING.MATH('Rates from Ireland Fedex Priort'!M137,1)+IF($A138="EU",Variables!$B$6,Variables!$B$3),'Rates from Ireland Fedex Priort'!M137)</f>
        <v>No service</v>
      </c>
      <c r="N138" s="10" t="str">
        <f>IF(ISNUMBER('Rates from Ireland Fedex Priort'!N137),_xlfn.CEILING.MATH('Rates from Ireland Fedex Priort'!N137,1)+IF($A138="EU",Variables!$B$6,Variables!$B$3),'Rates from Ireland Fedex Priort'!N137)</f>
        <v>No service</v>
      </c>
      <c r="O138" s="11" t="s">
        <v>41</v>
      </c>
      <c r="P138" s="11" t="s">
        <v>23</v>
      </c>
      <c r="Q138" s="12">
        <v>80</v>
      </c>
      <c r="R138" s="11" t="s">
        <v>25</v>
      </c>
      <c r="S138" s="3" t="s">
        <v>26</v>
      </c>
      <c r="T138" s="38" t="s">
        <v>27</v>
      </c>
    </row>
    <row r="139" spans="1:20" ht="15.75" customHeight="1" x14ac:dyDescent="0.3">
      <c r="A139" s="39" t="str">
        <f>IF('Rates from Ireland Fedex Priort'!A138="","",'Rates from Ireland Fedex Priort'!A138)</f>
        <v>EU</v>
      </c>
      <c r="B139" s="8" t="str">
        <f>IF('Rates from Ireland Fedex Priort'!B138="","",'Rates from Ireland Fedex Priort'!B138)</f>
        <v>Ireland</v>
      </c>
      <c r="C139" s="9" t="str">
        <f>IF('Rates from Ireland Fedex Priort'!C138="","",'Rates from Ireland Fedex Priort'!C138)</f>
        <v>Mauritania</v>
      </c>
      <c r="D139" s="10">
        <f>IF(ISNUMBER('Rates from Ireland Fedex Priort'!D138),_xlfn.CEILING.MATH('Rates from Ireland Fedex Priort'!D138,1)+IF($A139="EU",Variables!$B$5,Variables!$B$2),'Rates from Ireland Fedex Priort'!D138)</f>
        <v>72</v>
      </c>
      <c r="E139" s="10">
        <f>IF(ISNUMBER('Rates from Ireland Fedex Priort'!E138),_xlfn.CEILING.MATH('Rates from Ireland Fedex Priort'!E138,1)+IF($A139="EU",Variables!$B$6,Variables!$B$3),'Rates from Ireland Fedex Priort'!E138)</f>
        <v>83</v>
      </c>
      <c r="F139" s="10">
        <f>IF(ISNUMBER('Rates from Ireland Fedex Priort'!F138),_xlfn.CEILING.MATH('Rates from Ireland Fedex Priort'!F138,1)+IF($A139="EU",Variables!$B$6,Variables!$B$3),'Rates from Ireland Fedex Priort'!F138)</f>
        <v>88</v>
      </c>
      <c r="G139" s="10">
        <f>IF(ISNUMBER('Rates from Ireland Fedex Priort'!G138),_xlfn.CEILING.MATH('Rates from Ireland Fedex Priort'!G138,1)+IF($A139="EU",Variables!$B$6,Variables!$B$3),'Rates from Ireland Fedex Priort'!G138)</f>
        <v>106</v>
      </c>
      <c r="H139" s="10">
        <f>IF(ISNUMBER('Rates from Ireland Fedex Priort'!H138),_xlfn.CEILING.MATH('Rates from Ireland Fedex Priort'!H138,1)+IF($A139="EU",Variables!$B$6,Variables!$B$3),'Rates from Ireland Fedex Priort'!H138)</f>
        <v>134</v>
      </c>
      <c r="I139" s="10">
        <f>IF(ISNUMBER('Rates from Ireland Fedex Priort'!I138),_xlfn.CEILING.MATH('Rates from Ireland Fedex Priort'!I138,1)+IF($A139="EU",Variables!$B$6,Variables!$B$3),'Rates from Ireland Fedex Priort'!I138)</f>
        <v>242</v>
      </c>
      <c r="J139" s="10" t="str">
        <f>IF(ISNUMBER('Rates from Ireland Fedex Priort'!J138),_xlfn.CEILING.MATH('Rates from Ireland Fedex Priort'!J138,1)+IF($A139="EU",Variables!$B$6,Variables!$B$3),'Rates from Ireland Fedex Priort'!J138)</f>
        <v>No service</v>
      </c>
      <c r="K139" s="10" t="str">
        <f>IF(ISNUMBER('Rates from Ireland Fedex Priort'!K138),_xlfn.CEILING.MATH('Rates from Ireland Fedex Priort'!K138,1)+IF($A139="EU",Variables!$B$6,Variables!$B$3),'Rates from Ireland Fedex Priort'!K138)</f>
        <v>No service</v>
      </c>
      <c r="L139" s="10" t="str">
        <f>IF(ISNUMBER('Rates from Ireland Fedex Priort'!L138),_xlfn.CEILING.MATH('Rates from Ireland Fedex Priort'!L138,1)+IF($A139="EU",Variables!$B$6,Variables!$B$3),'Rates from Ireland Fedex Priort'!L138)</f>
        <v>No service</v>
      </c>
      <c r="M139" s="10" t="str">
        <f>IF(ISNUMBER('Rates from Ireland Fedex Priort'!M138),_xlfn.CEILING.MATH('Rates from Ireland Fedex Priort'!M138,1)+IF($A139="EU",Variables!$B$6,Variables!$B$3),'Rates from Ireland Fedex Priort'!M138)</f>
        <v>No service</v>
      </c>
      <c r="N139" s="10" t="str">
        <f>IF(ISNUMBER('Rates from Ireland Fedex Priort'!N138),_xlfn.CEILING.MATH('Rates from Ireland Fedex Priort'!N138,1)+IF($A139="EU",Variables!$B$6,Variables!$B$3),'Rates from Ireland Fedex Priort'!N138)</f>
        <v>No service</v>
      </c>
      <c r="O139" s="11" t="s">
        <v>35</v>
      </c>
      <c r="P139" s="11" t="s">
        <v>36</v>
      </c>
      <c r="Q139" s="12">
        <v>80</v>
      </c>
      <c r="R139" s="11" t="s">
        <v>25</v>
      </c>
      <c r="S139" s="3" t="s">
        <v>26</v>
      </c>
      <c r="T139" s="38" t="s">
        <v>27</v>
      </c>
    </row>
    <row r="140" spans="1:20" ht="15.75" customHeight="1" x14ac:dyDescent="0.3">
      <c r="A140" s="39" t="str">
        <f>IF('Rates from Ireland Fedex Priort'!A139="","",'Rates from Ireland Fedex Priort'!A139)</f>
        <v>EU</v>
      </c>
      <c r="B140" s="8" t="str">
        <f>IF('Rates from Ireland Fedex Priort'!B139="","",'Rates from Ireland Fedex Priort'!B139)</f>
        <v>Ireland</v>
      </c>
      <c r="C140" s="9" t="str">
        <f>IF('Rates from Ireland Fedex Priort'!C139="","",'Rates from Ireland Fedex Priort'!C139)</f>
        <v>Mauritius</v>
      </c>
      <c r="D140" s="10">
        <f>IF(ISNUMBER('Rates from Ireland Fedex Priort'!D139),_xlfn.CEILING.MATH('Rates from Ireland Fedex Priort'!D139,1)+IF($A140="EU",Variables!$B$5,Variables!$B$2),'Rates from Ireland Fedex Priort'!D139)</f>
        <v>72</v>
      </c>
      <c r="E140" s="10">
        <f>IF(ISNUMBER('Rates from Ireland Fedex Priort'!E139),_xlfn.CEILING.MATH('Rates from Ireland Fedex Priort'!E139,1)+IF($A140="EU",Variables!$B$6,Variables!$B$3),'Rates from Ireland Fedex Priort'!E139)</f>
        <v>83</v>
      </c>
      <c r="F140" s="10">
        <f>IF(ISNUMBER('Rates from Ireland Fedex Priort'!F139),_xlfn.CEILING.MATH('Rates from Ireland Fedex Priort'!F139,1)+IF($A140="EU",Variables!$B$6,Variables!$B$3),'Rates from Ireland Fedex Priort'!F139)</f>
        <v>88</v>
      </c>
      <c r="G140" s="10">
        <f>IF(ISNUMBER('Rates from Ireland Fedex Priort'!G139),_xlfn.CEILING.MATH('Rates from Ireland Fedex Priort'!G139,1)+IF($A140="EU",Variables!$B$6,Variables!$B$3),'Rates from Ireland Fedex Priort'!G139)</f>
        <v>106</v>
      </c>
      <c r="H140" s="10">
        <f>IF(ISNUMBER('Rates from Ireland Fedex Priort'!H139),_xlfn.CEILING.MATH('Rates from Ireland Fedex Priort'!H139,1)+IF($A140="EU",Variables!$B$6,Variables!$B$3),'Rates from Ireland Fedex Priort'!H139)</f>
        <v>134</v>
      </c>
      <c r="I140" s="10">
        <f>IF(ISNUMBER('Rates from Ireland Fedex Priort'!I139),_xlfn.CEILING.MATH('Rates from Ireland Fedex Priort'!I139,1)+IF($A140="EU",Variables!$B$6,Variables!$B$3),'Rates from Ireland Fedex Priort'!I139)</f>
        <v>242</v>
      </c>
      <c r="J140" s="10" t="str">
        <f>IF(ISNUMBER('Rates from Ireland Fedex Priort'!J139),_xlfn.CEILING.MATH('Rates from Ireland Fedex Priort'!J139,1)+IF($A140="EU",Variables!$B$6,Variables!$B$3),'Rates from Ireland Fedex Priort'!J139)</f>
        <v>No service</v>
      </c>
      <c r="K140" s="10" t="str">
        <f>IF(ISNUMBER('Rates from Ireland Fedex Priort'!K139),_xlfn.CEILING.MATH('Rates from Ireland Fedex Priort'!K139,1)+IF($A140="EU",Variables!$B$6,Variables!$B$3),'Rates from Ireland Fedex Priort'!K139)</f>
        <v>No service</v>
      </c>
      <c r="L140" s="10" t="str">
        <f>IF(ISNUMBER('Rates from Ireland Fedex Priort'!L139),_xlfn.CEILING.MATH('Rates from Ireland Fedex Priort'!L139,1)+IF($A140="EU",Variables!$B$6,Variables!$B$3),'Rates from Ireland Fedex Priort'!L139)</f>
        <v>No service</v>
      </c>
      <c r="M140" s="10" t="str">
        <f>IF(ISNUMBER('Rates from Ireland Fedex Priort'!M139),_xlfn.CEILING.MATH('Rates from Ireland Fedex Priort'!M139,1)+IF($A140="EU",Variables!$B$6,Variables!$B$3),'Rates from Ireland Fedex Priort'!M139)</f>
        <v>No service</v>
      </c>
      <c r="N140" s="10" t="str">
        <f>IF(ISNUMBER('Rates from Ireland Fedex Priort'!N139),_xlfn.CEILING.MATH('Rates from Ireland Fedex Priort'!N139,1)+IF($A140="EU",Variables!$B$6,Variables!$B$3),'Rates from Ireland Fedex Priort'!N139)</f>
        <v>No service</v>
      </c>
      <c r="O140" s="11" t="s">
        <v>35</v>
      </c>
      <c r="P140" s="11" t="s">
        <v>36</v>
      </c>
      <c r="Q140" s="12">
        <v>80</v>
      </c>
      <c r="R140" s="11" t="s">
        <v>25</v>
      </c>
      <c r="S140" s="3" t="s">
        <v>26</v>
      </c>
      <c r="T140" s="38" t="s">
        <v>27</v>
      </c>
    </row>
    <row r="141" spans="1:20" ht="15.75" customHeight="1" x14ac:dyDescent="0.3">
      <c r="A141" s="39" t="str">
        <f>IF('Rates from Ireland Fedex Priort'!A140="","",'Rates from Ireland Fedex Priort'!A140)</f>
        <v>EU</v>
      </c>
      <c r="B141" s="8" t="str">
        <f>IF('Rates from Ireland Fedex Priort'!B140="","",'Rates from Ireland Fedex Priort'!B140)</f>
        <v>Ireland</v>
      </c>
      <c r="C141" s="9" t="str">
        <f>IF('Rates from Ireland Fedex Priort'!C140="","",'Rates from Ireland Fedex Priort'!C140)</f>
        <v>Mayotte (France)</v>
      </c>
      <c r="D141" s="10" t="str">
        <f>IF(ISNUMBER('Rates from Ireland Fedex Priort'!D140),_xlfn.CEILING.MATH('Rates from Ireland Fedex Priort'!D140,1)+IF($A141="EU",Variables!$B$5,Variables!$B$2),'Rates from Ireland Fedex Priort'!D140)</f>
        <v>No service</v>
      </c>
      <c r="E141" s="10" t="str">
        <f>IF(ISNUMBER('Rates from Ireland Fedex Priort'!E140),_xlfn.CEILING.MATH('Rates from Ireland Fedex Priort'!E140,1)+IF($A141="EU",Variables!$B$6,Variables!$B$3),'Rates from Ireland Fedex Priort'!E140)</f>
        <v>No service</v>
      </c>
      <c r="F141" s="10" t="str">
        <f>IF(ISNUMBER('Rates from Ireland Fedex Priort'!F140),_xlfn.CEILING.MATH('Rates from Ireland Fedex Priort'!F140,1)+IF($A141="EU",Variables!$B$6,Variables!$B$3),'Rates from Ireland Fedex Priort'!F140)</f>
        <v>No service</v>
      </c>
      <c r="G141" s="10" t="str">
        <f>IF(ISNUMBER('Rates from Ireland Fedex Priort'!G140),_xlfn.CEILING.MATH('Rates from Ireland Fedex Priort'!G140,1)+IF($A141="EU",Variables!$B$6,Variables!$B$3),'Rates from Ireland Fedex Priort'!G140)</f>
        <v>No service</v>
      </c>
      <c r="H141" s="10" t="str">
        <f>IF(ISNUMBER('Rates from Ireland Fedex Priort'!H140),_xlfn.CEILING.MATH('Rates from Ireland Fedex Priort'!H140,1)+IF($A141="EU",Variables!$B$6,Variables!$B$3),'Rates from Ireland Fedex Priort'!H140)</f>
        <v>No service</v>
      </c>
      <c r="I141" s="10" t="str">
        <f>IF(ISNUMBER('Rates from Ireland Fedex Priort'!I140),_xlfn.CEILING.MATH('Rates from Ireland Fedex Priort'!I140,1)+IF($A141="EU",Variables!$B$6,Variables!$B$3),'Rates from Ireland Fedex Priort'!I140)</f>
        <v>No service</v>
      </c>
      <c r="J141" s="10" t="str">
        <f>IF(ISNUMBER('Rates from Ireland Fedex Priort'!J140),_xlfn.CEILING.MATH('Rates from Ireland Fedex Priort'!J140,1)+IF($A141="EU",Variables!$B$6,Variables!$B$3),'Rates from Ireland Fedex Priort'!J140)</f>
        <v>No service</v>
      </c>
      <c r="K141" s="10" t="str">
        <f>IF(ISNUMBER('Rates from Ireland Fedex Priort'!K140),_xlfn.CEILING.MATH('Rates from Ireland Fedex Priort'!K140,1)+IF($A141="EU",Variables!$B$6,Variables!$B$3),'Rates from Ireland Fedex Priort'!K140)</f>
        <v>No service</v>
      </c>
      <c r="L141" s="10" t="str">
        <f>IF(ISNUMBER('Rates from Ireland Fedex Priort'!L140),_xlfn.CEILING.MATH('Rates from Ireland Fedex Priort'!L140,1)+IF($A141="EU",Variables!$B$6,Variables!$B$3),'Rates from Ireland Fedex Priort'!L140)</f>
        <v>No service</v>
      </c>
      <c r="M141" s="10" t="str">
        <f>IF(ISNUMBER('Rates from Ireland Fedex Priort'!M140),_xlfn.CEILING.MATH('Rates from Ireland Fedex Priort'!M140,1)+IF($A141="EU",Variables!$B$6,Variables!$B$3),'Rates from Ireland Fedex Priort'!M140)</f>
        <v>No service</v>
      </c>
      <c r="N141" s="10" t="str">
        <f>IF(ISNUMBER('Rates from Ireland Fedex Priort'!N140),_xlfn.CEILING.MATH('Rates from Ireland Fedex Priort'!N140,1)+IF($A141="EU",Variables!$B$6,Variables!$B$3),'Rates from Ireland Fedex Priort'!N140)</f>
        <v>No service</v>
      </c>
      <c r="O141" s="11"/>
      <c r="P141" s="11"/>
      <c r="Q141" s="11"/>
      <c r="R141" s="11"/>
      <c r="S141" s="3" t="s">
        <v>26</v>
      </c>
      <c r="T141" s="38" t="s">
        <v>27</v>
      </c>
    </row>
    <row r="142" spans="1:20" ht="15.75" customHeight="1" x14ac:dyDescent="0.3">
      <c r="A142" s="39" t="str">
        <f>IF('Rates from Ireland Fedex Priort'!A141="","",'Rates from Ireland Fedex Priort'!A141)</f>
        <v>EU</v>
      </c>
      <c r="B142" s="8" t="str">
        <f>IF('Rates from Ireland Fedex Priort'!B141="","",'Rates from Ireland Fedex Priort'!B141)</f>
        <v>Ireland</v>
      </c>
      <c r="C142" s="9" t="str">
        <f>IF('Rates from Ireland Fedex Priort'!C141="","",'Rates from Ireland Fedex Priort'!C141)</f>
        <v>Mexico</v>
      </c>
      <c r="D142" s="10">
        <f>IF(ISNUMBER('Rates from Ireland Fedex Priort'!D141),_xlfn.CEILING.MATH('Rates from Ireland Fedex Priort'!D141,1)+IF($A142="EU",Variables!$B$5,Variables!$B$2),'Rates from Ireland Fedex Priort'!D141)</f>
        <v>68</v>
      </c>
      <c r="E142" s="10">
        <f>IF(ISNUMBER('Rates from Ireland Fedex Priort'!E141),_xlfn.CEILING.MATH('Rates from Ireland Fedex Priort'!E141,1)+IF($A142="EU",Variables!$B$6,Variables!$B$3),'Rates from Ireland Fedex Priort'!E141)</f>
        <v>77</v>
      </c>
      <c r="F142" s="10">
        <f>IF(ISNUMBER('Rates from Ireland Fedex Priort'!F141),_xlfn.CEILING.MATH('Rates from Ireland Fedex Priort'!F141,1)+IF($A142="EU",Variables!$B$6,Variables!$B$3),'Rates from Ireland Fedex Priort'!F141)</f>
        <v>81</v>
      </c>
      <c r="G142" s="10">
        <f>IF(ISNUMBER('Rates from Ireland Fedex Priort'!G141),_xlfn.CEILING.MATH('Rates from Ireland Fedex Priort'!G141,1)+IF($A142="EU",Variables!$B$6,Variables!$B$3),'Rates from Ireland Fedex Priort'!G141)</f>
        <v>96</v>
      </c>
      <c r="H142" s="10">
        <f>IF(ISNUMBER('Rates from Ireland Fedex Priort'!H141),_xlfn.CEILING.MATH('Rates from Ireland Fedex Priort'!H141,1)+IF($A142="EU",Variables!$B$6,Variables!$B$3),'Rates from Ireland Fedex Priort'!H141)</f>
        <v>117</v>
      </c>
      <c r="I142" s="10">
        <f>IF(ISNUMBER('Rates from Ireland Fedex Priort'!I141),_xlfn.CEILING.MATH('Rates from Ireland Fedex Priort'!I141,1)+IF($A142="EU",Variables!$B$6,Variables!$B$3),'Rates from Ireland Fedex Priort'!I141)</f>
        <v>219</v>
      </c>
      <c r="J142" s="10" t="str">
        <f>IF(ISNUMBER('Rates from Ireland Fedex Priort'!J141),_xlfn.CEILING.MATH('Rates from Ireland Fedex Priort'!J141,1)+IF($A142="EU",Variables!$B$6,Variables!$B$3),'Rates from Ireland Fedex Priort'!J141)</f>
        <v>No service</v>
      </c>
      <c r="K142" s="10" t="str">
        <f>IF(ISNUMBER('Rates from Ireland Fedex Priort'!K141),_xlfn.CEILING.MATH('Rates from Ireland Fedex Priort'!K141,1)+IF($A142="EU",Variables!$B$6,Variables!$B$3),'Rates from Ireland Fedex Priort'!K141)</f>
        <v>No service</v>
      </c>
      <c r="L142" s="10" t="str">
        <f>IF(ISNUMBER('Rates from Ireland Fedex Priort'!L141),_xlfn.CEILING.MATH('Rates from Ireland Fedex Priort'!L141,1)+IF($A142="EU",Variables!$B$6,Variables!$B$3),'Rates from Ireland Fedex Priort'!L141)</f>
        <v>No service</v>
      </c>
      <c r="M142" s="10" t="str">
        <f>IF(ISNUMBER('Rates from Ireland Fedex Priort'!M141),_xlfn.CEILING.MATH('Rates from Ireland Fedex Priort'!M141,1)+IF($A142="EU",Variables!$B$6,Variables!$B$3),'Rates from Ireland Fedex Priort'!M141)</f>
        <v>No service</v>
      </c>
      <c r="N142" s="10" t="str">
        <f>IF(ISNUMBER('Rates from Ireland Fedex Priort'!N141),_xlfn.CEILING.MATH('Rates from Ireland Fedex Priort'!N141,1)+IF($A142="EU",Variables!$B$6,Variables!$B$3),'Rates from Ireland Fedex Priort'!N141)</f>
        <v>No service</v>
      </c>
      <c r="O142" s="11" t="s">
        <v>61</v>
      </c>
      <c r="P142" s="11" t="s">
        <v>23</v>
      </c>
      <c r="Q142" s="12">
        <v>80</v>
      </c>
      <c r="R142" s="11"/>
      <c r="S142" s="3" t="s">
        <v>26</v>
      </c>
      <c r="T142" s="38" t="s">
        <v>27</v>
      </c>
    </row>
    <row r="143" spans="1:20" ht="15.75" customHeight="1" x14ac:dyDescent="0.3">
      <c r="A143" s="39" t="str">
        <f>IF('Rates from Ireland Fedex Priort'!A142="","",'Rates from Ireland Fedex Priort'!A142)</f>
        <v>EU</v>
      </c>
      <c r="B143" s="8" t="str">
        <f>IF('Rates from Ireland Fedex Priort'!B142="","",'Rates from Ireland Fedex Priort'!B142)</f>
        <v>Ireland</v>
      </c>
      <c r="C143" s="9" t="str">
        <f>IF('Rates from Ireland Fedex Priort'!C142="","",'Rates from Ireland Fedex Priort'!C142)</f>
        <v>Micronesia</v>
      </c>
      <c r="D143" s="10">
        <f>IF(ISNUMBER('Rates from Ireland Fedex Priort'!D142),_xlfn.CEILING.MATH('Rates from Ireland Fedex Priort'!D142,1)+IF($A143="EU",Variables!$B$5,Variables!$B$2),'Rates from Ireland Fedex Priort'!D142)</f>
        <v>72</v>
      </c>
      <c r="E143" s="10">
        <f>IF(ISNUMBER('Rates from Ireland Fedex Priort'!E142),_xlfn.CEILING.MATH('Rates from Ireland Fedex Priort'!E142,1)+IF($A143="EU",Variables!$B$6,Variables!$B$3),'Rates from Ireland Fedex Priort'!E142)</f>
        <v>83</v>
      </c>
      <c r="F143" s="10">
        <f>IF(ISNUMBER('Rates from Ireland Fedex Priort'!F142),_xlfn.CEILING.MATH('Rates from Ireland Fedex Priort'!F142,1)+IF($A143="EU",Variables!$B$6,Variables!$B$3),'Rates from Ireland Fedex Priort'!F142)</f>
        <v>88</v>
      </c>
      <c r="G143" s="10">
        <f>IF(ISNUMBER('Rates from Ireland Fedex Priort'!G142),_xlfn.CEILING.MATH('Rates from Ireland Fedex Priort'!G142,1)+IF($A143="EU",Variables!$B$6,Variables!$B$3),'Rates from Ireland Fedex Priort'!G142)</f>
        <v>106</v>
      </c>
      <c r="H143" s="10">
        <f>IF(ISNUMBER('Rates from Ireland Fedex Priort'!H142),_xlfn.CEILING.MATH('Rates from Ireland Fedex Priort'!H142,1)+IF($A143="EU",Variables!$B$6,Variables!$B$3),'Rates from Ireland Fedex Priort'!H142)</f>
        <v>134</v>
      </c>
      <c r="I143" s="10">
        <f>IF(ISNUMBER('Rates from Ireland Fedex Priort'!I142),_xlfn.CEILING.MATH('Rates from Ireland Fedex Priort'!I142,1)+IF($A143="EU",Variables!$B$6,Variables!$B$3),'Rates from Ireland Fedex Priort'!I142)</f>
        <v>242</v>
      </c>
      <c r="J143" s="10" t="str">
        <f>IF(ISNUMBER('Rates from Ireland Fedex Priort'!J142),_xlfn.CEILING.MATH('Rates from Ireland Fedex Priort'!J142,1)+IF($A143="EU",Variables!$B$6,Variables!$B$3),'Rates from Ireland Fedex Priort'!J142)</f>
        <v>No service</v>
      </c>
      <c r="K143" s="10" t="str">
        <f>IF(ISNUMBER('Rates from Ireland Fedex Priort'!K142),_xlfn.CEILING.MATH('Rates from Ireland Fedex Priort'!K142,1)+IF($A143="EU",Variables!$B$6,Variables!$B$3),'Rates from Ireland Fedex Priort'!K142)</f>
        <v>No service</v>
      </c>
      <c r="L143" s="10" t="str">
        <f>IF(ISNUMBER('Rates from Ireland Fedex Priort'!L142),_xlfn.CEILING.MATH('Rates from Ireland Fedex Priort'!L142,1)+IF($A143="EU",Variables!$B$6,Variables!$B$3),'Rates from Ireland Fedex Priort'!L142)</f>
        <v>No service</v>
      </c>
      <c r="M143" s="10" t="str">
        <f>IF(ISNUMBER('Rates from Ireland Fedex Priort'!M142),_xlfn.CEILING.MATH('Rates from Ireland Fedex Priort'!M142,1)+IF($A143="EU",Variables!$B$6,Variables!$B$3),'Rates from Ireland Fedex Priort'!M142)</f>
        <v>No service</v>
      </c>
      <c r="N143" s="10" t="str">
        <f>IF(ISNUMBER('Rates from Ireland Fedex Priort'!N142),_xlfn.CEILING.MATH('Rates from Ireland Fedex Priort'!N142,1)+IF($A143="EU",Variables!$B$6,Variables!$B$3),'Rates from Ireland Fedex Priort'!N142)</f>
        <v>No service</v>
      </c>
      <c r="O143" s="11" t="s">
        <v>35</v>
      </c>
      <c r="P143" s="11" t="s">
        <v>36</v>
      </c>
      <c r="Q143" s="12">
        <v>80</v>
      </c>
      <c r="R143" s="11" t="s">
        <v>25</v>
      </c>
      <c r="S143" s="3" t="s">
        <v>26</v>
      </c>
      <c r="T143" s="38" t="s">
        <v>27</v>
      </c>
    </row>
    <row r="144" spans="1:20" ht="15.75" customHeight="1" x14ac:dyDescent="0.3">
      <c r="A144" s="39" t="str">
        <f>IF('Rates from Ireland Fedex Priort'!A143="","",'Rates from Ireland Fedex Priort'!A143)</f>
        <v>EU</v>
      </c>
      <c r="B144" s="8" t="str">
        <f>IF('Rates from Ireland Fedex Priort'!B143="","",'Rates from Ireland Fedex Priort'!B143)</f>
        <v>Ireland</v>
      </c>
      <c r="C144" s="9" t="str">
        <f>IF('Rates from Ireland Fedex Priort'!C143="","",'Rates from Ireland Fedex Priort'!C143)</f>
        <v>Moldova</v>
      </c>
      <c r="D144" s="10">
        <f>IF(ISNUMBER('Rates from Ireland Fedex Priort'!D143),_xlfn.CEILING.MATH('Rates from Ireland Fedex Priort'!D143,1)+IF($A144="EU",Variables!$B$5,Variables!$B$2),'Rates from Ireland Fedex Priort'!D143)</f>
        <v>76</v>
      </c>
      <c r="E144" s="10">
        <f>IF(ISNUMBER('Rates from Ireland Fedex Priort'!E143),_xlfn.CEILING.MATH('Rates from Ireland Fedex Priort'!E143,1)+IF($A144="EU",Variables!$B$6,Variables!$B$3),'Rates from Ireland Fedex Priort'!E143)</f>
        <v>86</v>
      </c>
      <c r="F144" s="10">
        <f>IF(ISNUMBER('Rates from Ireland Fedex Priort'!F143),_xlfn.CEILING.MATH('Rates from Ireland Fedex Priort'!F143,1)+IF($A144="EU",Variables!$B$6,Variables!$B$3),'Rates from Ireland Fedex Priort'!F143)</f>
        <v>85</v>
      </c>
      <c r="G144" s="10">
        <f>IF(ISNUMBER('Rates from Ireland Fedex Priort'!G143),_xlfn.CEILING.MATH('Rates from Ireland Fedex Priort'!G143,1)+IF($A144="EU",Variables!$B$6,Variables!$B$3),'Rates from Ireland Fedex Priort'!G143)</f>
        <v>94</v>
      </c>
      <c r="H144" s="10">
        <f>IF(ISNUMBER('Rates from Ireland Fedex Priort'!H143),_xlfn.CEILING.MATH('Rates from Ireland Fedex Priort'!H143,1)+IF($A144="EU",Variables!$B$6,Variables!$B$3),'Rates from Ireland Fedex Priort'!H143)</f>
        <v>97</v>
      </c>
      <c r="I144" s="10">
        <f>IF(ISNUMBER('Rates from Ireland Fedex Priort'!I143),_xlfn.CEILING.MATH('Rates from Ireland Fedex Priort'!I143,1)+IF($A144="EU",Variables!$B$6,Variables!$B$3),'Rates from Ireland Fedex Priort'!I143)</f>
        <v>107</v>
      </c>
      <c r="J144" s="10" t="str">
        <f>IF(ISNUMBER('Rates from Ireland Fedex Priort'!J143),_xlfn.CEILING.MATH('Rates from Ireland Fedex Priort'!J143,1)+IF($A144="EU",Variables!$B$6,Variables!$B$3),'Rates from Ireland Fedex Priort'!J143)</f>
        <v>No service</v>
      </c>
      <c r="K144" s="10" t="str">
        <f>IF(ISNUMBER('Rates from Ireland Fedex Priort'!K143),_xlfn.CEILING.MATH('Rates from Ireland Fedex Priort'!K143,1)+IF($A144="EU",Variables!$B$6,Variables!$B$3),'Rates from Ireland Fedex Priort'!K143)</f>
        <v>No service</v>
      </c>
      <c r="L144" s="10" t="str">
        <f>IF(ISNUMBER('Rates from Ireland Fedex Priort'!L143),_xlfn.CEILING.MATH('Rates from Ireland Fedex Priort'!L143,1)+IF($A144="EU",Variables!$B$6,Variables!$B$3),'Rates from Ireland Fedex Priort'!L143)</f>
        <v>No service</v>
      </c>
      <c r="M144" s="10" t="str">
        <f>IF(ISNUMBER('Rates from Ireland Fedex Priort'!M143),_xlfn.CEILING.MATH('Rates from Ireland Fedex Priort'!M143,1)+IF($A144="EU",Variables!$B$6,Variables!$B$3),'Rates from Ireland Fedex Priort'!M143)</f>
        <v>No service</v>
      </c>
      <c r="N144" s="10" t="str">
        <f>IF(ISNUMBER('Rates from Ireland Fedex Priort'!N143),_xlfn.CEILING.MATH('Rates from Ireland Fedex Priort'!N143,1)+IF($A144="EU",Variables!$B$6,Variables!$B$3),'Rates from Ireland Fedex Priort'!N143)</f>
        <v>No service</v>
      </c>
      <c r="O144" s="11" t="s">
        <v>61</v>
      </c>
      <c r="P144" s="11" t="s">
        <v>187</v>
      </c>
      <c r="Q144" s="12">
        <v>80</v>
      </c>
      <c r="R144" s="11" t="s">
        <v>25</v>
      </c>
      <c r="S144" s="3" t="s">
        <v>26</v>
      </c>
      <c r="T144" s="38" t="s">
        <v>27</v>
      </c>
    </row>
    <row r="145" spans="1:20" ht="15.75" customHeight="1" x14ac:dyDescent="0.3">
      <c r="A145" s="39" t="str">
        <f>IF('Rates from Ireland Fedex Priort'!A144="","",'Rates from Ireland Fedex Priort'!A144)</f>
        <v>EU</v>
      </c>
      <c r="B145" s="8" t="str">
        <f>IF('Rates from Ireland Fedex Priort'!B144="","",'Rates from Ireland Fedex Priort'!B144)</f>
        <v>Ireland</v>
      </c>
      <c r="C145" s="9" t="str">
        <f>IF('Rates from Ireland Fedex Priort'!C144="","",'Rates from Ireland Fedex Priort'!C144)</f>
        <v>Monaco</v>
      </c>
      <c r="D145" s="10">
        <f>IF(ISNUMBER('Rates from Ireland Fedex Priort'!D144),_xlfn.CEILING.MATH('Rates from Ireland Fedex Priort'!D144,1)+IF($A145="EU",Variables!$B$5,Variables!$B$2),'Rates from Ireland Fedex Priort'!D144)</f>
        <v>58</v>
      </c>
      <c r="E145" s="10">
        <f>IF(ISNUMBER('Rates from Ireland Fedex Priort'!E144),_xlfn.CEILING.MATH('Rates from Ireland Fedex Priort'!E144,1)+IF($A145="EU",Variables!$B$6,Variables!$B$3),'Rates from Ireland Fedex Priort'!E144)</f>
        <v>60</v>
      </c>
      <c r="F145" s="10">
        <f>IF(ISNUMBER('Rates from Ireland Fedex Priort'!F144),_xlfn.CEILING.MATH('Rates from Ireland Fedex Priort'!F144,1)+IF($A145="EU",Variables!$B$6,Variables!$B$3),'Rates from Ireland Fedex Priort'!F144)</f>
        <v>60</v>
      </c>
      <c r="G145" s="10">
        <f>IF(ISNUMBER('Rates from Ireland Fedex Priort'!G144),_xlfn.CEILING.MATH('Rates from Ireland Fedex Priort'!G144,1)+IF($A145="EU",Variables!$B$6,Variables!$B$3),'Rates from Ireland Fedex Priort'!G144)</f>
        <v>62</v>
      </c>
      <c r="H145" s="10">
        <f>IF(ISNUMBER('Rates from Ireland Fedex Priort'!H144),_xlfn.CEILING.MATH('Rates from Ireland Fedex Priort'!H144,1)+IF($A145="EU",Variables!$B$6,Variables!$B$3),'Rates from Ireland Fedex Priort'!H144)</f>
        <v>66</v>
      </c>
      <c r="I145" s="10">
        <f>IF(ISNUMBER('Rates from Ireland Fedex Priort'!I144),_xlfn.CEILING.MATH('Rates from Ireland Fedex Priort'!I144,1)+IF($A145="EU",Variables!$B$6,Variables!$B$3),'Rates from Ireland Fedex Priort'!I144)</f>
        <v>72</v>
      </c>
      <c r="J145" s="10">
        <f>IF(ISNUMBER('Rates from Ireland Fedex Priort'!J144),_xlfn.CEILING.MATH('Rates from Ireland Fedex Priort'!J144,1)+IF($A145="EU",Variables!$B$6,Variables!$B$3),'Rates from Ireland Fedex Priort'!J144)</f>
        <v>77</v>
      </c>
      <c r="K145" s="10">
        <f>IF(ISNUMBER('Rates from Ireland Fedex Priort'!K144),_xlfn.CEILING.MATH('Rates from Ireland Fedex Priort'!K144,1)+IF($A145="EU",Variables!$B$6,Variables!$B$3),'Rates from Ireland Fedex Priort'!K144)</f>
        <v>82</v>
      </c>
      <c r="L145" s="10">
        <f>IF(ISNUMBER('Rates from Ireland Fedex Priort'!L144),_xlfn.CEILING.MATH('Rates from Ireland Fedex Priort'!L144,1)+IF($A145="EU",Variables!$B$6,Variables!$B$3),'Rates from Ireland Fedex Priort'!L144)</f>
        <v>91</v>
      </c>
      <c r="M145" s="10">
        <f>IF(ISNUMBER('Rates from Ireland Fedex Priort'!M144),_xlfn.CEILING.MATH('Rates from Ireland Fedex Priort'!M144,1)+IF($A145="EU",Variables!$B$6,Variables!$B$3),'Rates from Ireland Fedex Priort'!M144)</f>
        <v>102</v>
      </c>
      <c r="N145" s="10">
        <f>IF(ISNUMBER('Rates from Ireland Fedex Priort'!N144),_xlfn.CEILING.MATH('Rates from Ireland Fedex Priort'!N144,1)+IF($A145="EU",Variables!$B$6,Variables!$B$3),'Rates from Ireland Fedex Priort'!N144)</f>
        <v>113</v>
      </c>
      <c r="O145" s="15" t="s">
        <v>189</v>
      </c>
      <c r="P145" s="15" t="s">
        <v>61</v>
      </c>
      <c r="Q145" s="16">
        <v>80</v>
      </c>
      <c r="R145" s="15" t="s">
        <v>25</v>
      </c>
      <c r="S145" s="17" t="s">
        <v>26</v>
      </c>
      <c r="T145" s="40" t="s">
        <v>27</v>
      </c>
    </row>
    <row r="146" spans="1:20" ht="15.75" customHeight="1" x14ac:dyDescent="0.3">
      <c r="A146" s="39" t="str">
        <f>IF('Rates from Ireland Fedex Priort'!A145="","",'Rates from Ireland Fedex Priort'!A145)</f>
        <v>EU</v>
      </c>
      <c r="B146" s="8" t="str">
        <f>IF('Rates from Ireland Fedex Priort'!B145="","",'Rates from Ireland Fedex Priort'!B145)</f>
        <v>Ireland</v>
      </c>
      <c r="C146" s="9" t="str">
        <f>IF('Rates from Ireland Fedex Priort'!C145="","",'Rates from Ireland Fedex Priort'!C145)</f>
        <v>Mongolia</v>
      </c>
      <c r="D146" s="10">
        <f>IF(ISNUMBER('Rates from Ireland Fedex Priort'!D145),_xlfn.CEILING.MATH('Rates from Ireland Fedex Priort'!D145,1)+IF($A146="EU",Variables!$B$5,Variables!$B$2),'Rates from Ireland Fedex Priort'!D145)</f>
        <v>72</v>
      </c>
      <c r="E146" s="10">
        <f>IF(ISNUMBER('Rates from Ireland Fedex Priort'!E145),_xlfn.CEILING.MATH('Rates from Ireland Fedex Priort'!E145,1)+IF($A146="EU",Variables!$B$6,Variables!$B$3),'Rates from Ireland Fedex Priort'!E145)</f>
        <v>83</v>
      </c>
      <c r="F146" s="10">
        <f>IF(ISNUMBER('Rates from Ireland Fedex Priort'!F145),_xlfn.CEILING.MATH('Rates from Ireland Fedex Priort'!F145,1)+IF($A146="EU",Variables!$B$6,Variables!$B$3),'Rates from Ireland Fedex Priort'!F145)</f>
        <v>88</v>
      </c>
      <c r="G146" s="10">
        <f>IF(ISNUMBER('Rates from Ireland Fedex Priort'!G145),_xlfn.CEILING.MATH('Rates from Ireland Fedex Priort'!G145,1)+IF($A146="EU",Variables!$B$6,Variables!$B$3),'Rates from Ireland Fedex Priort'!G145)</f>
        <v>106</v>
      </c>
      <c r="H146" s="10">
        <f>IF(ISNUMBER('Rates from Ireland Fedex Priort'!H145),_xlfn.CEILING.MATH('Rates from Ireland Fedex Priort'!H145,1)+IF($A146="EU",Variables!$B$6,Variables!$B$3),'Rates from Ireland Fedex Priort'!H145)</f>
        <v>134</v>
      </c>
      <c r="I146" s="10">
        <f>IF(ISNUMBER('Rates from Ireland Fedex Priort'!I145),_xlfn.CEILING.MATH('Rates from Ireland Fedex Priort'!I145,1)+IF($A146="EU",Variables!$B$6,Variables!$B$3),'Rates from Ireland Fedex Priort'!I145)</f>
        <v>242</v>
      </c>
      <c r="J146" s="10" t="str">
        <f>IF(ISNUMBER('Rates from Ireland Fedex Priort'!J145),_xlfn.CEILING.MATH('Rates from Ireland Fedex Priort'!J145,1)+IF($A146="EU",Variables!$B$6,Variables!$B$3),'Rates from Ireland Fedex Priort'!J145)</f>
        <v>No service</v>
      </c>
      <c r="K146" s="10" t="str">
        <f>IF(ISNUMBER('Rates from Ireland Fedex Priort'!K145),_xlfn.CEILING.MATH('Rates from Ireland Fedex Priort'!K145,1)+IF($A146="EU",Variables!$B$6,Variables!$B$3),'Rates from Ireland Fedex Priort'!K145)</f>
        <v>No service</v>
      </c>
      <c r="L146" s="10" t="str">
        <f>IF(ISNUMBER('Rates from Ireland Fedex Priort'!L145),_xlfn.CEILING.MATH('Rates from Ireland Fedex Priort'!L145,1)+IF($A146="EU",Variables!$B$6,Variables!$B$3),'Rates from Ireland Fedex Priort'!L145)</f>
        <v>No service</v>
      </c>
      <c r="M146" s="10" t="str">
        <f>IF(ISNUMBER('Rates from Ireland Fedex Priort'!M145),_xlfn.CEILING.MATH('Rates from Ireland Fedex Priort'!M145,1)+IF($A146="EU",Variables!$B$6,Variables!$B$3),'Rates from Ireland Fedex Priort'!M145)</f>
        <v>No service</v>
      </c>
      <c r="N146" s="10" t="str">
        <f>IF(ISNUMBER('Rates from Ireland Fedex Priort'!N145),_xlfn.CEILING.MATH('Rates from Ireland Fedex Priort'!N145,1)+IF($A146="EU",Variables!$B$6,Variables!$B$3),'Rates from Ireland Fedex Priort'!N145)</f>
        <v>No service</v>
      </c>
      <c r="O146" s="11" t="s">
        <v>35</v>
      </c>
      <c r="P146" s="11" t="s">
        <v>36</v>
      </c>
      <c r="Q146" s="12">
        <v>80</v>
      </c>
      <c r="R146" s="11" t="s">
        <v>25</v>
      </c>
      <c r="S146" s="3" t="s">
        <v>26</v>
      </c>
      <c r="T146" s="38" t="s">
        <v>27</v>
      </c>
    </row>
    <row r="147" spans="1:20" ht="15.75" customHeight="1" x14ac:dyDescent="0.3">
      <c r="A147" s="39" t="str">
        <f>IF('Rates from Ireland Fedex Priort'!A146="","",'Rates from Ireland Fedex Priort'!A146)</f>
        <v>EU</v>
      </c>
      <c r="B147" s="8" t="str">
        <f>IF('Rates from Ireland Fedex Priort'!B146="","",'Rates from Ireland Fedex Priort'!B146)</f>
        <v>Ireland</v>
      </c>
      <c r="C147" s="9" t="str">
        <f>IF('Rates from Ireland Fedex Priort'!C146="","",'Rates from Ireland Fedex Priort'!C146)</f>
        <v>Montenegro</v>
      </c>
      <c r="D147" s="10">
        <f>IF(ISNUMBER('Rates from Ireland Fedex Priort'!D146),_xlfn.CEILING.MATH('Rates from Ireland Fedex Priort'!D146,1)+IF($A147="EU",Variables!$B$5,Variables!$B$2),'Rates from Ireland Fedex Priort'!D146)</f>
        <v>76</v>
      </c>
      <c r="E147" s="10">
        <f>IF(ISNUMBER('Rates from Ireland Fedex Priort'!E146),_xlfn.CEILING.MATH('Rates from Ireland Fedex Priort'!E146,1)+IF($A147="EU",Variables!$B$6,Variables!$B$3),'Rates from Ireland Fedex Priort'!E146)</f>
        <v>85</v>
      </c>
      <c r="F147" s="10">
        <f>IF(ISNUMBER('Rates from Ireland Fedex Priort'!F146),_xlfn.CEILING.MATH('Rates from Ireland Fedex Priort'!F146,1)+IF($A147="EU",Variables!$B$6,Variables!$B$3),'Rates from Ireland Fedex Priort'!F146)</f>
        <v>88</v>
      </c>
      <c r="G147" s="10">
        <f>IF(ISNUMBER('Rates from Ireland Fedex Priort'!G146),_xlfn.CEILING.MATH('Rates from Ireland Fedex Priort'!G146,1)+IF($A147="EU",Variables!$B$6,Variables!$B$3),'Rates from Ireland Fedex Priort'!G146)</f>
        <v>97</v>
      </c>
      <c r="H147" s="10">
        <f>IF(ISNUMBER('Rates from Ireland Fedex Priort'!H146),_xlfn.CEILING.MATH('Rates from Ireland Fedex Priort'!H146,1)+IF($A147="EU",Variables!$B$6,Variables!$B$3),'Rates from Ireland Fedex Priort'!H146)</f>
        <v>102</v>
      </c>
      <c r="I147" s="10">
        <f>IF(ISNUMBER('Rates from Ireland Fedex Priort'!I146),_xlfn.CEILING.MATH('Rates from Ireland Fedex Priort'!I146,1)+IF($A147="EU",Variables!$B$6,Variables!$B$3),'Rates from Ireland Fedex Priort'!I146)</f>
        <v>109</v>
      </c>
      <c r="J147" s="10" t="str">
        <f>IF(ISNUMBER('Rates from Ireland Fedex Priort'!J146),_xlfn.CEILING.MATH('Rates from Ireland Fedex Priort'!J146,1)+IF($A147="EU",Variables!$B$6,Variables!$B$3),'Rates from Ireland Fedex Priort'!J146)</f>
        <v>No service</v>
      </c>
      <c r="K147" s="10" t="str">
        <f>IF(ISNUMBER('Rates from Ireland Fedex Priort'!K146),_xlfn.CEILING.MATH('Rates from Ireland Fedex Priort'!K146,1)+IF($A147="EU",Variables!$B$6,Variables!$B$3),'Rates from Ireland Fedex Priort'!K146)</f>
        <v>No service</v>
      </c>
      <c r="L147" s="10" t="str">
        <f>IF(ISNUMBER('Rates from Ireland Fedex Priort'!L146),_xlfn.CEILING.MATH('Rates from Ireland Fedex Priort'!L146,1)+IF($A147="EU",Variables!$B$6,Variables!$B$3),'Rates from Ireland Fedex Priort'!L146)</f>
        <v>No service</v>
      </c>
      <c r="M147" s="10" t="str">
        <f>IF(ISNUMBER('Rates from Ireland Fedex Priort'!M146),_xlfn.CEILING.MATH('Rates from Ireland Fedex Priort'!M146,1)+IF($A147="EU",Variables!$B$6,Variables!$B$3),'Rates from Ireland Fedex Priort'!M146)</f>
        <v>No service</v>
      </c>
      <c r="N147" s="10" t="str">
        <f>IF(ISNUMBER('Rates from Ireland Fedex Priort'!N146),_xlfn.CEILING.MATH('Rates from Ireland Fedex Priort'!N146,1)+IF($A147="EU",Variables!$B$6,Variables!$B$3),'Rates from Ireland Fedex Priort'!N146)</f>
        <v>No service</v>
      </c>
      <c r="O147" s="11" t="s">
        <v>41</v>
      </c>
      <c r="P147" s="11" t="s">
        <v>192</v>
      </c>
      <c r="Q147" s="12">
        <v>80</v>
      </c>
      <c r="R147" s="11" t="s">
        <v>25</v>
      </c>
      <c r="S147" s="3" t="s">
        <v>26</v>
      </c>
      <c r="T147" s="38" t="s">
        <v>27</v>
      </c>
    </row>
    <row r="148" spans="1:20" ht="15.75" customHeight="1" x14ac:dyDescent="0.3">
      <c r="A148" s="39" t="str">
        <f>IF('Rates from Ireland Fedex Priort'!A147="","",'Rates from Ireland Fedex Priort'!A147)</f>
        <v>EU</v>
      </c>
      <c r="B148" s="8" t="str">
        <f>IF('Rates from Ireland Fedex Priort'!B147="","",'Rates from Ireland Fedex Priort'!B147)</f>
        <v>Ireland</v>
      </c>
      <c r="C148" s="9" t="str">
        <f>IF('Rates from Ireland Fedex Priort'!C147="","",'Rates from Ireland Fedex Priort'!C147)</f>
        <v>Montserrat (BOT)</v>
      </c>
      <c r="D148" s="10">
        <f>IF(ISNUMBER('Rates from Ireland Fedex Priort'!D147),_xlfn.CEILING.MATH('Rates from Ireland Fedex Priort'!D147,1)+IF($A148="EU",Variables!$B$5,Variables!$B$2),'Rates from Ireland Fedex Priort'!D147)</f>
        <v>68</v>
      </c>
      <c r="E148" s="10">
        <f>IF(ISNUMBER('Rates from Ireland Fedex Priort'!E147),_xlfn.CEILING.MATH('Rates from Ireland Fedex Priort'!E147,1)+IF($A148="EU",Variables!$B$6,Variables!$B$3),'Rates from Ireland Fedex Priort'!E147)</f>
        <v>77</v>
      </c>
      <c r="F148" s="10">
        <f>IF(ISNUMBER('Rates from Ireland Fedex Priort'!F147),_xlfn.CEILING.MATH('Rates from Ireland Fedex Priort'!F147,1)+IF($A148="EU",Variables!$B$6,Variables!$B$3),'Rates from Ireland Fedex Priort'!F147)</f>
        <v>81</v>
      </c>
      <c r="G148" s="10">
        <f>IF(ISNUMBER('Rates from Ireland Fedex Priort'!G147),_xlfn.CEILING.MATH('Rates from Ireland Fedex Priort'!G147,1)+IF($A148="EU",Variables!$B$6,Variables!$B$3),'Rates from Ireland Fedex Priort'!G147)</f>
        <v>96</v>
      </c>
      <c r="H148" s="10">
        <f>IF(ISNUMBER('Rates from Ireland Fedex Priort'!H147),_xlfn.CEILING.MATH('Rates from Ireland Fedex Priort'!H147,1)+IF($A148="EU",Variables!$B$6,Variables!$B$3),'Rates from Ireland Fedex Priort'!H147)</f>
        <v>117</v>
      </c>
      <c r="I148" s="10">
        <f>IF(ISNUMBER('Rates from Ireland Fedex Priort'!I147),_xlfn.CEILING.MATH('Rates from Ireland Fedex Priort'!I147,1)+IF($A148="EU",Variables!$B$6,Variables!$B$3),'Rates from Ireland Fedex Priort'!I147)</f>
        <v>219</v>
      </c>
      <c r="J148" s="10" t="str">
        <f>IF(ISNUMBER('Rates from Ireland Fedex Priort'!J147),_xlfn.CEILING.MATH('Rates from Ireland Fedex Priort'!J147,1)+IF($A148="EU",Variables!$B$6,Variables!$B$3),'Rates from Ireland Fedex Priort'!J147)</f>
        <v>No service</v>
      </c>
      <c r="K148" s="10" t="str">
        <f>IF(ISNUMBER('Rates from Ireland Fedex Priort'!K147),_xlfn.CEILING.MATH('Rates from Ireland Fedex Priort'!K147,1)+IF($A148="EU",Variables!$B$6,Variables!$B$3),'Rates from Ireland Fedex Priort'!K147)</f>
        <v>No service</v>
      </c>
      <c r="L148" s="10" t="str">
        <f>IF(ISNUMBER('Rates from Ireland Fedex Priort'!L147),_xlfn.CEILING.MATH('Rates from Ireland Fedex Priort'!L147,1)+IF($A148="EU",Variables!$B$6,Variables!$B$3),'Rates from Ireland Fedex Priort'!L147)</f>
        <v>No service</v>
      </c>
      <c r="M148" s="10" t="str">
        <f>IF(ISNUMBER('Rates from Ireland Fedex Priort'!M147),_xlfn.CEILING.MATH('Rates from Ireland Fedex Priort'!M147,1)+IF($A148="EU",Variables!$B$6,Variables!$B$3),'Rates from Ireland Fedex Priort'!M147)</f>
        <v>No service</v>
      </c>
      <c r="N148" s="10" t="str">
        <f>IF(ISNUMBER('Rates from Ireland Fedex Priort'!N147),_xlfn.CEILING.MATH('Rates from Ireland Fedex Priort'!N147,1)+IF($A148="EU",Variables!$B$6,Variables!$B$3),'Rates from Ireland Fedex Priort'!N147)</f>
        <v>No service</v>
      </c>
      <c r="O148" s="11" t="s">
        <v>41</v>
      </c>
      <c r="P148" s="11" t="s">
        <v>23</v>
      </c>
      <c r="Q148" s="12">
        <v>80</v>
      </c>
      <c r="R148" s="11" t="s">
        <v>25</v>
      </c>
      <c r="S148" s="3" t="s">
        <v>26</v>
      </c>
      <c r="T148" s="38" t="s">
        <v>27</v>
      </c>
    </row>
    <row r="149" spans="1:20" ht="15.75" customHeight="1" x14ac:dyDescent="0.3">
      <c r="A149" s="39" t="str">
        <f>IF('Rates from Ireland Fedex Priort'!A148="","",'Rates from Ireland Fedex Priort'!A148)</f>
        <v>EU</v>
      </c>
      <c r="B149" s="8" t="str">
        <f>IF('Rates from Ireland Fedex Priort'!B148="","",'Rates from Ireland Fedex Priort'!B148)</f>
        <v>Ireland</v>
      </c>
      <c r="C149" s="9" t="str">
        <f>IF('Rates from Ireland Fedex Priort'!C148="","",'Rates from Ireland Fedex Priort'!C148)</f>
        <v>Morocco</v>
      </c>
      <c r="D149" s="10">
        <f>IF(ISNUMBER('Rates from Ireland Fedex Priort'!D148),_xlfn.CEILING.MATH('Rates from Ireland Fedex Priort'!D148,1)+IF($A149="EU",Variables!$B$5,Variables!$B$2),'Rates from Ireland Fedex Priort'!D148)</f>
        <v>62</v>
      </c>
      <c r="E149" s="10">
        <f>IF(ISNUMBER('Rates from Ireland Fedex Priort'!E148),_xlfn.CEILING.MATH('Rates from Ireland Fedex Priort'!E148,1)+IF($A149="EU",Variables!$B$6,Variables!$B$3),'Rates from Ireland Fedex Priort'!E148)</f>
        <v>69</v>
      </c>
      <c r="F149" s="10">
        <f>IF(ISNUMBER('Rates from Ireland Fedex Priort'!F148),_xlfn.CEILING.MATH('Rates from Ireland Fedex Priort'!F148,1)+IF($A149="EU",Variables!$B$6,Variables!$B$3),'Rates from Ireland Fedex Priort'!F148)</f>
        <v>72</v>
      </c>
      <c r="G149" s="10">
        <f>IF(ISNUMBER('Rates from Ireland Fedex Priort'!G148),_xlfn.CEILING.MATH('Rates from Ireland Fedex Priort'!G148,1)+IF($A149="EU",Variables!$B$6,Variables!$B$3),'Rates from Ireland Fedex Priort'!G148)</f>
        <v>86</v>
      </c>
      <c r="H149" s="10">
        <f>IF(ISNUMBER('Rates from Ireland Fedex Priort'!H148),_xlfn.CEILING.MATH('Rates from Ireland Fedex Priort'!H148,1)+IF($A149="EU",Variables!$B$6,Variables!$B$3),'Rates from Ireland Fedex Priort'!H148)</f>
        <v>111</v>
      </c>
      <c r="I149" s="10">
        <f>IF(ISNUMBER('Rates from Ireland Fedex Priort'!I148),_xlfn.CEILING.MATH('Rates from Ireland Fedex Priort'!I148,1)+IF($A149="EU",Variables!$B$6,Variables!$B$3),'Rates from Ireland Fedex Priort'!I148)</f>
        <v>174</v>
      </c>
      <c r="J149" s="10" t="str">
        <f>IF(ISNUMBER('Rates from Ireland Fedex Priort'!J148),_xlfn.CEILING.MATH('Rates from Ireland Fedex Priort'!J148,1)+IF($A149="EU",Variables!$B$6,Variables!$B$3),'Rates from Ireland Fedex Priort'!J148)</f>
        <v>No service</v>
      </c>
      <c r="K149" s="10" t="str">
        <f>IF(ISNUMBER('Rates from Ireland Fedex Priort'!K148),_xlfn.CEILING.MATH('Rates from Ireland Fedex Priort'!K148,1)+IF($A149="EU",Variables!$B$6,Variables!$B$3),'Rates from Ireland Fedex Priort'!K148)</f>
        <v>No service</v>
      </c>
      <c r="L149" s="10" t="str">
        <f>IF(ISNUMBER('Rates from Ireland Fedex Priort'!L148),_xlfn.CEILING.MATH('Rates from Ireland Fedex Priort'!L148,1)+IF($A149="EU",Variables!$B$6,Variables!$B$3),'Rates from Ireland Fedex Priort'!L148)</f>
        <v>No service</v>
      </c>
      <c r="M149" s="10" t="str">
        <f>IF(ISNUMBER('Rates from Ireland Fedex Priort'!M148),_xlfn.CEILING.MATH('Rates from Ireland Fedex Priort'!M148,1)+IF($A149="EU",Variables!$B$6,Variables!$B$3),'Rates from Ireland Fedex Priort'!M148)</f>
        <v>No service</v>
      </c>
      <c r="N149" s="10" t="str">
        <f>IF(ISNUMBER('Rates from Ireland Fedex Priort'!N148),_xlfn.CEILING.MATH('Rates from Ireland Fedex Priort'!N148,1)+IF($A149="EU",Variables!$B$6,Variables!$B$3),'Rates from Ireland Fedex Priort'!N148)</f>
        <v>No service</v>
      </c>
      <c r="O149" s="11" t="s">
        <v>29</v>
      </c>
      <c r="P149" s="11" t="s">
        <v>30</v>
      </c>
      <c r="Q149" s="12">
        <v>80</v>
      </c>
      <c r="R149" s="11" t="s">
        <v>25</v>
      </c>
      <c r="S149" s="3" t="s">
        <v>26</v>
      </c>
      <c r="T149" s="38" t="s">
        <v>27</v>
      </c>
    </row>
    <row r="150" spans="1:20" ht="15.75" customHeight="1" x14ac:dyDescent="0.3">
      <c r="A150" s="39" t="str">
        <f>IF('Rates from Ireland Fedex Priort'!A149="","",'Rates from Ireland Fedex Priort'!A149)</f>
        <v>EU</v>
      </c>
      <c r="B150" s="8" t="str">
        <f>IF('Rates from Ireland Fedex Priort'!B149="","",'Rates from Ireland Fedex Priort'!B149)</f>
        <v>Ireland</v>
      </c>
      <c r="C150" s="9" t="str">
        <f>IF('Rates from Ireland Fedex Priort'!C149="","",'Rates from Ireland Fedex Priort'!C149)</f>
        <v>Mozambique</v>
      </c>
      <c r="D150" s="10">
        <f>IF(ISNUMBER('Rates from Ireland Fedex Priort'!D149),_xlfn.CEILING.MATH('Rates from Ireland Fedex Priort'!D149,1)+IF($A150="EU",Variables!$B$5,Variables!$B$2),'Rates from Ireland Fedex Priort'!D149)</f>
        <v>72</v>
      </c>
      <c r="E150" s="10">
        <f>IF(ISNUMBER('Rates from Ireland Fedex Priort'!E149),_xlfn.CEILING.MATH('Rates from Ireland Fedex Priort'!E149,1)+IF($A150="EU",Variables!$B$6,Variables!$B$3),'Rates from Ireland Fedex Priort'!E149)</f>
        <v>83</v>
      </c>
      <c r="F150" s="10">
        <f>IF(ISNUMBER('Rates from Ireland Fedex Priort'!F149),_xlfn.CEILING.MATH('Rates from Ireland Fedex Priort'!F149,1)+IF($A150="EU",Variables!$B$6,Variables!$B$3),'Rates from Ireland Fedex Priort'!F149)</f>
        <v>88</v>
      </c>
      <c r="G150" s="10">
        <f>IF(ISNUMBER('Rates from Ireland Fedex Priort'!G149),_xlfn.CEILING.MATH('Rates from Ireland Fedex Priort'!G149,1)+IF($A150="EU",Variables!$B$6,Variables!$B$3),'Rates from Ireland Fedex Priort'!G149)</f>
        <v>106</v>
      </c>
      <c r="H150" s="10">
        <f>IF(ISNUMBER('Rates from Ireland Fedex Priort'!H149),_xlfn.CEILING.MATH('Rates from Ireland Fedex Priort'!H149,1)+IF($A150="EU",Variables!$B$6,Variables!$B$3),'Rates from Ireland Fedex Priort'!H149)</f>
        <v>134</v>
      </c>
      <c r="I150" s="10">
        <f>IF(ISNUMBER('Rates from Ireland Fedex Priort'!I149),_xlfn.CEILING.MATH('Rates from Ireland Fedex Priort'!I149,1)+IF($A150="EU",Variables!$B$6,Variables!$B$3),'Rates from Ireland Fedex Priort'!I149)</f>
        <v>242</v>
      </c>
      <c r="J150" s="10" t="str">
        <f>IF(ISNUMBER('Rates from Ireland Fedex Priort'!J149),_xlfn.CEILING.MATH('Rates from Ireland Fedex Priort'!J149,1)+IF($A150="EU",Variables!$B$6,Variables!$B$3),'Rates from Ireland Fedex Priort'!J149)</f>
        <v>No service</v>
      </c>
      <c r="K150" s="10" t="str">
        <f>IF(ISNUMBER('Rates from Ireland Fedex Priort'!K149),_xlfn.CEILING.MATH('Rates from Ireland Fedex Priort'!K149,1)+IF($A150="EU",Variables!$B$6,Variables!$B$3),'Rates from Ireland Fedex Priort'!K149)</f>
        <v>No service</v>
      </c>
      <c r="L150" s="10" t="str">
        <f>IF(ISNUMBER('Rates from Ireland Fedex Priort'!L149),_xlfn.CEILING.MATH('Rates from Ireland Fedex Priort'!L149,1)+IF($A150="EU",Variables!$B$6,Variables!$B$3),'Rates from Ireland Fedex Priort'!L149)</f>
        <v>No service</v>
      </c>
      <c r="M150" s="10" t="str">
        <f>IF(ISNUMBER('Rates from Ireland Fedex Priort'!M149),_xlfn.CEILING.MATH('Rates from Ireland Fedex Priort'!M149,1)+IF($A150="EU",Variables!$B$6,Variables!$B$3),'Rates from Ireland Fedex Priort'!M149)</f>
        <v>No service</v>
      </c>
      <c r="N150" s="10" t="str">
        <f>IF(ISNUMBER('Rates from Ireland Fedex Priort'!N149),_xlfn.CEILING.MATH('Rates from Ireland Fedex Priort'!N149,1)+IF($A150="EU",Variables!$B$6,Variables!$B$3),'Rates from Ireland Fedex Priort'!N149)</f>
        <v>No service</v>
      </c>
      <c r="O150" s="11" t="s">
        <v>35</v>
      </c>
      <c r="P150" s="11" t="s">
        <v>36</v>
      </c>
      <c r="Q150" s="12">
        <v>80</v>
      </c>
      <c r="R150" s="11" t="s">
        <v>25</v>
      </c>
      <c r="S150" s="3" t="s">
        <v>26</v>
      </c>
      <c r="T150" s="38" t="s">
        <v>27</v>
      </c>
    </row>
    <row r="151" spans="1:20" ht="15.75" customHeight="1" x14ac:dyDescent="0.3">
      <c r="A151" s="39" t="str">
        <f>IF('Rates from Ireland Fedex Priort'!A150="","",'Rates from Ireland Fedex Priort'!A150)</f>
        <v>EU</v>
      </c>
      <c r="B151" s="8" t="str">
        <f>IF('Rates from Ireland Fedex Priort'!B150="","",'Rates from Ireland Fedex Priort'!B150)</f>
        <v>Ireland</v>
      </c>
      <c r="C151" s="9" t="str">
        <f>IF('Rates from Ireland Fedex Priort'!C150="","",'Rates from Ireland Fedex Priort'!C150)</f>
        <v>Myanmar</v>
      </c>
      <c r="D151" s="10" t="str">
        <f>IF(ISNUMBER('Rates from Ireland Fedex Priort'!D150),_xlfn.CEILING.MATH('Rates from Ireland Fedex Priort'!D150,1)+IF($A151="EU",Variables!$B$5,Variables!$B$2),'Rates from Ireland Fedex Priort'!D150)</f>
        <v>No service</v>
      </c>
      <c r="E151" s="10" t="str">
        <f>IF(ISNUMBER('Rates from Ireland Fedex Priort'!E150),_xlfn.CEILING.MATH('Rates from Ireland Fedex Priort'!E150,1)+IF($A151="EU",Variables!$B$6,Variables!$B$3),'Rates from Ireland Fedex Priort'!E150)</f>
        <v>No service</v>
      </c>
      <c r="F151" s="10" t="str">
        <f>IF(ISNUMBER('Rates from Ireland Fedex Priort'!F150),_xlfn.CEILING.MATH('Rates from Ireland Fedex Priort'!F150,1)+IF($A151="EU",Variables!$B$6,Variables!$B$3),'Rates from Ireland Fedex Priort'!F150)</f>
        <v>No service</v>
      </c>
      <c r="G151" s="10" t="str">
        <f>IF(ISNUMBER('Rates from Ireland Fedex Priort'!G150),_xlfn.CEILING.MATH('Rates from Ireland Fedex Priort'!G150,1)+IF($A151="EU",Variables!$B$6,Variables!$B$3),'Rates from Ireland Fedex Priort'!G150)</f>
        <v>No service</v>
      </c>
      <c r="H151" s="10" t="str">
        <f>IF(ISNUMBER('Rates from Ireland Fedex Priort'!H150),_xlfn.CEILING.MATH('Rates from Ireland Fedex Priort'!H150,1)+IF($A151="EU",Variables!$B$6,Variables!$B$3),'Rates from Ireland Fedex Priort'!H150)</f>
        <v>No service</v>
      </c>
      <c r="I151" s="10" t="str">
        <f>IF(ISNUMBER('Rates from Ireland Fedex Priort'!I150),_xlfn.CEILING.MATH('Rates from Ireland Fedex Priort'!I150,1)+IF($A151="EU",Variables!$B$6,Variables!$B$3),'Rates from Ireland Fedex Priort'!I150)</f>
        <v>No service</v>
      </c>
      <c r="J151" s="10" t="str">
        <f>IF(ISNUMBER('Rates from Ireland Fedex Priort'!J150),_xlfn.CEILING.MATH('Rates from Ireland Fedex Priort'!J150,1)+IF($A151="EU",Variables!$B$6,Variables!$B$3),'Rates from Ireland Fedex Priort'!J150)</f>
        <v>No service</v>
      </c>
      <c r="K151" s="10" t="str">
        <f>IF(ISNUMBER('Rates from Ireland Fedex Priort'!K150),_xlfn.CEILING.MATH('Rates from Ireland Fedex Priort'!K150,1)+IF($A151="EU",Variables!$B$6,Variables!$B$3),'Rates from Ireland Fedex Priort'!K150)</f>
        <v>No service</v>
      </c>
      <c r="L151" s="10" t="str">
        <f>IF(ISNUMBER('Rates from Ireland Fedex Priort'!L150),_xlfn.CEILING.MATH('Rates from Ireland Fedex Priort'!L150,1)+IF($A151="EU",Variables!$B$6,Variables!$B$3),'Rates from Ireland Fedex Priort'!L150)</f>
        <v>No service</v>
      </c>
      <c r="M151" s="10" t="str">
        <f>IF(ISNUMBER('Rates from Ireland Fedex Priort'!M150),_xlfn.CEILING.MATH('Rates from Ireland Fedex Priort'!M150,1)+IF($A151="EU",Variables!$B$6,Variables!$B$3),'Rates from Ireland Fedex Priort'!M150)</f>
        <v>No service</v>
      </c>
      <c r="N151" s="10" t="str">
        <f>IF(ISNUMBER('Rates from Ireland Fedex Priort'!N150),_xlfn.CEILING.MATH('Rates from Ireland Fedex Priort'!N150,1)+IF($A151="EU",Variables!$B$6,Variables!$B$3),'Rates from Ireland Fedex Priort'!N150)</f>
        <v>No service</v>
      </c>
      <c r="O151" s="11"/>
      <c r="P151" s="11"/>
      <c r="Q151" s="11"/>
      <c r="R151" s="11"/>
      <c r="S151" s="3" t="s">
        <v>26</v>
      </c>
      <c r="T151" s="38" t="s">
        <v>27</v>
      </c>
    </row>
    <row r="152" spans="1:20" ht="15.75" customHeight="1" x14ac:dyDescent="0.3">
      <c r="A152" s="39" t="str">
        <f>IF('Rates from Ireland Fedex Priort'!A151="","",'Rates from Ireland Fedex Priort'!A151)</f>
        <v>EU</v>
      </c>
      <c r="B152" s="8" t="str">
        <f>IF('Rates from Ireland Fedex Priort'!B151="","",'Rates from Ireland Fedex Priort'!B151)</f>
        <v>Ireland</v>
      </c>
      <c r="C152" s="9" t="str">
        <f>IF('Rates from Ireland Fedex Priort'!C151="","",'Rates from Ireland Fedex Priort'!C151)</f>
        <v>Namibia</v>
      </c>
      <c r="D152" s="10">
        <f>IF(ISNUMBER('Rates from Ireland Fedex Priort'!D151),_xlfn.CEILING.MATH('Rates from Ireland Fedex Priort'!D151,1)+IF($A152="EU",Variables!$B$5,Variables!$B$2),'Rates from Ireland Fedex Priort'!D151)</f>
        <v>72</v>
      </c>
      <c r="E152" s="10">
        <f>IF(ISNUMBER('Rates from Ireland Fedex Priort'!E151),_xlfn.CEILING.MATH('Rates from Ireland Fedex Priort'!E151,1)+IF($A152="EU",Variables!$B$6,Variables!$B$3),'Rates from Ireland Fedex Priort'!E151)</f>
        <v>83</v>
      </c>
      <c r="F152" s="10">
        <f>IF(ISNUMBER('Rates from Ireland Fedex Priort'!F151),_xlfn.CEILING.MATH('Rates from Ireland Fedex Priort'!F151,1)+IF($A152="EU",Variables!$B$6,Variables!$B$3),'Rates from Ireland Fedex Priort'!F151)</f>
        <v>88</v>
      </c>
      <c r="G152" s="10">
        <f>IF(ISNUMBER('Rates from Ireland Fedex Priort'!G151),_xlfn.CEILING.MATH('Rates from Ireland Fedex Priort'!G151,1)+IF($A152="EU",Variables!$B$6,Variables!$B$3),'Rates from Ireland Fedex Priort'!G151)</f>
        <v>106</v>
      </c>
      <c r="H152" s="10">
        <f>IF(ISNUMBER('Rates from Ireland Fedex Priort'!H151),_xlfn.CEILING.MATH('Rates from Ireland Fedex Priort'!H151,1)+IF($A152="EU",Variables!$B$6,Variables!$B$3),'Rates from Ireland Fedex Priort'!H151)</f>
        <v>134</v>
      </c>
      <c r="I152" s="10">
        <f>IF(ISNUMBER('Rates from Ireland Fedex Priort'!I151),_xlfn.CEILING.MATH('Rates from Ireland Fedex Priort'!I151,1)+IF($A152="EU",Variables!$B$6,Variables!$B$3),'Rates from Ireland Fedex Priort'!I151)</f>
        <v>242</v>
      </c>
      <c r="J152" s="10" t="str">
        <f>IF(ISNUMBER('Rates from Ireland Fedex Priort'!J151),_xlfn.CEILING.MATH('Rates from Ireland Fedex Priort'!J151,1)+IF($A152="EU",Variables!$B$6,Variables!$B$3),'Rates from Ireland Fedex Priort'!J151)</f>
        <v>No service</v>
      </c>
      <c r="K152" s="10" t="str">
        <f>IF(ISNUMBER('Rates from Ireland Fedex Priort'!K151),_xlfn.CEILING.MATH('Rates from Ireland Fedex Priort'!K151,1)+IF($A152="EU",Variables!$B$6,Variables!$B$3),'Rates from Ireland Fedex Priort'!K151)</f>
        <v>No service</v>
      </c>
      <c r="L152" s="10" t="str">
        <f>IF(ISNUMBER('Rates from Ireland Fedex Priort'!L151),_xlfn.CEILING.MATH('Rates from Ireland Fedex Priort'!L151,1)+IF($A152="EU",Variables!$B$6,Variables!$B$3),'Rates from Ireland Fedex Priort'!L151)</f>
        <v>No service</v>
      </c>
      <c r="M152" s="10" t="str">
        <f>IF(ISNUMBER('Rates from Ireland Fedex Priort'!M151),_xlfn.CEILING.MATH('Rates from Ireland Fedex Priort'!M151,1)+IF($A152="EU",Variables!$B$6,Variables!$B$3),'Rates from Ireland Fedex Priort'!M151)</f>
        <v>No service</v>
      </c>
      <c r="N152" s="10" t="str">
        <f>IF(ISNUMBER('Rates from Ireland Fedex Priort'!N151),_xlfn.CEILING.MATH('Rates from Ireland Fedex Priort'!N151,1)+IF($A152="EU",Variables!$B$6,Variables!$B$3),'Rates from Ireland Fedex Priort'!N151)</f>
        <v>No service</v>
      </c>
      <c r="O152" s="11" t="s">
        <v>35</v>
      </c>
      <c r="P152" s="11" t="s">
        <v>36</v>
      </c>
      <c r="Q152" s="12">
        <v>80</v>
      </c>
      <c r="R152" s="11" t="s">
        <v>25</v>
      </c>
      <c r="S152" s="3" t="s">
        <v>26</v>
      </c>
      <c r="T152" s="38" t="s">
        <v>27</v>
      </c>
    </row>
    <row r="153" spans="1:20" ht="15.75" customHeight="1" x14ac:dyDescent="0.3">
      <c r="A153" s="39" t="str">
        <f>IF('Rates from Ireland Fedex Priort'!A152="","",'Rates from Ireland Fedex Priort'!A152)</f>
        <v>EU</v>
      </c>
      <c r="B153" s="8" t="str">
        <f>IF('Rates from Ireland Fedex Priort'!B152="","",'Rates from Ireland Fedex Priort'!B152)</f>
        <v>Ireland</v>
      </c>
      <c r="C153" s="9" t="str">
        <f>IF('Rates from Ireland Fedex Priort'!C152="","",'Rates from Ireland Fedex Priort'!C152)</f>
        <v>Nauru</v>
      </c>
      <c r="D153" s="10" t="str">
        <f>IF(ISNUMBER('Rates from Ireland Fedex Priort'!D152),_xlfn.CEILING.MATH('Rates from Ireland Fedex Priort'!D152,1)+IF($A153="EU",Variables!$B$5,Variables!$B$2),'Rates from Ireland Fedex Priort'!D152)</f>
        <v>No service</v>
      </c>
      <c r="E153" s="10" t="str">
        <f>IF(ISNUMBER('Rates from Ireland Fedex Priort'!E152),_xlfn.CEILING.MATH('Rates from Ireland Fedex Priort'!E152,1)+IF($A153="EU",Variables!$B$6,Variables!$B$3),'Rates from Ireland Fedex Priort'!E152)</f>
        <v>No service</v>
      </c>
      <c r="F153" s="10" t="str">
        <f>IF(ISNUMBER('Rates from Ireland Fedex Priort'!F152),_xlfn.CEILING.MATH('Rates from Ireland Fedex Priort'!F152,1)+IF($A153="EU",Variables!$B$6,Variables!$B$3),'Rates from Ireland Fedex Priort'!F152)</f>
        <v>No service</v>
      </c>
      <c r="G153" s="10" t="str">
        <f>IF(ISNUMBER('Rates from Ireland Fedex Priort'!G152),_xlfn.CEILING.MATH('Rates from Ireland Fedex Priort'!G152,1)+IF($A153="EU",Variables!$B$6,Variables!$B$3),'Rates from Ireland Fedex Priort'!G152)</f>
        <v>No service</v>
      </c>
      <c r="H153" s="10" t="str">
        <f>IF(ISNUMBER('Rates from Ireland Fedex Priort'!H152),_xlfn.CEILING.MATH('Rates from Ireland Fedex Priort'!H152,1)+IF($A153="EU",Variables!$B$6,Variables!$B$3),'Rates from Ireland Fedex Priort'!H152)</f>
        <v>No service</v>
      </c>
      <c r="I153" s="10" t="str">
        <f>IF(ISNUMBER('Rates from Ireland Fedex Priort'!I152),_xlfn.CEILING.MATH('Rates from Ireland Fedex Priort'!I152,1)+IF($A153="EU",Variables!$B$6,Variables!$B$3),'Rates from Ireland Fedex Priort'!I152)</f>
        <v>No service</v>
      </c>
      <c r="J153" s="10" t="str">
        <f>IF(ISNUMBER('Rates from Ireland Fedex Priort'!J152),_xlfn.CEILING.MATH('Rates from Ireland Fedex Priort'!J152,1)+IF($A153="EU",Variables!$B$6,Variables!$B$3),'Rates from Ireland Fedex Priort'!J152)</f>
        <v>No service</v>
      </c>
      <c r="K153" s="10" t="str">
        <f>IF(ISNUMBER('Rates from Ireland Fedex Priort'!K152),_xlfn.CEILING.MATH('Rates from Ireland Fedex Priort'!K152,1)+IF($A153="EU",Variables!$B$6,Variables!$B$3),'Rates from Ireland Fedex Priort'!K152)</f>
        <v>No service</v>
      </c>
      <c r="L153" s="10" t="str">
        <f>IF(ISNUMBER('Rates from Ireland Fedex Priort'!L152),_xlfn.CEILING.MATH('Rates from Ireland Fedex Priort'!L152,1)+IF($A153="EU",Variables!$B$6,Variables!$B$3),'Rates from Ireland Fedex Priort'!L152)</f>
        <v>No service</v>
      </c>
      <c r="M153" s="10" t="str">
        <f>IF(ISNUMBER('Rates from Ireland Fedex Priort'!M152),_xlfn.CEILING.MATH('Rates from Ireland Fedex Priort'!M152,1)+IF($A153="EU",Variables!$B$6,Variables!$B$3),'Rates from Ireland Fedex Priort'!M152)</f>
        <v>No service</v>
      </c>
      <c r="N153" s="10" t="str">
        <f>IF(ISNUMBER('Rates from Ireland Fedex Priort'!N152),_xlfn.CEILING.MATH('Rates from Ireland Fedex Priort'!N152,1)+IF($A153="EU",Variables!$B$6,Variables!$B$3),'Rates from Ireland Fedex Priort'!N152)</f>
        <v>No service</v>
      </c>
      <c r="O153" s="11"/>
      <c r="P153" s="11"/>
      <c r="Q153" s="11"/>
      <c r="R153" s="11"/>
      <c r="S153" s="3" t="s">
        <v>26</v>
      </c>
      <c r="T153" s="38" t="s">
        <v>27</v>
      </c>
    </row>
    <row r="154" spans="1:20" ht="15.75" customHeight="1" x14ac:dyDescent="0.3">
      <c r="A154" s="39" t="str">
        <f>IF('Rates from Ireland Fedex Priort'!A153="","",'Rates from Ireland Fedex Priort'!A153)</f>
        <v>EU</v>
      </c>
      <c r="B154" s="8" t="str">
        <f>IF('Rates from Ireland Fedex Priort'!B153="","",'Rates from Ireland Fedex Priort'!B153)</f>
        <v>Ireland</v>
      </c>
      <c r="C154" s="9" t="str">
        <f>IF('Rates from Ireland Fedex Priort'!C153="","",'Rates from Ireland Fedex Priort'!C153)</f>
        <v>Nepal</v>
      </c>
      <c r="D154" s="10">
        <f>IF(ISNUMBER('Rates from Ireland Fedex Priort'!D153),_xlfn.CEILING.MATH('Rates from Ireland Fedex Priort'!D153,1)+IF($A154="EU",Variables!$B$5,Variables!$B$2),'Rates from Ireland Fedex Priort'!D153)</f>
        <v>62</v>
      </c>
      <c r="E154" s="10">
        <f>IF(ISNUMBER('Rates from Ireland Fedex Priort'!E153),_xlfn.CEILING.MATH('Rates from Ireland Fedex Priort'!E153,1)+IF($A154="EU",Variables!$B$6,Variables!$B$3),'Rates from Ireland Fedex Priort'!E153)</f>
        <v>69</v>
      </c>
      <c r="F154" s="10">
        <f>IF(ISNUMBER('Rates from Ireland Fedex Priort'!F153),_xlfn.CEILING.MATH('Rates from Ireland Fedex Priort'!F153,1)+IF($A154="EU",Variables!$B$6,Variables!$B$3),'Rates from Ireland Fedex Priort'!F153)</f>
        <v>72</v>
      </c>
      <c r="G154" s="10">
        <f>IF(ISNUMBER('Rates from Ireland Fedex Priort'!G153),_xlfn.CEILING.MATH('Rates from Ireland Fedex Priort'!G153,1)+IF($A154="EU",Variables!$B$6,Variables!$B$3),'Rates from Ireland Fedex Priort'!G153)</f>
        <v>86</v>
      </c>
      <c r="H154" s="10">
        <f>IF(ISNUMBER('Rates from Ireland Fedex Priort'!H153),_xlfn.CEILING.MATH('Rates from Ireland Fedex Priort'!H153,1)+IF($A154="EU",Variables!$B$6,Variables!$B$3),'Rates from Ireland Fedex Priort'!H153)</f>
        <v>111</v>
      </c>
      <c r="I154" s="10">
        <f>IF(ISNUMBER('Rates from Ireland Fedex Priort'!I153),_xlfn.CEILING.MATH('Rates from Ireland Fedex Priort'!I153,1)+IF($A154="EU",Variables!$B$6,Variables!$B$3),'Rates from Ireland Fedex Priort'!I153)</f>
        <v>174</v>
      </c>
      <c r="J154" s="10" t="str">
        <f>IF(ISNUMBER('Rates from Ireland Fedex Priort'!J153),_xlfn.CEILING.MATH('Rates from Ireland Fedex Priort'!J153,1)+IF($A154="EU",Variables!$B$6,Variables!$B$3),'Rates from Ireland Fedex Priort'!J153)</f>
        <v>No service</v>
      </c>
      <c r="K154" s="10" t="str">
        <f>IF(ISNUMBER('Rates from Ireland Fedex Priort'!K153),_xlfn.CEILING.MATH('Rates from Ireland Fedex Priort'!K153,1)+IF($A154="EU",Variables!$B$6,Variables!$B$3),'Rates from Ireland Fedex Priort'!K153)</f>
        <v>No service</v>
      </c>
      <c r="L154" s="10" t="str">
        <f>IF(ISNUMBER('Rates from Ireland Fedex Priort'!L153),_xlfn.CEILING.MATH('Rates from Ireland Fedex Priort'!L153,1)+IF($A154="EU",Variables!$B$6,Variables!$B$3),'Rates from Ireland Fedex Priort'!L153)</f>
        <v>No service</v>
      </c>
      <c r="M154" s="10" t="str">
        <f>IF(ISNUMBER('Rates from Ireland Fedex Priort'!M153),_xlfn.CEILING.MATH('Rates from Ireland Fedex Priort'!M153,1)+IF($A154="EU",Variables!$B$6,Variables!$B$3),'Rates from Ireland Fedex Priort'!M153)</f>
        <v>No service</v>
      </c>
      <c r="N154" s="10" t="str">
        <f>IF(ISNUMBER('Rates from Ireland Fedex Priort'!N153),_xlfn.CEILING.MATH('Rates from Ireland Fedex Priort'!N153,1)+IF($A154="EU",Variables!$B$6,Variables!$B$3),'Rates from Ireland Fedex Priort'!N153)</f>
        <v>No service</v>
      </c>
      <c r="O154" s="11" t="s">
        <v>29</v>
      </c>
      <c r="P154" s="11" t="s">
        <v>30</v>
      </c>
      <c r="Q154" s="12">
        <v>80</v>
      </c>
      <c r="R154" s="11" t="s">
        <v>25</v>
      </c>
      <c r="S154" s="3" t="s">
        <v>26</v>
      </c>
      <c r="T154" s="38" t="s">
        <v>27</v>
      </c>
    </row>
    <row r="155" spans="1:20" ht="15.75" customHeight="1" x14ac:dyDescent="0.3">
      <c r="A155" s="39" t="str">
        <f>IF('Rates from Ireland Fedex Priort'!A154="","",'Rates from Ireland Fedex Priort'!A154)</f>
        <v>EU</v>
      </c>
      <c r="B155" s="8" t="str">
        <f>IF('Rates from Ireland Fedex Priort'!B154="","",'Rates from Ireland Fedex Priort'!B154)</f>
        <v>Ireland</v>
      </c>
      <c r="C155" s="9" t="str">
        <f>IF('Rates from Ireland Fedex Priort'!C154="","",'Rates from Ireland Fedex Priort'!C154)</f>
        <v>Netherlands</v>
      </c>
      <c r="D155" s="10">
        <f>IF(ISNUMBER('Rates from Ireland Fedex Priort'!D154),_xlfn.CEILING.MATH('Rates from Ireland Fedex Priort'!D154,1)+IF($A155="EU",Variables!$B$5,Variables!$B$2),'Rates from Ireland Fedex Priort'!D154)</f>
        <v>62</v>
      </c>
      <c r="E155" s="10">
        <f>IF(ISNUMBER('Rates from Ireland Fedex Priort'!E154),_xlfn.CEILING.MATH('Rates from Ireland Fedex Priort'!E154,1)+IF($A155="EU",Variables!$B$6,Variables!$B$3),'Rates from Ireland Fedex Priort'!E154)</f>
        <v>64</v>
      </c>
      <c r="F155" s="10">
        <f>IF(ISNUMBER('Rates from Ireland Fedex Priort'!F154),_xlfn.CEILING.MATH('Rates from Ireland Fedex Priort'!F154,1)+IF($A155="EU",Variables!$B$6,Variables!$B$3),'Rates from Ireland Fedex Priort'!F154)</f>
        <v>67</v>
      </c>
      <c r="G155" s="10">
        <f>IF(ISNUMBER('Rates from Ireland Fedex Priort'!G154),_xlfn.CEILING.MATH('Rates from Ireland Fedex Priort'!G154,1)+IF($A155="EU",Variables!$B$6,Variables!$B$3),'Rates from Ireland Fedex Priort'!G154)</f>
        <v>69</v>
      </c>
      <c r="H155" s="10">
        <f>IF(ISNUMBER('Rates from Ireland Fedex Priort'!H154),_xlfn.CEILING.MATH('Rates from Ireland Fedex Priort'!H154,1)+IF($A155="EU",Variables!$B$6,Variables!$B$3),'Rates from Ireland Fedex Priort'!H154)</f>
        <v>72</v>
      </c>
      <c r="I155" s="10">
        <f>IF(ISNUMBER('Rates from Ireland Fedex Priort'!I154),_xlfn.CEILING.MATH('Rates from Ireland Fedex Priort'!I154,1)+IF($A155="EU",Variables!$B$6,Variables!$B$3),'Rates from Ireland Fedex Priort'!I154)</f>
        <v>77</v>
      </c>
      <c r="J155" s="10">
        <f>IF(ISNUMBER('Rates from Ireland Fedex Priort'!J154),_xlfn.CEILING.MATH('Rates from Ireland Fedex Priort'!J154,1)+IF($A155="EU",Variables!$B$6,Variables!$B$3),'Rates from Ireland Fedex Priort'!J154)</f>
        <v>85</v>
      </c>
      <c r="K155" s="10">
        <f>IF(ISNUMBER('Rates from Ireland Fedex Priort'!K154),_xlfn.CEILING.MATH('Rates from Ireland Fedex Priort'!K154,1)+IF($A155="EU",Variables!$B$6,Variables!$B$3),'Rates from Ireland Fedex Priort'!K154)</f>
        <v>92</v>
      </c>
      <c r="L155" s="10">
        <f>IF(ISNUMBER('Rates from Ireland Fedex Priort'!L154),_xlfn.CEILING.MATH('Rates from Ireland Fedex Priort'!L154,1)+IF($A155="EU",Variables!$B$6,Variables!$B$3),'Rates from Ireland Fedex Priort'!L154)</f>
        <v>119</v>
      </c>
      <c r="M155" s="10">
        <f>IF(ISNUMBER('Rates from Ireland Fedex Priort'!M154),_xlfn.CEILING.MATH('Rates from Ireland Fedex Priort'!M154,1)+IF($A155="EU",Variables!$B$6,Variables!$B$3),'Rates from Ireland Fedex Priort'!M154)</f>
        <v>127</v>
      </c>
      <c r="N155" s="10">
        <f>IF(ISNUMBER('Rates from Ireland Fedex Priort'!N154),_xlfn.CEILING.MATH('Rates from Ireland Fedex Priort'!N154,1)+IF($A155="EU",Variables!$B$6,Variables!$B$3),'Rates from Ireland Fedex Priort'!N154)</f>
        <v>132</v>
      </c>
      <c r="O155" s="15" t="s">
        <v>178</v>
      </c>
      <c r="P155" s="15" t="s">
        <v>201</v>
      </c>
      <c r="Q155" s="16">
        <v>80</v>
      </c>
      <c r="R155" s="15" t="s">
        <v>25</v>
      </c>
      <c r="S155" s="17" t="s">
        <v>26</v>
      </c>
      <c r="T155" s="40" t="s">
        <v>27</v>
      </c>
    </row>
    <row r="156" spans="1:20" ht="15.75" customHeight="1" x14ac:dyDescent="0.3">
      <c r="A156" s="39" t="str">
        <f>IF('Rates from Ireland Fedex Priort'!A155="","",'Rates from Ireland Fedex Priort'!A155)</f>
        <v>EU</v>
      </c>
      <c r="B156" s="8" t="str">
        <f>IF('Rates from Ireland Fedex Priort'!B155="","",'Rates from Ireland Fedex Priort'!B155)</f>
        <v>Ireland</v>
      </c>
      <c r="C156" s="9" t="str">
        <f>IF('Rates from Ireland Fedex Priort'!C155="","",'Rates from Ireland Fedex Priort'!C155)</f>
        <v>New Caledonia (France)</v>
      </c>
      <c r="D156" s="10">
        <f>IF(ISNUMBER('Rates from Ireland Fedex Priort'!D155),_xlfn.CEILING.MATH('Rates from Ireland Fedex Priort'!D155,1)+IF($A156="EU",Variables!$B$5,Variables!$B$2),'Rates from Ireland Fedex Priort'!D155)</f>
        <v>72</v>
      </c>
      <c r="E156" s="10">
        <f>IF(ISNUMBER('Rates from Ireland Fedex Priort'!E155),_xlfn.CEILING.MATH('Rates from Ireland Fedex Priort'!E155,1)+IF($A156="EU",Variables!$B$6,Variables!$B$3),'Rates from Ireland Fedex Priort'!E155)</f>
        <v>83</v>
      </c>
      <c r="F156" s="10">
        <f>IF(ISNUMBER('Rates from Ireland Fedex Priort'!F155),_xlfn.CEILING.MATH('Rates from Ireland Fedex Priort'!F155,1)+IF($A156="EU",Variables!$B$6,Variables!$B$3),'Rates from Ireland Fedex Priort'!F155)</f>
        <v>88</v>
      </c>
      <c r="G156" s="10">
        <f>IF(ISNUMBER('Rates from Ireland Fedex Priort'!G155),_xlfn.CEILING.MATH('Rates from Ireland Fedex Priort'!G155,1)+IF($A156="EU",Variables!$B$6,Variables!$B$3),'Rates from Ireland Fedex Priort'!G155)</f>
        <v>106</v>
      </c>
      <c r="H156" s="10">
        <f>IF(ISNUMBER('Rates from Ireland Fedex Priort'!H155),_xlfn.CEILING.MATH('Rates from Ireland Fedex Priort'!H155,1)+IF($A156="EU",Variables!$B$6,Variables!$B$3),'Rates from Ireland Fedex Priort'!H155)</f>
        <v>134</v>
      </c>
      <c r="I156" s="10">
        <f>IF(ISNUMBER('Rates from Ireland Fedex Priort'!I155),_xlfn.CEILING.MATH('Rates from Ireland Fedex Priort'!I155,1)+IF($A156="EU",Variables!$B$6,Variables!$B$3),'Rates from Ireland Fedex Priort'!I155)</f>
        <v>242</v>
      </c>
      <c r="J156" s="10" t="str">
        <f>IF(ISNUMBER('Rates from Ireland Fedex Priort'!J155),_xlfn.CEILING.MATH('Rates from Ireland Fedex Priort'!J155,1)+IF($A156="EU",Variables!$B$6,Variables!$B$3),'Rates from Ireland Fedex Priort'!J155)</f>
        <v>No service</v>
      </c>
      <c r="K156" s="10" t="str">
        <f>IF(ISNUMBER('Rates from Ireland Fedex Priort'!K155),_xlfn.CEILING.MATH('Rates from Ireland Fedex Priort'!K155,1)+IF($A156="EU",Variables!$B$6,Variables!$B$3),'Rates from Ireland Fedex Priort'!K155)</f>
        <v>No service</v>
      </c>
      <c r="L156" s="10" t="str">
        <f>IF(ISNUMBER('Rates from Ireland Fedex Priort'!L155),_xlfn.CEILING.MATH('Rates from Ireland Fedex Priort'!L155,1)+IF($A156="EU",Variables!$B$6,Variables!$B$3),'Rates from Ireland Fedex Priort'!L155)</f>
        <v>No service</v>
      </c>
      <c r="M156" s="10" t="str">
        <f>IF(ISNUMBER('Rates from Ireland Fedex Priort'!M155),_xlfn.CEILING.MATH('Rates from Ireland Fedex Priort'!M155,1)+IF($A156="EU",Variables!$B$6,Variables!$B$3),'Rates from Ireland Fedex Priort'!M155)</f>
        <v>No service</v>
      </c>
      <c r="N156" s="10" t="str">
        <f>IF(ISNUMBER('Rates from Ireland Fedex Priort'!N155),_xlfn.CEILING.MATH('Rates from Ireland Fedex Priort'!N155,1)+IF($A156="EU",Variables!$B$6,Variables!$B$3),'Rates from Ireland Fedex Priort'!N155)</f>
        <v>No service</v>
      </c>
      <c r="O156" s="11" t="s">
        <v>35</v>
      </c>
      <c r="P156" s="11" t="s">
        <v>36</v>
      </c>
      <c r="Q156" s="12">
        <v>80</v>
      </c>
      <c r="R156" s="11" t="s">
        <v>25</v>
      </c>
      <c r="S156" s="3" t="s">
        <v>26</v>
      </c>
      <c r="T156" s="38" t="s">
        <v>27</v>
      </c>
    </row>
    <row r="157" spans="1:20" ht="15.75" customHeight="1" x14ac:dyDescent="0.3">
      <c r="A157" s="39" t="str">
        <f>IF('Rates from Ireland Fedex Priort'!A156="","",'Rates from Ireland Fedex Priort'!A156)</f>
        <v>EU</v>
      </c>
      <c r="B157" s="8" t="str">
        <f>IF('Rates from Ireland Fedex Priort'!B156="","",'Rates from Ireland Fedex Priort'!B156)</f>
        <v>Ireland</v>
      </c>
      <c r="C157" s="9" t="str">
        <f>IF('Rates from Ireland Fedex Priort'!C156="","",'Rates from Ireland Fedex Priort'!C156)</f>
        <v>New Zealand</v>
      </c>
      <c r="D157" s="10">
        <f>IF(ISNUMBER('Rates from Ireland Fedex Priort'!D156),_xlfn.CEILING.MATH('Rates from Ireland Fedex Priort'!D156,1)+IF($A157="EU",Variables!$B$5,Variables!$B$2),'Rates from Ireland Fedex Priort'!D156)</f>
        <v>88</v>
      </c>
      <c r="E157" s="10">
        <f>IF(ISNUMBER('Rates from Ireland Fedex Priort'!E156),_xlfn.CEILING.MATH('Rates from Ireland Fedex Priort'!E156,1)+IF($A157="EU",Variables!$B$6,Variables!$B$3),'Rates from Ireland Fedex Priort'!E156)</f>
        <v>104</v>
      </c>
      <c r="F157" s="10">
        <f>IF(ISNUMBER('Rates from Ireland Fedex Priort'!F156),_xlfn.CEILING.MATH('Rates from Ireland Fedex Priort'!F156,1)+IF($A157="EU",Variables!$B$6,Variables!$B$3),'Rates from Ireland Fedex Priort'!F156)</f>
        <v>113</v>
      </c>
      <c r="G157" s="10">
        <f>IF(ISNUMBER('Rates from Ireland Fedex Priort'!G156),_xlfn.CEILING.MATH('Rates from Ireland Fedex Priort'!G156,1)+IF($A157="EU",Variables!$B$6,Variables!$B$3),'Rates from Ireland Fedex Priort'!G156)</f>
        <v>148</v>
      </c>
      <c r="H157" s="10">
        <f>IF(ISNUMBER('Rates from Ireland Fedex Priort'!H156),_xlfn.CEILING.MATH('Rates from Ireland Fedex Priort'!H156,1)+IF($A157="EU",Variables!$B$6,Variables!$B$3),'Rates from Ireland Fedex Priort'!H156)</f>
        <v>194</v>
      </c>
      <c r="I157" s="10">
        <f>IF(ISNUMBER('Rates from Ireland Fedex Priort'!I156),_xlfn.CEILING.MATH('Rates from Ireland Fedex Priort'!I156,1)+IF($A157="EU",Variables!$B$6,Variables!$B$3),'Rates from Ireland Fedex Priort'!I156)</f>
        <v>275</v>
      </c>
      <c r="J157" s="10" t="str">
        <f>IF(ISNUMBER('Rates from Ireland Fedex Priort'!J156),_xlfn.CEILING.MATH('Rates from Ireland Fedex Priort'!J156,1)+IF($A157="EU",Variables!$B$6,Variables!$B$3),'Rates from Ireland Fedex Priort'!J156)</f>
        <v>No service</v>
      </c>
      <c r="K157" s="10" t="str">
        <f>IF(ISNUMBER('Rates from Ireland Fedex Priort'!K156),_xlfn.CEILING.MATH('Rates from Ireland Fedex Priort'!K156,1)+IF($A157="EU",Variables!$B$6,Variables!$B$3),'Rates from Ireland Fedex Priort'!K156)</f>
        <v>No service</v>
      </c>
      <c r="L157" s="10" t="str">
        <f>IF(ISNUMBER('Rates from Ireland Fedex Priort'!L156),_xlfn.CEILING.MATH('Rates from Ireland Fedex Priort'!L156,1)+IF($A157="EU",Variables!$B$6,Variables!$B$3),'Rates from Ireland Fedex Priort'!L156)</f>
        <v>No service</v>
      </c>
      <c r="M157" s="10" t="str">
        <f>IF(ISNUMBER('Rates from Ireland Fedex Priort'!M156),_xlfn.CEILING.MATH('Rates from Ireland Fedex Priort'!M156,1)+IF($A157="EU",Variables!$B$6,Variables!$B$3),'Rates from Ireland Fedex Priort'!M156)</f>
        <v>No service</v>
      </c>
      <c r="N157" s="10" t="str">
        <f>IF(ISNUMBER('Rates from Ireland Fedex Priort'!N156),_xlfn.CEILING.MATH('Rates from Ireland Fedex Priort'!N156,1)+IF($A157="EU",Variables!$B$6,Variables!$B$3),'Rates from Ireland Fedex Priort'!N156)</f>
        <v>No service</v>
      </c>
      <c r="O157" s="11" t="s">
        <v>41</v>
      </c>
      <c r="P157" s="11" t="s">
        <v>23</v>
      </c>
      <c r="Q157" s="12">
        <v>80</v>
      </c>
      <c r="R157" s="11" t="s">
        <v>25</v>
      </c>
      <c r="S157" s="3" t="s">
        <v>26</v>
      </c>
      <c r="T157" s="38" t="s">
        <v>27</v>
      </c>
    </row>
    <row r="158" spans="1:20" ht="15.75" customHeight="1" x14ac:dyDescent="0.3">
      <c r="A158" s="39" t="str">
        <f>IF('Rates from Ireland Fedex Priort'!A157="","",'Rates from Ireland Fedex Priort'!A157)</f>
        <v>EU</v>
      </c>
      <c r="B158" s="8" t="str">
        <f>IF('Rates from Ireland Fedex Priort'!B157="","",'Rates from Ireland Fedex Priort'!B157)</f>
        <v>Ireland</v>
      </c>
      <c r="C158" s="9" t="str">
        <f>IF('Rates from Ireland Fedex Priort'!C157="","",'Rates from Ireland Fedex Priort'!C157)</f>
        <v>Nicaragua</v>
      </c>
      <c r="D158" s="10">
        <f>IF(ISNUMBER('Rates from Ireland Fedex Priort'!D157),_xlfn.CEILING.MATH('Rates from Ireland Fedex Priort'!D157,1)+IF($A158="EU",Variables!$B$5,Variables!$B$2),'Rates from Ireland Fedex Priort'!D157)</f>
        <v>68</v>
      </c>
      <c r="E158" s="10">
        <f>IF(ISNUMBER('Rates from Ireland Fedex Priort'!E157),_xlfn.CEILING.MATH('Rates from Ireland Fedex Priort'!E157,1)+IF($A158="EU",Variables!$B$6,Variables!$B$3),'Rates from Ireland Fedex Priort'!E157)</f>
        <v>77</v>
      </c>
      <c r="F158" s="10">
        <f>IF(ISNUMBER('Rates from Ireland Fedex Priort'!F157),_xlfn.CEILING.MATH('Rates from Ireland Fedex Priort'!F157,1)+IF($A158="EU",Variables!$B$6,Variables!$B$3),'Rates from Ireland Fedex Priort'!F157)</f>
        <v>81</v>
      </c>
      <c r="G158" s="10">
        <f>IF(ISNUMBER('Rates from Ireland Fedex Priort'!G157),_xlfn.CEILING.MATH('Rates from Ireland Fedex Priort'!G157,1)+IF($A158="EU",Variables!$B$6,Variables!$B$3),'Rates from Ireland Fedex Priort'!G157)</f>
        <v>96</v>
      </c>
      <c r="H158" s="10">
        <f>IF(ISNUMBER('Rates from Ireland Fedex Priort'!H157),_xlfn.CEILING.MATH('Rates from Ireland Fedex Priort'!H157,1)+IF($A158="EU",Variables!$B$6,Variables!$B$3),'Rates from Ireland Fedex Priort'!H157)</f>
        <v>117</v>
      </c>
      <c r="I158" s="10">
        <f>IF(ISNUMBER('Rates from Ireland Fedex Priort'!I157),_xlfn.CEILING.MATH('Rates from Ireland Fedex Priort'!I157,1)+IF($A158="EU",Variables!$B$6,Variables!$B$3),'Rates from Ireland Fedex Priort'!I157)</f>
        <v>219</v>
      </c>
      <c r="J158" s="10" t="str">
        <f>IF(ISNUMBER('Rates from Ireland Fedex Priort'!J157),_xlfn.CEILING.MATH('Rates from Ireland Fedex Priort'!J157,1)+IF($A158="EU",Variables!$B$6,Variables!$B$3),'Rates from Ireland Fedex Priort'!J157)</f>
        <v>No service</v>
      </c>
      <c r="K158" s="10" t="str">
        <f>IF(ISNUMBER('Rates from Ireland Fedex Priort'!K157),_xlfn.CEILING.MATH('Rates from Ireland Fedex Priort'!K157,1)+IF($A158="EU",Variables!$B$6,Variables!$B$3),'Rates from Ireland Fedex Priort'!K157)</f>
        <v>No service</v>
      </c>
      <c r="L158" s="10" t="str">
        <f>IF(ISNUMBER('Rates from Ireland Fedex Priort'!L157),_xlfn.CEILING.MATH('Rates from Ireland Fedex Priort'!L157,1)+IF($A158="EU",Variables!$B$6,Variables!$B$3),'Rates from Ireland Fedex Priort'!L157)</f>
        <v>No service</v>
      </c>
      <c r="M158" s="10" t="str">
        <f>IF(ISNUMBER('Rates from Ireland Fedex Priort'!M157),_xlfn.CEILING.MATH('Rates from Ireland Fedex Priort'!M157,1)+IF($A158="EU",Variables!$B$6,Variables!$B$3),'Rates from Ireland Fedex Priort'!M157)</f>
        <v>No service</v>
      </c>
      <c r="N158" s="10" t="str">
        <f>IF(ISNUMBER('Rates from Ireland Fedex Priort'!N157),_xlfn.CEILING.MATH('Rates from Ireland Fedex Priort'!N157,1)+IF($A158="EU",Variables!$B$6,Variables!$B$3),'Rates from Ireland Fedex Priort'!N157)</f>
        <v>No service</v>
      </c>
      <c r="O158" s="11" t="s">
        <v>41</v>
      </c>
      <c r="P158" s="11" t="s">
        <v>23</v>
      </c>
      <c r="Q158" s="12">
        <v>80</v>
      </c>
      <c r="R158" s="11" t="s">
        <v>25</v>
      </c>
      <c r="S158" s="3" t="s">
        <v>26</v>
      </c>
      <c r="T158" s="38" t="s">
        <v>27</v>
      </c>
    </row>
    <row r="159" spans="1:20" ht="15.75" customHeight="1" x14ac:dyDescent="0.3">
      <c r="A159" s="39" t="str">
        <f>IF('Rates from Ireland Fedex Priort'!A158="","",'Rates from Ireland Fedex Priort'!A158)</f>
        <v>EU</v>
      </c>
      <c r="B159" s="8" t="str">
        <f>IF('Rates from Ireland Fedex Priort'!B158="","",'Rates from Ireland Fedex Priort'!B158)</f>
        <v>Ireland</v>
      </c>
      <c r="C159" s="9" t="str">
        <f>IF('Rates from Ireland Fedex Priort'!C158="","",'Rates from Ireland Fedex Priort'!C158)</f>
        <v>Niger</v>
      </c>
      <c r="D159" s="10">
        <f>IF(ISNUMBER('Rates from Ireland Fedex Priort'!D158),_xlfn.CEILING.MATH('Rates from Ireland Fedex Priort'!D158,1)+IF($A159="EU",Variables!$B$5,Variables!$B$2),'Rates from Ireland Fedex Priort'!D158)</f>
        <v>72</v>
      </c>
      <c r="E159" s="10">
        <f>IF(ISNUMBER('Rates from Ireland Fedex Priort'!E158),_xlfn.CEILING.MATH('Rates from Ireland Fedex Priort'!E158,1)+IF($A159="EU",Variables!$B$6,Variables!$B$3),'Rates from Ireland Fedex Priort'!E158)</f>
        <v>83</v>
      </c>
      <c r="F159" s="10">
        <f>IF(ISNUMBER('Rates from Ireland Fedex Priort'!F158),_xlfn.CEILING.MATH('Rates from Ireland Fedex Priort'!F158,1)+IF($A159="EU",Variables!$B$6,Variables!$B$3),'Rates from Ireland Fedex Priort'!F158)</f>
        <v>88</v>
      </c>
      <c r="G159" s="10">
        <f>IF(ISNUMBER('Rates from Ireland Fedex Priort'!G158),_xlfn.CEILING.MATH('Rates from Ireland Fedex Priort'!G158,1)+IF($A159="EU",Variables!$B$6,Variables!$B$3),'Rates from Ireland Fedex Priort'!G158)</f>
        <v>106</v>
      </c>
      <c r="H159" s="10">
        <f>IF(ISNUMBER('Rates from Ireland Fedex Priort'!H158),_xlfn.CEILING.MATH('Rates from Ireland Fedex Priort'!H158,1)+IF($A159="EU",Variables!$B$6,Variables!$B$3),'Rates from Ireland Fedex Priort'!H158)</f>
        <v>134</v>
      </c>
      <c r="I159" s="10">
        <f>IF(ISNUMBER('Rates from Ireland Fedex Priort'!I158),_xlfn.CEILING.MATH('Rates from Ireland Fedex Priort'!I158,1)+IF($A159="EU",Variables!$B$6,Variables!$B$3),'Rates from Ireland Fedex Priort'!I158)</f>
        <v>242</v>
      </c>
      <c r="J159" s="10" t="str">
        <f>IF(ISNUMBER('Rates from Ireland Fedex Priort'!J158),_xlfn.CEILING.MATH('Rates from Ireland Fedex Priort'!J158,1)+IF($A159="EU",Variables!$B$6,Variables!$B$3),'Rates from Ireland Fedex Priort'!J158)</f>
        <v>No service</v>
      </c>
      <c r="K159" s="10" t="str">
        <f>IF(ISNUMBER('Rates from Ireland Fedex Priort'!K158),_xlfn.CEILING.MATH('Rates from Ireland Fedex Priort'!K158,1)+IF($A159="EU",Variables!$B$6,Variables!$B$3),'Rates from Ireland Fedex Priort'!K158)</f>
        <v>No service</v>
      </c>
      <c r="L159" s="10" t="str">
        <f>IF(ISNUMBER('Rates from Ireland Fedex Priort'!L158),_xlfn.CEILING.MATH('Rates from Ireland Fedex Priort'!L158,1)+IF($A159="EU",Variables!$B$6,Variables!$B$3),'Rates from Ireland Fedex Priort'!L158)</f>
        <v>No service</v>
      </c>
      <c r="M159" s="10" t="str">
        <f>IF(ISNUMBER('Rates from Ireland Fedex Priort'!M158),_xlfn.CEILING.MATH('Rates from Ireland Fedex Priort'!M158,1)+IF($A159="EU",Variables!$B$6,Variables!$B$3),'Rates from Ireland Fedex Priort'!M158)</f>
        <v>No service</v>
      </c>
      <c r="N159" s="10" t="str">
        <f>IF(ISNUMBER('Rates from Ireland Fedex Priort'!N158),_xlfn.CEILING.MATH('Rates from Ireland Fedex Priort'!N158,1)+IF($A159="EU",Variables!$B$6,Variables!$B$3),'Rates from Ireland Fedex Priort'!N158)</f>
        <v>No service</v>
      </c>
      <c r="O159" s="11" t="s">
        <v>35</v>
      </c>
      <c r="P159" s="11" t="s">
        <v>36</v>
      </c>
      <c r="Q159" s="12">
        <v>80</v>
      </c>
      <c r="R159" s="11" t="s">
        <v>25</v>
      </c>
      <c r="S159" s="3" t="s">
        <v>26</v>
      </c>
      <c r="T159" s="38" t="s">
        <v>27</v>
      </c>
    </row>
    <row r="160" spans="1:20" ht="15.75" customHeight="1" x14ac:dyDescent="0.3">
      <c r="A160" s="39" t="str">
        <f>IF('Rates from Ireland Fedex Priort'!A159="","",'Rates from Ireland Fedex Priort'!A159)</f>
        <v>EU</v>
      </c>
      <c r="B160" s="8" t="str">
        <f>IF('Rates from Ireland Fedex Priort'!B159="","",'Rates from Ireland Fedex Priort'!B159)</f>
        <v>Ireland</v>
      </c>
      <c r="C160" s="9" t="str">
        <f>IF('Rates from Ireland Fedex Priort'!C159="","",'Rates from Ireland Fedex Priort'!C159)</f>
        <v>Nigeria</v>
      </c>
      <c r="D160" s="10">
        <f>IF(ISNUMBER('Rates from Ireland Fedex Priort'!D159),_xlfn.CEILING.MATH('Rates from Ireland Fedex Priort'!D159,1)+IF($A160="EU",Variables!$B$5,Variables!$B$2),'Rates from Ireland Fedex Priort'!D159)</f>
        <v>72</v>
      </c>
      <c r="E160" s="10">
        <f>IF(ISNUMBER('Rates from Ireland Fedex Priort'!E159),_xlfn.CEILING.MATH('Rates from Ireland Fedex Priort'!E159,1)+IF($A160="EU",Variables!$B$6,Variables!$B$3),'Rates from Ireland Fedex Priort'!E159)</f>
        <v>83</v>
      </c>
      <c r="F160" s="10">
        <f>IF(ISNUMBER('Rates from Ireland Fedex Priort'!F159),_xlfn.CEILING.MATH('Rates from Ireland Fedex Priort'!F159,1)+IF($A160="EU",Variables!$B$6,Variables!$B$3),'Rates from Ireland Fedex Priort'!F159)</f>
        <v>88</v>
      </c>
      <c r="G160" s="10">
        <f>IF(ISNUMBER('Rates from Ireland Fedex Priort'!G159),_xlfn.CEILING.MATH('Rates from Ireland Fedex Priort'!G159,1)+IF($A160="EU",Variables!$B$6,Variables!$B$3),'Rates from Ireland Fedex Priort'!G159)</f>
        <v>106</v>
      </c>
      <c r="H160" s="10">
        <f>IF(ISNUMBER('Rates from Ireland Fedex Priort'!H159),_xlfn.CEILING.MATH('Rates from Ireland Fedex Priort'!H159,1)+IF($A160="EU",Variables!$B$6,Variables!$B$3),'Rates from Ireland Fedex Priort'!H159)</f>
        <v>134</v>
      </c>
      <c r="I160" s="10">
        <f>IF(ISNUMBER('Rates from Ireland Fedex Priort'!I159),_xlfn.CEILING.MATH('Rates from Ireland Fedex Priort'!I159,1)+IF($A160="EU",Variables!$B$6,Variables!$B$3),'Rates from Ireland Fedex Priort'!I159)</f>
        <v>242</v>
      </c>
      <c r="J160" s="10" t="str">
        <f>IF(ISNUMBER('Rates from Ireland Fedex Priort'!J159),_xlfn.CEILING.MATH('Rates from Ireland Fedex Priort'!J159,1)+IF($A160="EU",Variables!$B$6,Variables!$B$3),'Rates from Ireland Fedex Priort'!J159)</f>
        <v>No service</v>
      </c>
      <c r="K160" s="10" t="str">
        <f>IF(ISNUMBER('Rates from Ireland Fedex Priort'!K159),_xlfn.CEILING.MATH('Rates from Ireland Fedex Priort'!K159,1)+IF($A160="EU",Variables!$B$6,Variables!$B$3),'Rates from Ireland Fedex Priort'!K159)</f>
        <v>No service</v>
      </c>
      <c r="L160" s="10" t="str">
        <f>IF(ISNUMBER('Rates from Ireland Fedex Priort'!L159),_xlfn.CEILING.MATH('Rates from Ireland Fedex Priort'!L159,1)+IF($A160="EU",Variables!$B$6,Variables!$B$3),'Rates from Ireland Fedex Priort'!L159)</f>
        <v>No service</v>
      </c>
      <c r="M160" s="10" t="str">
        <f>IF(ISNUMBER('Rates from Ireland Fedex Priort'!M159),_xlfn.CEILING.MATH('Rates from Ireland Fedex Priort'!M159,1)+IF($A160="EU",Variables!$B$6,Variables!$B$3),'Rates from Ireland Fedex Priort'!M159)</f>
        <v>No service</v>
      </c>
      <c r="N160" s="10" t="str">
        <f>IF(ISNUMBER('Rates from Ireland Fedex Priort'!N159),_xlfn.CEILING.MATH('Rates from Ireland Fedex Priort'!N159,1)+IF($A160="EU",Variables!$B$6,Variables!$B$3),'Rates from Ireland Fedex Priort'!N159)</f>
        <v>No service</v>
      </c>
      <c r="O160" s="11" t="s">
        <v>35</v>
      </c>
      <c r="P160" s="11" t="s">
        <v>36</v>
      </c>
      <c r="Q160" s="12">
        <v>80</v>
      </c>
      <c r="R160" s="11" t="s">
        <v>25</v>
      </c>
      <c r="S160" s="3" t="s">
        <v>26</v>
      </c>
      <c r="T160" s="38" t="s">
        <v>27</v>
      </c>
    </row>
    <row r="161" spans="1:20" ht="15.75" customHeight="1" x14ac:dyDescent="0.3">
      <c r="A161" s="39" t="str">
        <f>IF('Rates from Ireland Fedex Priort'!A160="","",'Rates from Ireland Fedex Priort'!A160)</f>
        <v>EU</v>
      </c>
      <c r="B161" s="8" t="str">
        <f>IF('Rates from Ireland Fedex Priort'!B160="","",'Rates from Ireland Fedex Priort'!B160)</f>
        <v>Ireland</v>
      </c>
      <c r="C161" s="9" t="str">
        <f>IF('Rates from Ireland Fedex Priort'!C160="","",'Rates from Ireland Fedex Priort'!C160)</f>
        <v>Niue</v>
      </c>
      <c r="D161" s="10" t="str">
        <f>IF(ISNUMBER('Rates from Ireland Fedex Priort'!D160),_xlfn.CEILING.MATH('Rates from Ireland Fedex Priort'!D160,1)+IF($A161="EU",Variables!$B$5,Variables!$B$2),'Rates from Ireland Fedex Priort'!D160)</f>
        <v>No service</v>
      </c>
      <c r="E161" s="10" t="str">
        <f>IF(ISNUMBER('Rates from Ireland Fedex Priort'!E160),_xlfn.CEILING.MATH('Rates from Ireland Fedex Priort'!E160,1)+IF($A161="EU",Variables!$B$6,Variables!$B$3),'Rates from Ireland Fedex Priort'!E160)</f>
        <v>No service</v>
      </c>
      <c r="F161" s="10" t="str">
        <f>IF(ISNUMBER('Rates from Ireland Fedex Priort'!F160),_xlfn.CEILING.MATH('Rates from Ireland Fedex Priort'!F160,1)+IF($A161="EU",Variables!$B$6,Variables!$B$3),'Rates from Ireland Fedex Priort'!F160)</f>
        <v>No service</v>
      </c>
      <c r="G161" s="10" t="str">
        <f>IF(ISNUMBER('Rates from Ireland Fedex Priort'!G160),_xlfn.CEILING.MATH('Rates from Ireland Fedex Priort'!G160,1)+IF($A161="EU",Variables!$B$6,Variables!$B$3),'Rates from Ireland Fedex Priort'!G160)</f>
        <v>No service</v>
      </c>
      <c r="H161" s="10" t="str">
        <f>IF(ISNUMBER('Rates from Ireland Fedex Priort'!H160),_xlfn.CEILING.MATH('Rates from Ireland Fedex Priort'!H160,1)+IF($A161="EU",Variables!$B$6,Variables!$B$3),'Rates from Ireland Fedex Priort'!H160)</f>
        <v>No service</v>
      </c>
      <c r="I161" s="10" t="str">
        <f>IF(ISNUMBER('Rates from Ireland Fedex Priort'!I160),_xlfn.CEILING.MATH('Rates from Ireland Fedex Priort'!I160,1)+IF($A161="EU",Variables!$B$6,Variables!$B$3),'Rates from Ireland Fedex Priort'!I160)</f>
        <v>No service</v>
      </c>
      <c r="J161" s="10" t="str">
        <f>IF(ISNUMBER('Rates from Ireland Fedex Priort'!J160),_xlfn.CEILING.MATH('Rates from Ireland Fedex Priort'!J160,1)+IF($A161="EU",Variables!$B$6,Variables!$B$3),'Rates from Ireland Fedex Priort'!J160)</f>
        <v>No service</v>
      </c>
      <c r="K161" s="10" t="str">
        <f>IF(ISNUMBER('Rates from Ireland Fedex Priort'!K160),_xlfn.CEILING.MATH('Rates from Ireland Fedex Priort'!K160,1)+IF($A161="EU",Variables!$B$6,Variables!$B$3),'Rates from Ireland Fedex Priort'!K160)</f>
        <v>No service</v>
      </c>
      <c r="L161" s="10" t="str">
        <f>IF(ISNUMBER('Rates from Ireland Fedex Priort'!L160),_xlfn.CEILING.MATH('Rates from Ireland Fedex Priort'!L160,1)+IF($A161="EU",Variables!$B$6,Variables!$B$3),'Rates from Ireland Fedex Priort'!L160)</f>
        <v>No service</v>
      </c>
      <c r="M161" s="10" t="str">
        <f>IF(ISNUMBER('Rates from Ireland Fedex Priort'!M160),_xlfn.CEILING.MATH('Rates from Ireland Fedex Priort'!M160,1)+IF($A161="EU",Variables!$B$6,Variables!$B$3),'Rates from Ireland Fedex Priort'!M160)</f>
        <v>No service</v>
      </c>
      <c r="N161" s="10" t="str">
        <f>IF(ISNUMBER('Rates from Ireland Fedex Priort'!N160),_xlfn.CEILING.MATH('Rates from Ireland Fedex Priort'!N160,1)+IF($A161="EU",Variables!$B$6,Variables!$B$3),'Rates from Ireland Fedex Priort'!N160)</f>
        <v>No service</v>
      </c>
      <c r="O161" s="11"/>
      <c r="P161" s="11"/>
      <c r="Q161" s="11"/>
      <c r="R161" s="11"/>
      <c r="S161" s="3" t="s">
        <v>26</v>
      </c>
      <c r="T161" s="38" t="s">
        <v>27</v>
      </c>
    </row>
    <row r="162" spans="1:20" ht="15.75" customHeight="1" x14ac:dyDescent="0.3">
      <c r="A162" s="39" t="str">
        <f>IF('Rates from Ireland Fedex Priort'!A161="","",'Rates from Ireland Fedex Priort'!A161)</f>
        <v>EU</v>
      </c>
      <c r="B162" s="8" t="str">
        <f>IF('Rates from Ireland Fedex Priort'!B161="","",'Rates from Ireland Fedex Priort'!B161)</f>
        <v>Ireland</v>
      </c>
      <c r="C162" s="9" t="str">
        <f>IF('Rates from Ireland Fedex Priort'!C161="","",'Rates from Ireland Fedex Priort'!C161)</f>
        <v>Norfolk Island (Australia)</v>
      </c>
      <c r="D162" s="10" t="str">
        <f>IF(ISNUMBER('Rates from Ireland Fedex Priort'!D161),_xlfn.CEILING.MATH('Rates from Ireland Fedex Priort'!D161,1)+IF($A162="EU",Variables!$B$5,Variables!$B$2),'Rates from Ireland Fedex Priort'!D161)</f>
        <v>No service</v>
      </c>
      <c r="E162" s="10" t="str">
        <f>IF(ISNUMBER('Rates from Ireland Fedex Priort'!E161),_xlfn.CEILING.MATH('Rates from Ireland Fedex Priort'!E161,1)+IF($A162="EU",Variables!$B$6,Variables!$B$3),'Rates from Ireland Fedex Priort'!E161)</f>
        <v>No service</v>
      </c>
      <c r="F162" s="10" t="str">
        <f>IF(ISNUMBER('Rates from Ireland Fedex Priort'!F161),_xlfn.CEILING.MATH('Rates from Ireland Fedex Priort'!F161,1)+IF($A162="EU",Variables!$B$6,Variables!$B$3),'Rates from Ireland Fedex Priort'!F161)</f>
        <v>No service</v>
      </c>
      <c r="G162" s="10" t="str">
        <f>IF(ISNUMBER('Rates from Ireland Fedex Priort'!G161),_xlfn.CEILING.MATH('Rates from Ireland Fedex Priort'!G161,1)+IF($A162="EU",Variables!$B$6,Variables!$B$3),'Rates from Ireland Fedex Priort'!G161)</f>
        <v>No service</v>
      </c>
      <c r="H162" s="10" t="str">
        <f>IF(ISNUMBER('Rates from Ireland Fedex Priort'!H161),_xlfn.CEILING.MATH('Rates from Ireland Fedex Priort'!H161,1)+IF($A162="EU",Variables!$B$6,Variables!$B$3),'Rates from Ireland Fedex Priort'!H161)</f>
        <v>No service</v>
      </c>
      <c r="I162" s="10" t="str">
        <f>IF(ISNUMBER('Rates from Ireland Fedex Priort'!I161),_xlfn.CEILING.MATH('Rates from Ireland Fedex Priort'!I161,1)+IF($A162="EU",Variables!$B$6,Variables!$B$3),'Rates from Ireland Fedex Priort'!I161)</f>
        <v>No service</v>
      </c>
      <c r="J162" s="10" t="str">
        <f>IF(ISNUMBER('Rates from Ireland Fedex Priort'!J161),_xlfn.CEILING.MATH('Rates from Ireland Fedex Priort'!J161,1)+IF($A162="EU",Variables!$B$6,Variables!$B$3),'Rates from Ireland Fedex Priort'!J161)</f>
        <v>No service</v>
      </c>
      <c r="K162" s="10" t="str">
        <f>IF(ISNUMBER('Rates from Ireland Fedex Priort'!K161),_xlfn.CEILING.MATH('Rates from Ireland Fedex Priort'!K161,1)+IF($A162="EU",Variables!$B$6,Variables!$B$3),'Rates from Ireland Fedex Priort'!K161)</f>
        <v>No service</v>
      </c>
      <c r="L162" s="10" t="str">
        <f>IF(ISNUMBER('Rates from Ireland Fedex Priort'!L161),_xlfn.CEILING.MATH('Rates from Ireland Fedex Priort'!L161,1)+IF($A162="EU",Variables!$B$6,Variables!$B$3),'Rates from Ireland Fedex Priort'!L161)</f>
        <v>No service</v>
      </c>
      <c r="M162" s="10" t="str">
        <f>IF(ISNUMBER('Rates from Ireland Fedex Priort'!M161),_xlfn.CEILING.MATH('Rates from Ireland Fedex Priort'!M161,1)+IF($A162="EU",Variables!$B$6,Variables!$B$3),'Rates from Ireland Fedex Priort'!M161)</f>
        <v>No service</v>
      </c>
      <c r="N162" s="10" t="str">
        <f>IF(ISNUMBER('Rates from Ireland Fedex Priort'!N161),_xlfn.CEILING.MATH('Rates from Ireland Fedex Priort'!N161,1)+IF($A162="EU",Variables!$B$6,Variables!$B$3),'Rates from Ireland Fedex Priort'!N161)</f>
        <v>No service</v>
      </c>
      <c r="O162" s="11"/>
      <c r="P162" s="11"/>
      <c r="Q162" s="11"/>
      <c r="R162" s="11"/>
      <c r="S162" s="3" t="s">
        <v>26</v>
      </c>
      <c r="T162" s="38" t="s">
        <v>27</v>
      </c>
    </row>
    <row r="163" spans="1:20" ht="15.75" customHeight="1" x14ac:dyDescent="0.3">
      <c r="A163" s="39" t="str">
        <f>IF('Rates from Ireland Fedex Priort'!A162="","",'Rates from Ireland Fedex Priort'!A162)</f>
        <v>EU</v>
      </c>
      <c r="B163" s="8" t="str">
        <f>IF('Rates from Ireland Fedex Priort'!B162="","",'Rates from Ireland Fedex Priort'!B162)</f>
        <v>Ireland</v>
      </c>
      <c r="C163" s="9" t="str">
        <f>IF('Rates from Ireland Fedex Priort'!C162="","",'Rates from Ireland Fedex Priort'!C162)</f>
        <v>North Korea</v>
      </c>
      <c r="D163" s="10" t="str">
        <f>IF(ISNUMBER('Rates from Ireland Fedex Priort'!D162),_xlfn.CEILING.MATH('Rates from Ireland Fedex Priort'!D162,1)+IF($A163="EU",Variables!$B$5,Variables!$B$2),'Rates from Ireland Fedex Priort'!D162)</f>
        <v>No service</v>
      </c>
      <c r="E163" s="10" t="str">
        <f>IF(ISNUMBER('Rates from Ireland Fedex Priort'!E162),_xlfn.CEILING.MATH('Rates from Ireland Fedex Priort'!E162,1)+IF($A163="EU",Variables!$B$6,Variables!$B$3),'Rates from Ireland Fedex Priort'!E162)</f>
        <v>No service</v>
      </c>
      <c r="F163" s="10" t="str">
        <f>IF(ISNUMBER('Rates from Ireland Fedex Priort'!F162),_xlfn.CEILING.MATH('Rates from Ireland Fedex Priort'!F162,1)+IF($A163="EU",Variables!$B$6,Variables!$B$3),'Rates from Ireland Fedex Priort'!F162)</f>
        <v>No service</v>
      </c>
      <c r="G163" s="10" t="str">
        <f>IF(ISNUMBER('Rates from Ireland Fedex Priort'!G162),_xlfn.CEILING.MATH('Rates from Ireland Fedex Priort'!G162,1)+IF($A163="EU",Variables!$B$6,Variables!$B$3),'Rates from Ireland Fedex Priort'!G162)</f>
        <v>No service</v>
      </c>
      <c r="H163" s="10" t="str">
        <f>IF(ISNUMBER('Rates from Ireland Fedex Priort'!H162),_xlfn.CEILING.MATH('Rates from Ireland Fedex Priort'!H162,1)+IF($A163="EU",Variables!$B$6,Variables!$B$3),'Rates from Ireland Fedex Priort'!H162)</f>
        <v>No service</v>
      </c>
      <c r="I163" s="10" t="str">
        <f>IF(ISNUMBER('Rates from Ireland Fedex Priort'!I162),_xlfn.CEILING.MATH('Rates from Ireland Fedex Priort'!I162,1)+IF($A163="EU",Variables!$B$6,Variables!$B$3),'Rates from Ireland Fedex Priort'!I162)</f>
        <v>No service</v>
      </c>
      <c r="J163" s="10" t="str">
        <f>IF(ISNUMBER('Rates from Ireland Fedex Priort'!J162),_xlfn.CEILING.MATH('Rates from Ireland Fedex Priort'!J162,1)+IF($A163="EU",Variables!$B$6,Variables!$B$3),'Rates from Ireland Fedex Priort'!J162)</f>
        <v>No service</v>
      </c>
      <c r="K163" s="10" t="str">
        <f>IF(ISNUMBER('Rates from Ireland Fedex Priort'!K162),_xlfn.CEILING.MATH('Rates from Ireland Fedex Priort'!K162,1)+IF($A163="EU",Variables!$B$6,Variables!$B$3),'Rates from Ireland Fedex Priort'!K162)</f>
        <v>No service</v>
      </c>
      <c r="L163" s="10" t="str">
        <f>IF(ISNUMBER('Rates from Ireland Fedex Priort'!L162),_xlfn.CEILING.MATH('Rates from Ireland Fedex Priort'!L162,1)+IF($A163="EU",Variables!$B$6,Variables!$B$3),'Rates from Ireland Fedex Priort'!L162)</f>
        <v>No service</v>
      </c>
      <c r="M163" s="10" t="str">
        <f>IF(ISNUMBER('Rates from Ireland Fedex Priort'!M162),_xlfn.CEILING.MATH('Rates from Ireland Fedex Priort'!M162,1)+IF($A163="EU",Variables!$B$6,Variables!$B$3),'Rates from Ireland Fedex Priort'!M162)</f>
        <v>No service</v>
      </c>
      <c r="N163" s="10" t="str">
        <f>IF(ISNUMBER('Rates from Ireland Fedex Priort'!N162),_xlfn.CEILING.MATH('Rates from Ireland Fedex Priort'!N162,1)+IF($A163="EU",Variables!$B$6,Variables!$B$3),'Rates from Ireland Fedex Priort'!N162)</f>
        <v>No service</v>
      </c>
      <c r="O163" s="11"/>
      <c r="P163" s="11"/>
      <c r="Q163" s="11"/>
      <c r="R163" s="11"/>
      <c r="S163" s="3" t="s">
        <v>26</v>
      </c>
      <c r="T163" s="38" t="s">
        <v>27</v>
      </c>
    </row>
    <row r="164" spans="1:20" ht="15.75" customHeight="1" x14ac:dyDescent="0.3">
      <c r="A164" s="39" t="str">
        <f>IF('Rates from Ireland Fedex Priort'!A163="","",'Rates from Ireland Fedex Priort'!A163)</f>
        <v>EU</v>
      </c>
      <c r="B164" s="8" t="str">
        <f>IF('Rates from Ireland Fedex Priort'!B163="","",'Rates from Ireland Fedex Priort'!B163)</f>
        <v>Ireland</v>
      </c>
      <c r="C164" s="9" t="str">
        <f>IF('Rates from Ireland Fedex Priort'!C163="","",'Rates from Ireland Fedex Priort'!C163)</f>
        <v>North Macedonia</v>
      </c>
      <c r="D164" s="10">
        <f>IF(ISNUMBER('Rates from Ireland Fedex Priort'!D163),_xlfn.CEILING.MATH('Rates from Ireland Fedex Priort'!D163,1)+IF($A164="EU",Variables!$B$5,Variables!$B$2),'Rates from Ireland Fedex Priort'!D163)</f>
        <v>76</v>
      </c>
      <c r="E164" s="10">
        <f>IF(ISNUMBER('Rates from Ireland Fedex Priort'!E163),_xlfn.CEILING.MATH('Rates from Ireland Fedex Priort'!E163,1)+IF($A164="EU",Variables!$B$6,Variables!$B$3),'Rates from Ireland Fedex Priort'!E163)</f>
        <v>85</v>
      </c>
      <c r="F164" s="10">
        <f>IF(ISNUMBER('Rates from Ireland Fedex Priort'!F163),_xlfn.CEILING.MATH('Rates from Ireland Fedex Priort'!F163,1)+IF($A164="EU",Variables!$B$6,Variables!$B$3),'Rates from Ireland Fedex Priort'!F163)</f>
        <v>88</v>
      </c>
      <c r="G164" s="10">
        <f>IF(ISNUMBER('Rates from Ireland Fedex Priort'!G163),_xlfn.CEILING.MATH('Rates from Ireland Fedex Priort'!G163,1)+IF($A164="EU",Variables!$B$6,Variables!$B$3),'Rates from Ireland Fedex Priort'!G163)</f>
        <v>97</v>
      </c>
      <c r="H164" s="10">
        <f>IF(ISNUMBER('Rates from Ireland Fedex Priort'!H163),_xlfn.CEILING.MATH('Rates from Ireland Fedex Priort'!H163,1)+IF($A164="EU",Variables!$B$6,Variables!$B$3),'Rates from Ireland Fedex Priort'!H163)</f>
        <v>102</v>
      </c>
      <c r="I164" s="10">
        <f>IF(ISNUMBER('Rates from Ireland Fedex Priort'!I163),_xlfn.CEILING.MATH('Rates from Ireland Fedex Priort'!I163,1)+IF($A164="EU",Variables!$B$6,Variables!$B$3),'Rates from Ireland Fedex Priort'!I163)</f>
        <v>109</v>
      </c>
      <c r="J164" s="10" t="str">
        <f>IF(ISNUMBER('Rates from Ireland Fedex Priort'!J163),_xlfn.CEILING.MATH('Rates from Ireland Fedex Priort'!J163,1)+IF($A164="EU",Variables!$B$6,Variables!$B$3),'Rates from Ireland Fedex Priort'!J163)</f>
        <v>No service</v>
      </c>
      <c r="K164" s="10" t="str">
        <f>IF(ISNUMBER('Rates from Ireland Fedex Priort'!K163),_xlfn.CEILING.MATH('Rates from Ireland Fedex Priort'!K163,1)+IF($A164="EU",Variables!$B$6,Variables!$B$3),'Rates from Ireland Fedex Priort'!K163)</f>
        <v>No service</v>
      </c>
      <c r="L164" s="10" t="str">
        <f>IF(ISNUMBER('Rates from Ireland Fedex Priort'!L163),_xlfn.CEILING.MATH('Rates from Ireland Fedex Priort'!L163,1)+IF($A164="EU",Variables!$B$6,Variables!$B$3),'Rates from Ireland Fedex Priort'!L163)</f>
        <v>No service</v>
      </c>
      <c r="M164" s="10" t="str">
        <f>IF(ISNUMBER('Rates from Ireland Fedex Priort'!M163),_xlfn.CEILING.MATH('Rates from Ireland Fedex Priort'!M163,1)+IF($A164="EU",Variables!$B$6,Variables!$B$3),'Rates from Ireland Fedex Priort'!M163)</f>
        <v>No service</v>
      </c>
      <c r="N164" s="10" t="str">
        <f>IF(ISNUMBER('Rates from Ireland Fedex Priort'!N163),_xlfn.CEILING.MATH('Rates from Ireland Fedex Priort'!N163,1)+IF($A164="EU",Variables!$B$6,Variables!$B$3),'Rates from Ireland Fedex Priort'!N163)</f>
        <v>No service</v>
      </c>
      <c r="O164" s="11" t="s">
        <v>61</v>
      </c>
      <c r="P164" s="11" t="s">
        <v>211</v>
      </c>
      <c r="Q164" s="12">
        <v>80</v>
      </c>
      <c r="R164" s="11" t="s">
        <v>25</v>
      </c>
      <c r="S164" s="3" t="s">
        <v>26</v>
      </c>
      <c r="T164" s="38" t="s">
        <v>27</v>
      </c>
    </row>
    <row r="165" spans="1:20" ht="15.75" customHeight="1" x14ac:dyDescent="0.3">
      <c r="A165" s="39" t="str">
        <f>IF('Rates from Ireland Fedex Priort'!A164="","",'Rates from Ireland Fedex Priort'!A164)</f>
        <v>EU</v>
      </c>
      <c r="B165" s="8" t="str">
        <f>IF('Rates from Ireland Fedex Priort'!B164="","",'Rates from Ireland Fedex Priort'!B164)</f>
        <v>Ireland</v>
      </c>
      <c r="C165" s="9" t="str">
        <f>IF('Rates from Ireland Fedex Priort'!C164="","",'Rates from Ireland Fedex Priort'!C164)</f>
        <v>Northern Cyprus</v>
      </c>
      <c r="D165" s="10">
        <f>IF(ISNUMBER('Rates from Ireland Fedex Priort'!D164),_xlfn.CEILING.MATH('Rates from Ireland Fedex Priort'!D164,1)+IF($A165="EU",Variables!$B$5,Variables!$B$2),'Rates from Ireland Fedex Priort'!D164)</f>
        <v>76</v>
      </c>
      <c r="E165" s="10">
        <f>IF(ISNUMBER('Rates from Ireland Fedex Priort'!E164),_xlfn.CEILING.MATH('Rates from Ireland Fedex Priort'!E164,1)+IF($A165="EU",Variables!$B$6,Variables!$B$3),'Rates from Ireland Fedex Priort'!E164)</f>
        <v>85</v>
      </c>
      <c r="F165" s="10">
        <f>IF(ISNUMBER('Rates from Ireland Fedex Priort'!F164),_xlfn.CEILING.MATH('Rates from Ireland Fedex Priort'!F164,1)+IF($A165="EU",Variables!$B$6,Variables!$B$3),'Rates from Ireland Fedex Priort'!F164)</f>
        <v>88</v>
      </c>
      <c r="G165" s="10">
        <f>IF(ISNUMBER('Rates from Ireland Fedex Priort'!G164),_xlfn.CEILING.MATH('Rates from Ireland Fedex Priort'!G164,1)+IF($A165="EU",Variables!$B$6,Variables!$B$3),'Rates from Ireland Fedex Priort'!G164)</f>
        <v>97</v>
      </c>
      <c r="H165" s="10">
        <f>IF(ISNUMBER('Rates from Ireland Fedex Priort'!H164),_xlfn.CEILING.MATH('Rates from Ireland Fedex Priort'!H164,1)+IF($A165="EU",Variables!$B$6,Variables!$B$3),'Rates from Ireland Fedex Priort'!H164)</f>
        <v>102</v>
      </c>
      <c r="I165" s="10">
        <f>IF(ISNUMBER('Rates from Ireland Fedex Priort'!I164),_xlfn.CEILING.MATH('Rates from Ireland Fedex Priort'!I164,1)+IF($A165="EU",Variables!$B$6,Variables!$B$3),'Rates from Ireland Fedex Priort'!I164)</f>
        <v>109</v>
      </c>
      <c r="J165" s="10" t="str">
        <f>IF(ISNUMBER('Rates from Ireland Fedex Priort'!J164),_xlfn.CEILING.MATH('Rates from Ireland Fedex Priort'!J164,1)+IF($A165="EU",Variables!$B$6,Variables!$B$3),'Rates from Ireland Fedex Priort'!J164)</f>
        <v>No service</v>
      </c>
      <c r="K165" s="10" t="str">
        <f>IF(ISNUMBER('Rates from Ireland Fedex Priort'!K164),_xlfn.CEILING.MATH('Rates from Ireland Fedex Priort'!K164,1)+IF($A165="EU",Variables!$B$6,Variables!$B$3),'Rates from Ireland Fedex Priort'!K164)</f>
        <v>No service</v>
      </c>
      <c r="L165" s="10" t="str">
        <f>IF(ISNUMBER('Rates from Ireland Fedex Priort'!L164),_xlfn.CEILING.MATH('Rates from Ireland Fedex Priort'!L164,1)+IF($A165="EU",Variables!$B$6,Variables!$B$3),'Rates from Ireland Fedex Priort'!L164)</f>
        <v>No service</v>
      </c>
      <c r="M165" s="10" t="str">
        <f>IF(ISNUMBER('Rates from Ireland Fedex Priort'!M164),_xlfn.CEILING.MATH('Rates from Ireland Fedex Priort'!M164,1)+IF($A165="EU",Variables!$B$6,Variables!$B$3),'Rates from Ireland Fedex Priort'!M164)</f>
        <v>No service</v>
      </c>
      <c r="N165" s="10" t="str">
        <f>IF(ISNUMBER('Rates from Ireland Fedex Priort'!N164),_xlfn.CEILING.MATH('Rates from Ireland Fedex Priort'!N164,1)+IF($A165="EU",Variables!$B$6,Variables!$B$3),'Rates from Ireland Fedex Priort'!N164)</f>
        <v>No service</v>
      </c>
      <c r="O165" s="11" t="s">
        <v>61</v>
      </c>
      <c r="P165" s="11" t="s">
        <v>211</v>
      </c>
      <c r="Q165" s="12">
        <v>80</v>
      </c>
      <c r="R165" s="11" t="s">
        <v>25</v>
      </c>
      <c r="S165" s="3" t="s">
        <v>26</v>
      </c>
      <c r="T165" s="38" t="s">
        <v>27</v>
      </c>
    </row>
    <row r="166" spans="1:20" ht="15.75" customHeight="1" x14ac:dyDescent="0.3">
      <c r="A166" s="39" t="str">
        <f>IF('Rates from Ireland Fedex Priort'!A165="","",'Rates from Ireland Fedex Priort'!A165)</f>
        <v>EU</v>
      </c>
      <c r="B166" s="8" t="str">
        <f>IF('Rates from Ireland Fedex Priort'!B165="","",'Rates from Ireland Fedex Priort'!B165)</f>
        <v>Ireland</v>
      </c>
      <c r="C166" s="9" t="str">
        <f>IF('Rates from Ireland Fedex Priort'!C165="","",'Rates from Ireland Fedex Priort'!C165)</f>
        <v>Northern Mariana Islands (US)</v>
      </c>
      <c r="D166" s="10">
        <f>IF(ISNUMBER('Rates from Ireland Fedex Priort'!D165),_xlfn.CEILING.MATH('Rates from Ireland Fedex Priort'!D165,1)+IF($A166="EU",Variables!$B$5,Variables!$B$2),'Rates from Ireland Fedex Priort'!D165)</f>
        <v>72</v>
      </c>
      <c r="E166" s="10">
        <f>IF(ISNUMBER('Rates from Ireland Fedex Priort'!E165),_xlfn.CEILING.MATH('Rates from Ireland Fedex Priort'!E165,1)+IF($A166="EU",Variables!$B$6,Variables!$B$3),'Rates from Ireland Fedex Priort'!E165)</f>
        <v>83</v>
      </c>
      <c r="F166" s="10">
        <f>IF(ISNUMBER('Rates from Ireland Fedex Priort'!F165),_xlfn.CEILING.MATH('Rates from Ireland Fedex Priort'!F165,1)+IF($A166="EU",Variables!$B$6,Variables!$B$3),'Rates from Ireland Fedex Priort'!F165)</f>
        <v>88</v>
      </c>
      <c r="G166" s="10">
        <f>IF(ISNUMBER('Rates from Ireland Fedex Priort'!G165),_xlfn.CEILING.MATH('Rates from Ireland Fedex Priort'!G165,1)+IF($A166="EU",Variables!$B$6,Variables!$B$3),'Rates from Ireland Fedex Priort'!G165)</f>
        <v>106</v>
      </c>
      <c r="H166" s="10">
        <f>IF(ISNUMBER('Rates from Ireland Fedex Priort'!H165),_xlfn.CEILING.MATH('Rates from Ireland Fedex Priort'!H165,1)+IF($A166="EU",Variables!$B$6,Variables!$B$3),'Rates from Ireland Fedex Priort'!H165)</f>
        <v>134</v>
      </c>
      <c r="I166" s="10">
        <f>IF(ISNUMBER('Rates from Ireland Fedex Priort'!I165),_xlfn.CEILING.MATH('Rates from Ireland Fedex Priort'!I165,1)+IF($A166="EU",Variables!$B$6,Variables!$B$3),'Rates from Ireland Fedex Priort'!I165)</f>
        <v>242</v>
      </c>
      <c r="J166" s="10" t="str">
        <f>IF(ISNUMBER('Rates from Ireland Fedex Priort'!J165),_xlfn.CEILING.MATH('Rates from Ireland Fedex Priort'!J165,1)+IF($A166="EU",Variables!$B$6,Variables!$B$3),'Rates from Ireland Fedex Priort'!J165)</f>
        <v>No service</v>
      </c>
      <c r="K166" s="10" t="str">
        <f>IF(ISNUMBER('Rates from Ireland Fedex Priort'!K165),_xlfn.CEILING.MATH('Rates from Ireland Fedex Priort'!K165,1)+IF($A166="EU",Variables!$B$6,Variables!$B$3),'Rates from Ireland Fedex Priort'!K165)</f>
        <v>No service</v>
      </c>
      <c r="L166" s="10" t="str">
        <f>IF(ISNUMBER('Rates from Ireland Fedex Priort'!L165),_xlfn.CEILING.MATH('Rates from Ireland Fedex Priort'!L165,1)+IF($A166="EU",Variables!$B$6,Variables!$B$3),'Rates from Ireland Fedex Priort'!L165)</f>
        <v>No service</v>
      </c>
      <c r="M166" s="10" t="str">
        <f>IF(ISNUMBER('Rates from Ireland Fedex Priort'!M165),_xlfn.CEILING.MATH('Rates from Ireland Fedex Priort'!M165,1)+IF($A166="EU",Variables!$B$6,Variables!$B$3),'Rates from Ireland Fedex Priort'!M165)</f>
        <v>No service</v>
      </c>
      <c r="N166" s="10" t="str">
        <f>IF(ISNUMBER('Rates from Ireland Fedex Priort'!N165),_xlfn.CEILING.MATH('Rates from Ireland Fedex Priort'!N165,1)+IF($A166="EU",Variables!$B$6,Variables!$B$3),'Rates from Ireland Fedex Priort'!N165)</f>
        <v>No service</v>
      </c>
      <c r="O166" s="11" t="s">
        <v>35</v>
      </c>
      <c r="P166" s="11" t="s">
        <v>36</v>
      </c>
      <c r="Q166" s="12">
        <v>80</v>
      </c>
      <c r="R166" s="11" t="s">
        <v>25</v>
      </c>
      <c r="S166" s="3" t="s">
        <v>26</v>
      </c>
      <c r="T166" s="38" t="s">
        <v>27</v>
      </c>
    </row>
    <row r="167" spans="1:20" ht="15.75" customHeight="1" x14ac:dyDescent="0.3">
      <c r="A167" s="39" t="str">
        <f>IF('Rates from Ireland Fedex Priort'!A166="","",'Rates from Ireland Fedex Priort'!A166)</f>
        <v>EU</v>
      </c>
      <c r="B167" s="8" t="str">
        <f>IF('Rates from Ireland Fedex Priort'!B166="","",'Rates from Ireland Fedex Priort'!B166)</f>
        <v>Ireland</v>
      </c>
      <c r="C167" s="9" t="str">
        <f>IF('Rates from Ireland Fedex Priort'!C166="","",'Rates from Ireland Fedex Priort'!C166)</f>
        <v>Norway</v>
      </c>
      <c r="D167" s="10">
        <f>IF(ISNUMBER('Rates from Ireland Fedex Priort'!D166),_xlfn.CEILING.MATH('Rates from Ireland Fedex Priort'!D166,1)+IF($A167="EU",Variables!$B$5,Variables!$B$2),'Rates from Ireland Fedex Priort'!D166)</f>
        <v>64</v>
      </c>
      <c r="E167" s="10">
        <f>IF(ISNUMBER('Rates from Ireland Fedex Priort'!E166),_xlfn.CEILING.MATH('Rates from Ireland Fedex Priort'!E166,1)+IF($A167="EU",Variables!$B$6,Variables!$B$3),'Rates from Ireland Fedex Priort'!E166)</f>
        <v>100</v>
      </c>
      <c r="F167" s="10">
        <f>IF(ISNUMBER('Rates from Ireland Fedex Priort'!F166),_xlfn.CEILING.MATH('Rates from Ireland Fedex Priort'!F166,1)+IF($A167="EU",Variables!$B$6,Variables!$B$3),'Rates from Ireland Fedex Priort'!F166)</f>
        <v>100</v>
      </c>
      <c r="G167" s="10">
        <f>IF(ISNUMBER('Rates from Ireland Fedex Priort'!G166),_xlfn.CEILING.MATH('Rates from Ireland Fedex Priort'!G166,1)+IF($A167="EU",Variables!$B$6,Variables!$B$3),'Rates from Ireland Fedex Priort'!G166)</f>
        <v>105</v>
      </c>
      <c r="H167" s="10">
        <f>IF(ISNUMBER('Rates from Ireland Fedex Priort'!H166),_xlfn.CEILING.MATH('Rates from Ireland Fedex Priort'!H166,1)+IF($A167="EU",Variables!$B$6,Variables!$B$3),'Rates from Ireland Fedex Priort'!H166)</f>
        <v>117</v>
      </c>
      <c r="I167" s="10">
        <f>IF(ISNUMBER('Rates from Ireland Fedex Priort'!I166),_xlfn.CEILING.MATH('Rates from Ireland Fedex Priort'!I166,1)+IF($A167="EU",Variables!$B$6,Variables!$B$3),'Rates from Ireland Fedex Priort'!I166)</f>
        <v>124</v>
      </c>
      <c r="J167" s="10" t="str">
        <f>IF(ISNUMBER('Rates from Ireland Fedex Priort'!J166),_xlfn.CEILING.MATH('Rates from Ireland Fedex Priort'!J166,1)+IF($A167="EU",Variables!$B$6,Variables!$B$3),'Rates from Ireland Fedex Priort'!J166)</f>
        <v>No service</v>
      </c>
      <c r="K167" s="10" t="str">
        <f>IF(ISNUMBER('Rates from Ireland Fedex Priort'!K166),_xlfn.CEILING.MATH('Rates from Ireland Fedex Priort'!K166,1)+IF($A167="EU",Variables!$B$6,Variables!$B$3),'Rates from Ireland Fedex Priort'!K166)</f>
        <v>No service</v>
      </c>
      <c r="L167" s="10" t="str">
        <f>IF(ISNUMBER('Rates from Ireland Fedex Priort'!L166),_xlfn.CEILING.MATH('Rates from Ireland Fedex Priort'!L166,1)+IF($A167="EU",Variables!$B$6,Variables!$B$3),'Rates from Ireland Fedex Priort'!L166)</f>
        <v>No service</v>
      </c>
      <c r="M167" s="10" t="str">
        <f>IF(ISNUMBER('Rates from Ireland Fedex Priort'!M166),_xlfn.CEILING.MATH('Rates from Ireland Fedex Priort'!M166,1)+IF($A167="EU",Variables!$B$6,Variables!$B$3),'Rates from Ireland Fedex Priort'!M166)</f>
        <v>No service</v>
      </c>
      <c r="N167" s="10" t="str">
        <f>IF(ISNUMBER('Rates from Ireland Fedex Priort'!N166),_xlfn.CEILING.MATH('Rates from Ireland Fedex Priort'!N166,1)+IF($A167="EU",Variables!$B$6,Variables!$B$3),'Rates from Ireland Fedex Priort'!N166)</f>
        <v>No service</v>
      </c>
      <c r="O167" s="11" t="s">
        <v>29</v>
      </c>
      <c r="P167" s="11" t="s">
        <v>69</v>
      </c>
      <c r="Q167" s="12">
        <v>80</v>
      </c>
      <c r="R167" s="11" t="s">
        <v>25</v>
      </c>
      <c r="S167" s="3" t="s">
        <v>26</v>
      </c>
      <c r="T167" s="38" t="s">
        <v>27</v>
      </c>
    </row>
    <row r="168" spans="1:20" ht="15.75" customHeight="1" x14ac:dyDescent="0.3">
      <c r="A168" s="39" t="str">
        <f>IF('Rates from Ireland Fedex Priort'!A167="","",'Rates from Ireland Fedex Priort'!A167)</f>
        <v>EU</v>
      </c>
      <c r="B168" s="8" t="str">
        <f>IF('Rates from Ireland Fedex Priort'!B167="","",'Rates from Ireland Fedex Priort'!B167)</f>
        <v>Ireland</v>
      </c>
      <c r="C168" s="9" t="str">
        <f>IF('Rates from Ireland Fedex Priort'!C167="","",'Rates from Ireland Fedex Priort'!C167)</f>
        <v>Oman</v>
      </c>
      <c r="D168" s="10">
        <f>IF(ISNUMBER('Rates from Ireland Fedex Priort'!D167),_xlfn.CEILING.MATH('Rates from Ireland Fedex Priort'!D167,1)+IF($A168="EU",Variables!$B$5,Variables!$B$2),'Rates from Ireland Fedex Priort'!D167)</f>
        <v>62</v>
      </c>
      <c r="E168" s="10">
        <f>IF(ISNUMBER('Rates from Ireland Fedex Priort'!E167),_xlfn.CEILING.MATH('Rates from Ireland Fedex Priort'!E167,1)+IF($A168="EU",Variables!$B$6,Variables!$B$3),'Rates from Ireland Fedex Priort'!E167)</f>
        <v>69</v>
      </c>
      <c r="F168" s="10">
        <f>IF(ISNUMBER('Rates from Ireland Fedex Priort'!F167),_xlfn.CEILING.MATH('Rates from Ireland Fedex Priort'!F167,1)+IF($A168="EU",Variables!$B$6,Variables!$B$3),'Rates from Ireland Fedex Priort'!F167)</f>
        <v>72</v>
      </c>
      <c r="G168" s="10">
        <f>IF(ISNUMBER('Rates from Ireland Fedex Priort'!G167),_xlfn.CEILING.MATH('Rates from Ireland Fedex Priort'!G167,1)+IF($A168="EU",Variables!$B$6,Variables!$B$3),'Rates from Ireland Fedex Priort'!G167)</f>
        <v>86</v>
      </c>
      <c r="H168" s="10">
        <f>IF(ISNUMBER('Rates from Ireland Fedex Priort'!H167),_xlfn.CEILING.MATH('Rates from Ireland Fedex Priort'!H167,1)+IF($A168="EU",Variables!$B$6,Variables!$B$3),'Rates from Ireland Fedex Priort'!H167)</f>
        <v>111</v>
      </c>
      <c r="I168" s="10">
        <f>IF(ISNUMBER('Rates from Ireland Fedex Priort'!I167),_xlfn.CEILING.MATH('Rates from Ireland Fedex Priort'!I167,1)+IF($A168="EU",Variables!$B$6,Variables!$B$3),'Rates from Ireland Fedex Priort'!I167)</f>
        <v>174</v>
      </c>
      <c r="J168" s="10" t="str">
        <f>IF(ISNUMBER('Rates from Ireland Fedex Priort'!J167),_xlfn.CEILING.MATH('Rates from Ireland Fedex Priort'!J167,1)+IF($A168="EU",Variables!$B$6,Variables!$B$3),'Rates from Ireland Fedex Priort'!J167)</f>
        <v>No service</v>
      </c>
      <c r="K168" s="10" t="str">
        <f>IF(ISNUMBER('Rates from Ireland Fedex Priort'!K167),_xlfn.CEILING.MATH('Rates from Ireland Fedex Priort'!K167,1)+IF($A168="EU",Variables!$B$6,Variables!$B$3),'Rates from Ireland Fedex Priort'!K167)</f>
        <v>No service</v>
      </c>
      <c r="L168" s="10" t="str">
        <f>IF(ISNUMBER('Rates from Ireland Fedex Priort'!L167),_xlfn.CEILING.MATH('Rates from Ireland Fedex Priort'!L167,1)+IF($A168="EU",Variables!$B$6,Variables!$B$3),'Rates from Ireland Fedex Priort'!L167)</f>
        <v>No service</v>
      </c>
      <c r="M168" s="10" t="str">
        <f>IF(ISNUMBER('Rates from Ireland Fedex Priort'!M167),_xlfn.CEILING.MATH('Rates from Ireland Fedex Priort'!M167,1)+IF($A168="EU",Variables!$B$6,Variables!$B$3),'Rates from Ireland Fedex Priort'!M167)</f>
        <v>No service</v>
      </c>
      <c r="N168" s="10" t="str">
        <f>IF(ISNUMBER('Rates from Ireland Fedex Priort'!N167),_xlfn.CEILING.MATH('Rates from Ireland Fedex Priort'!N167,1)+IF($A168="EU",Variables!$B$6,Variables!$B$3),'Rates from Ireland Fedex Priort'!N167)</f>
        <v>No service</v>
      </c>
      <c r="O168" s="11" t="s">
        <v>29</v>
      </c>
      <c r="P168" s="11" t="s">
        <v>30</v>
      </c>
      <c r="Q168" s="12">
        <v>80</v>
      </c>
      <c r="R168" s="11" t="s">
        <v>25</v>
      </c>
      <c r="S168" s="3" t="s">
        <v>26</v>
      </c>
      <c r="T168" s="38" t="s">
        <v>27</v>
      </c>
    </row>
    <row r="169" spans="1:20" ht="15.75" customHeight="1" x14ac:dyDescent="0.3">
      <c r="A169" s="39" t="str">
        <f>IF('Rates from Ireland Fedex Priort'!A168="","",'Rates from Ireland Fedex Priort'!A168)</f>
        <v>EU</v>
      </c>
      <c r="B169" s="8" t="str">
        <f>IF('Rates from Ireland Fedex Priort'!B168="","",'Rates from Ireland Fedex Priort'!B168)</f>
        <v>Ireland</v>
      </c>
      <c r="C169" s="9" t="str">
        <f>IF('Rates from Ireland Fedex Priort'!C168="","",'Rates from Ireland Fedex Priort'!C168)</f>
        <v>Pakistan</v>
      </c>
      <c r="D169" s="10">
        <f>IF(ISNUMBER('Rates from Ireland Fedex Priort'!D168),_xlfn.CEILING.MATH('Rates from Ireland Fedex Priort'!D168,1)+IF($A169="EU",Variables!$B$5,Variables!$B$2),'Rates from Ireland Fedex Priort'!D168)</f>
        <v>62</v>
      </c>
      <c r="E169" s="10">
        <f>IF(ISNUMBER('Rates from Ireland Fedex Priort'!E168),_xlfn.CEILING.MATH('Rates from Ireland Fedex Priort'!E168,1)+IF($A169="EU",Variables!$B$6,Variables!$B$3),'Rates from Ireland Fedex Priort'!E168)</f>
        <v>69</v>
      </c>
      <c r="F169" s="10">
        <f>IF(ISNUMBER('Rates from Ireland Fedex Priort'!F168),_xlfn.CEILING.MATH('Rates from Ireland Fedex Priort'!F168,1)+IF($A169="EU",Variables!$B$6,Variables!$B$3),'Rates from Ireland Fedex Priort'!F168)</f>
        <v>72</v>
      </c>
      <c r="G169" s="10">
        <f>IF(ISNUMBER('Rates from Ireland Fedex Priort'!G168),_xlfn.CEILING.MATH('Rates from Ireland Fedex Priort'!G168,1)+IF($A169="EU",Variables!$B$6,Variables!$B$3),'Rates from Ireland Fedex Priort'!G168)</f>
        <v>86</v>
      </c>
      <c r="H169" s="10">
        <f>IF(ISNUMBER('Rates from Ireland Fedex Priort'!H168),_xlfn.CEILING.MATH('Rates from Ireland Fedex Priort'!H168,1)+IF($A169="EU",Variables!$B$6,Variables!$B$3),'Rates from Ireland Fedex Priort'!H168)</f>
        <v>111</v>
      </c>
      <c r="I169" s="10">
        <f>IF(ISNUMBER('Rates from Ireland Fedex Priort'!I168),_xlfn.CEILING.MATH('Rates from Ireland Fedex Priort'!I168,1)+IF($A169="EU",Variables!$B$6,Variables!$B$3),'Rates from Ireland Fedex Priort'!I168)</f>
        <v>174</v>
      </c>
      <c r="J169" s="10" t="str">
        <f>IF(ISNUMBER('Rates from Ireland Fedex Priort'!J168),_xlfn.CEILING.MATH('Rates from Ireland Fedex Priort'!J168,1)+IF($A169="EU",Variables!$B$6,Variables!$B$3),'Rates from Ireland Fedex Priort'!J168)</f>
        <v>No service</v>
      </c>
      <c r="K169" s="10" t="str">
        <f>IF(ISNUMBER('Rates from Ireland Fedex Priort'!K168),_xlfn.CEILING.MATH('Rates from Ireland Fedex Priort'!K168,1)+IF($A169="EU",Variables!$B$6,Variables!$B$3),'Rates from Ireland Fedex Priort'!K168)</f>
        <v>No service</v>
      </c>
      <c r="L169" s="10" t="str">
        <f>IF(ISNUMBER('Rates from Ireland Fedex Priort'!L168),_xlfn.CEILING.MATH('Rates from Ireland Fedex Priort'!L168,1)+IF($A169="EU",Variables!$B$6,Variables!$B$3),'Rates from Ireland Fedex Priort'!L168)</f>
        <v>No service</v>
      </c>
      <c r="M169" s="10" t="str">
        <f>IF(ISNUMBER('Rates from Ireland Fedex Priort'!M168),_xlfn.CEILING.MATH('Rates from Ireland Fedex Priort'!M168,1)+IF($A169="EU",Variables!$B$6,Variables!$B$3),'Rates from Ireland Fedex Priort'!M168)</f>
        <v>No service</v>
      </c>
      <c r="N169" s="10" t="str">
        <f>IF(ISNUMBER('Rates from Ireland Fedex Priort'!N168),_xlfn.CEILING.MATH('Rates from Ireland Fedex Priort'!N168,1)+IF($A169="EU",Variables!$B$6,Variables!$B$3),'Rates from Ireland Fedex Priort'!N168)</f>
        <v>No service</v>
      </c>
      <c r="O169" s="11" t="s">
        <v>29</v>
      </c>
      <c r="P169" s="11" t="s">
        <v>30</v>
      </c>
      <c r="Q169" s="12">
        <v>80</v>
      </c>
      <c r="R169" s="11" t="s">
        <v>25</v>
      </c>
      <c r="S169" s="3" t="s">
        <v>26</v>
      </c>
      <c r="T169" s="38" t="s">
        <v>27</v>
      </c>
    </row>
    <row r="170" spans="1:20" ht="15.75" customHeight="1" x14ac:dyDescent="0.3">
      <c r="A170" s="39" t="str">
        <f>IF('Rates from Ireland Fedex Priort'!A169="","",'Rates from Ireland Fedex Priort'!A169)</f>
        <v>EU</v>
      </c>
      <c r="B170" s="8" t="str">
        <f>IF('Rates from Ireland Fedex Priort'!B169="","",'Rates from Ireland Fedex Priort'!B169)</f>
        <v>Ireland</v>
      </c>
      <c r="C170" s="9" t="str">
        <f>IF('Rates from Ireland Fedex Priort'!C169="","",'Rates from Ireland Fedex Priort'!C169)</f>
        <v>Palau</v>
      </c>
      <c r="D170" s="10">
        <f>IF(ISNUMBER('Rates from Ireland Fedex Priort'!D169),_xlfn.CEILING.MATH('Rates from Ireland Fedex Priort'!D169,1)+IF($A170="EU",Variables!$B$5,Variables!$B$2),'Rates from Ireland Fedex Priort'!D169)</f>
        <v>72</v>
      </c>
      <c r="E170" s="10">
        <f>IF(ISNUMBER('Rates from Ireland Fedex Priort'!E169),_xlfn.CEILING.MATH('Rates from Ireland Fedex Priort'!E169,1)+IF($A170="EU",Variables!$B$6,Variables!$B$3),'Rates from Ireland Fedex Priort'!E169)</f>
        <v>83</v>
      </c>
      <c r="F170" s="10">
        <f>IF(ISNUMBER('Rates from Ireland Fedex Priort'!F169),_xlfn.CEILING.MATH('Rates from Ireland Fedex Priort'!F169,1)+IF($A170="EU",Variables!$B$6,Variables!$B$3),'Rates from Ireland Fedex Priort'!F169)</f>
        <v>88</v>
      </c>
      <c r="G170" s="10">
        <f>IF(ISNUMBER('Rates from Ireland Fedex Priort'!G169),_xlfn.CEILING.MATH('Rates from Ireland Fedex Priort'!G169,1)+IF($A170="EU",Variables!$B$6,Variables!$B$3),'Rates from Ireland Fedex Priort'!G169)</f>
        <v>106</v>
      </c>
      <c r="H170" s="10">
        <f>IF(ISNUMBER('Rates from Ireland Fedex Priort'!H169),_xlfn.CEILING.MATH('Rates from Ireland Fedex Priort'!H169,1)+IF($A170="EU",Variables!$B$6,Variables!$B$3),'Rates from Ireland Fedex Priort'!H169)</f>
        <v>134</v>
      </c>
      <c r="I170" s="10">
        <f>IF(ISNUMBER('Rates from Ireland Fedex Priort'!I169),_xlfn.CEILING.MATH('Rates from Ireland Fedex Priort'!I169,1)+IF($A170="EU",Variables!$B$6,Variables!$B$3),'Rates from Ireland Fedex Priort'!I169)</f>
        <v>242</v>
      </c>
      <c r="J170" s="10" t="str">
        <f>IF(ISNUMBER('Rates from Ireland Fedex Priort'!J169),_xlfn.CEILING.MATH('Rates from Ireland Fedex Priort'!J169,1)+IF($A170="EU",Variables!$B$6,Variables!$B$3),'Rates from Ireland Fedex Priort'!J169)</f>
        <v>No service</v>
      </c>
      <c r="K170" s="10" t="str">
        <f>IF(ISNUMBER('Rates from Ireland Fedex Priort'!K169),_xlfn.CEILING.MATH('Rates from Ireland Fedex Priort'!K169,1)+IF($A170="EU",Variables!$B$6,Variables!$B$3),'Rates from Ireland Fedex Priort'!K169)</f>
        <v>No service</v>
      </c>
      <c r="L170" s="10" t="str">
        <f>IF(ISNUMBER('Rates from Ireland Fedex Priort'!L169),_xlfn.CEILING.MATH('Rates from Ireland Fedex Priort'!L169,1)+IF($A170="EU",Variables!$B$6,Variables!$B$3),'Rates from Ireland Fedex Priort'!L169)</f>
        <v>No service</v>
      </c>
      <c r="M170" s="10" t="str">
        <f>IF(ISNUMBER('Rates from Ireland Fedex Priort'!M169),_xlfn.CEILING.MATH('Rates from Ireland Fedex Priort'!M169,1)+IF($A170="EU",Variables!$B$6,Variables!$B$3),'Rates from Ireland Fedex Priort'!M169)</f>
        <v>No service</v>
      </c>
      <c r="N170" s="10" t="str">
        <f>IF(ISNUMBER('Rates from Ireland Fedex Priort'!N169),_xlfn.CEILING.MATH('Rates from Ireland Fedex Priort'!N169,1)+IF($A170="EU",Variables!$B$6,Variables!$B$3),'Rates from Ireland Fedex Priort'!N169)</f>
        <v>No service</v>
      </c>
      <c r="O170" s="11" t="s">
        <v>35</v>
      </c>
      <c r="P170" s="11" t="s">
        <v>36</v>
      </c>
      <c r="Q170" s="12">
        <v>80</v>
      </c>
      <c r="R170" s="11" t="s">
        <v>25</v>
      </c>
      <c r="S170" s="3" t="s">
        <v>26</v>
      </c>
      <c r="T170" s="38" t="s">
        <v>27</v>
      </c>
    </row>
    <row r="171" spans="1:20" ht="15.75" customHeight="1" x14ac:dyDescent="0.3">
      <c r="A171" s="39" t="str">
        <f>IF('Rates from Ireland Fedex Priort'!A170="","",'Rates from Ireland Fedex Priort'!A170)</f>
        <v>EU</v>
      </c>
      <c r="B171" s="8" t="str">
        <f>IF('Rates from Ireland Fedex Priort'!B170="","",'Rates from Ireland Fedex Priort'!B170)</f>
        <v>Ireland</v>
      </c>
      <c r="C171" s="9" t="str">
        <f>IF('Rates from Ireland Fedex Priort'!C170="","",'Rates from Ireland Fedex Priort'!C170)</f>
        <v>Palestine</v>
      </c>
      <c r="D171" s="10">
        <f>IF(ISNUMBER('Rates from Ireland Fedex Priort'!D170),_xlfn.CEILING.MATH('Rates from Ireland Fedex Priort'!D170,1)+IF($A171="EU",Variables!$B$5,Variables!$B$2),'Rates from Ireland Fedex Priort'!D170)</f>
        <v>62</v>
      </c>
      <c r="E171" s="10">
        <f>IF(ISNUMBER('Rates from Ireland Fedex Priort'!E170),_xlfn.CEILING.MATH('Rates from Ireland Fedex Priort'!E170,1)+IF($A171="EU",Variables!$B$6,Variables!$B$3),'Rates from Ireland Fedex Priort'!E170)</f>
        <v>69</v>
      </c>
      <c r="F171" s="10">
        <f>IF(ISNUMBER('Rates from Ireland Fedex Priort'!F170),_xlfn.CEILING.MATH('Rates from Ireland Fedex Priort'!F170,1)+IF($A171="EU",Variables!$B$6,Variables!$B$3),'Rates from Ireland Fedex Priort'!F170)</f>
        <v>72</v>
      </c>
      <c r="G171" s="10">
        <f>IF(ISNUMBER('Rates from Ireland Fedex Priort'!G170),_xlfn.CEILING.MATH('Rates from Ireland Fedex Priort'!G170,1)+IF($A171="EU",Variables!$B$6,Variables!$B$3),'Rates from Ireland Fedex Priort'!G170)</f>
        <v>86</v>
      </c>
      <c r="H171" s="10">
        <f>IF(ISNUMBER('Rates from Ireland Fedex Priort'!H170),_xlfn.CEILING.MATH('Rates from Ireland Fedex Priort'!H170,1)+IF($A171="EU",Variables!$B$6,Variables!$B$3),'Rates from Ireland Fedex Priort'!H170)</f>
        <v>111</v>
      </c>
      <c r="I171" s="10">
        <f>IF(ISNUMBER('Rates from Ireland Fedex Priort'!I170),_xlfn.CEILING.MATH('Rates from Ireland Fedex Priort'!I170,1)+IF($A171="EU",Variables!$B$6,Variables!$B$3),'Rates from Ireland Fedex Priort'!I170)</f>
        <v>174</v>
      </c>
      <c r="J171" s="10" t="str">
        <f>IF(ISNUMBER('Rates from Ireland Fedex Priort'!J170),_xlfn.CEILING.MATH('Rates from Ireland Fedex Priort'!J170,1)+IF($A171="EU",Variables!$B$6,Variables!$B$3),'Rates from Ireland Fedex Priort'!J170)</f>
        <v>No service</v>
      </c>
      <c r="K171" s="10" t="str">
        <f>IF(ISNUMBER('Rates from Ireland Fedex Priort'!K170),_xlfn.CEILING.MATH('Rates from Ireland Fedex Priort'!K170,1)+IF($A171="EU",Variables!$B$6,Variables!$B$3),'Rates from Ireland Fedex Priort'!K170)</f>
        <v>No service</v>
      </c>
      <c r="L171" s="10" t="str">
        <f>IF(ISNUMBER('Rates from Ireland Fedex Priort'!L170),_xlfn.CEILING.MATH('Rates from Ireland Fedex Priort'!L170,1)+IF($A171="EU",Variables!$B$6,Variables!$B$3),'Rates from Ireland Fedex Priort'!L170)</f>
        <v>No service</v>
      </c>
      <c r="M171" s="10" t="str">
        <f>IF(ISNUMBER('Rates from Ireland Fedex Priort'!M170),_xlfn.CEILING.MATH('Rates from Ireland Fedex Priort'!M170,1)+IF($A171="EU",Variables!$B$6,Variables!$B$3),'Rates from Ireland Fedex Priort'!M170)</f>
        <v>No service</v>
      </c>
      <c r="N171" s="10" t="str">
        <f>IF(ISNUMBER('Rates from Ireland Fedex Priort'!N170),_xlfn.CEILING.MATH('Rates from Ireland Fedex Priort'!N170,1)+IF($A171="EU",Variables!$B$6,Variables!$B$3),'Rates from Ireland Fedex Priort'!N170)</f>
        <v>No service</v>
      </c>
      <c r="O171" s="11" t="s">
        <v>29</v>
      </c>
      <c r="P171" s="11" t="s">
        <v>30</v>
      </c>
      <c r="Q171" s="12">
        <v>80</v>
      </c>
      <c r="R171" s="11" t="s">
        <v>25</v>
      </c>
      <c r="S171" s="3" t="s">
        <v>26</v>
      </c>
      <c r="T171" s="38" t="s">
        <v>27</v>
      </c>
    </row>
    <row r="172" spans="1:20" ht="15.75" customHeight="1" x14ac:dyDescent="0.3">
      <c r="A172" s="39" t="str">
        <f>IF('Rates from Ireland Fedex Priort'!A171="","",'Rates from Ireland Fedex Priort'!A171)</f>
        <v>EU</v>
      </c>
      <c r="B172" s="8" t="str">
        <f>IF('Rates from Ireland Fedex Priort'!B171="","",'Rates from Ireland Fedex Priort'!B171)</f>
        <v>Ireland</v>
      </c>
      <c r="C172" s="9" t="str">
        <f>IF('Rates from Ireland Fedex Priort'!C171="","",'Rates from Ireland Fedex Priort'!C171)</f>
        <v>Panama</v>
      </c>
      <c r="D172" s="10">
        <f>IF(ISNUMBER('Rates from Ireland Fedex Priort'!D171),_xlfn.CEILING.MATH('Rates from Ireland Fedex Priort'!D171,1)+IF($A172="EU",Variables!$B$5,Variables!$B$2),'Rates from Ireland Fedex Priort'!D171)</f>
        <v>68</v>
      </c>
      <c r="E172" s="10">
        <f>IF(ISNUMBER('Rates from Ireland Fedex Priort'!E171),_xlfn.CEILING.MATH('Rates from Ireland Fedex Priort'!E171,1)+IF($A172="EU",Variables!$B$6,Variables!$B$3),'Rates from Ireland Fedex Priort'!E171)</f>
        <v>77</v>
      </c>
      <c r="F172" s="10">
        <f>IF(ISNUMBER('Rates from Ireland Fedex Priort'!F171),_xlfn.CEILING.MATH('Rates from Ireland Fedex Priort'!F171,1)+IF($A172="EU",Variables!$B$6,Variables!$B$3),'Rates from Ireland Fedex Priort'!F171)</f>
        <v>81</v>
      </c>
      <c r="G172" s="10">
        <f>IF(ISNUMBER('Rates from Ireland Fedex Priort'!G171),_xlfn.CEILING.MATH('Rates from Ireland Fedex Priort'!G171,1)+IF($A172="EU",Variables!$B$6,Variables!$B$3),'Rates from Ireland Fedex Priort'!G171)</f>
        <v>96</v>
      </c>
      <c r="H172" s="10">
        <f>IF(ISNUMBER('Rates from Ireland Fedex Priort'!H171),_xlfn.CEILING.MATH('Rates from Ireland Fedex Priort'!H171,1)+IF($A172="EU",Variables!$B$6,Variables!$B$3),'Rates from Ireland Fedex Priort'!H171)</f>
        <v>117</v>
      </c>
      <c r="I172" s="10">
        <f>IF(ISNUMBER('Rates from Ireland Fedex Priort'!I171),_xlfn.CEILING.MATH('Rates from Ireland Fedex Priort'!I171,1)+IF($A172="EU",Variables!$B$6,Variables!$B$3),'Rates from Ireland Fedex Priort'!I171)</f>
        <v>219</v>
      </c>
      <c r="J172" s="10" t="str">
        <f>IF(ISNUMBER('Rates from Ireland Fedex Priort'!J171),_xlfn.CEILING.MATH('Rates from Ireland Fedex Priort'!J171,1)+IF($A172="EU",Variables!$B$6,Variables!$B$3),'Rates from Ireland Fedex Priort'!J171)</f>
        <v>No service</v>
      </c>
      <c r="K172" s="10" t="str">
        <f>IF(ISNUMBER('Rates from Ireland Fedex Priort'!K171),_xlfn.CEILING.MATH('Rates from Ireland Fedex Priort'!K171,1)+IF($A172="EU",Variables!$B$6,Variables!$B$3),'Rates from Ireland Fedex Priort'!K171)</f>
        <v>No service</v>
      </c>
      <c r="L172" s="10" t="str">
        <f>IF(ISNUMBER('Rates from Ireland Fedex Priort'!L171),_xlfn.CEILING.MATH('Rates from Ireland Fedex Priort'!L171,1)+IF($A172="EU",Variables!$B$6,Variables!$B$3),'Rates from Ireland Fedex Priort'!L171)</f>
        <v>No service</v>
      </c>
      <c r="M172" s="10" t="str">
        <f>IF(ISNUMBER('Rates from Ireland Fedex Priort'!M171),_xlfn.CEILING.MATH('Rates from Ireland Fedex Priort'!M171,1)+IF($A172="EU",Variables!$B$6,Variables!$B$3),'Rates from Ireland Fedex Priort'!M171)</f>
        <v>No service</v>
      </c>
      <c r="N172" s="10" t="str">
        <f>IF(ISNUMBER('Rates from Ireland Fedex Priort'!N171),_xlfn.CEILING.MATH('Rates from Ireland Fedex Priort'!N171,1)+IF($A172="EU",Variables!$B$6,Variables!$B$3),'Rates from Ireland Fedex Priort'!N171)</f>
        <v>No service</v>
      </c>
      <c r="O172" s="11" t="s">
        <v>41</v>
      </c>
      <c r="P172" s="11" t="s">
        <v>23</v>
      </c>
      <c r="Q172" s="12">
        <v>80</v>
      </c>
      <c r="R172" s="11" t="s">
        <v>25</v>
      </c>
      <c r="S172" s="3" t="s">
        <v>26</v>
      </c>
      <c r="T172" s="38" t="s">
        <v>27</v>
      </c>
    </row>
    <row r="173" spans="1:20" ht="15.75" customHeight="1" x14ac:dyDescent="0.3">
      <c r="A173" s="39" t="str">
        <f>IF('Rates from Ireland Fedex Priort'!A172="","",'Rates from Ireland Fedex Priort'!A172)</f>
        <v>EU</v>
      </c>
      <c r="B173" s="8" t="str">
        <f>IF('Rates from Ireland Fedex Priort'!B172="","",'Rates from Ireland Fedex Priort'!B172)</f>
        <v>Ireland</v>
      </c>
      <c r="C173" s="9" t="str">
        <f>IF('Rates from Ireland Fedex Priort'!C172="","",'Rates from Ireland Fedex Priort'!C172)</f>
        <v>Papua New Guinea</v>
      </c>
      <c r="D173" s="10">
        <f>IF(ISNUMBER('Rates from Ireland Fedex Priort'!D172),_xlfn.CEILING.MATH('Rates from Ireland Fedex Priort'!D172,1)+IF($A173="EU",Variables!$B$5,Variables!$B$2),'Rates from Ireland Fedex Priort'!D172)</f>
        <v>72</v>
      </c>
      <c r="E173" s="10">
        <f>IF(ISNUMBER('Rates from Ireland Fedex Priort'!E172),_xlfn.CEILING.MATH('Rates from Ireland Fedex Priort'!E172,1)+IF($A173="EU",Variables!$B$6,Variables!$B$3),'Rates from Ireland Fedex Priort'!E172)</f>
        <v>83</v>
      </c>
      <c r="F173" s="10">
        <f>IF(ISNUMBER('Rates from Ireland Fedex Priort'!F172),_xlfn.CEILING.MATH('Rates from Ireland Fedex Priort'!F172,1)+IF($A173="EU",Variables!$B$6,Variables!$B$3),'Rates from Ireland Fedex Priort'!F172)</f>
        <v>88</v>
      </c>
      <c r="G173" s="10">
        <f>IF(ISNUMBER('Rates from Ireland Fedex Priort'!G172),_xlfn.CEILING.MATH('Rates from Ireland Fedex Priort'!G172,1)+IF($A173="EU",Variables!$B$6,Variables!$B$3),'Rates from Ireland Fedex Priort'!G172)</f>
        <v>106</v>
      </c>
      <c r="H173" s="10">
        <f>IF(ISNUMBER('Rates from Ireland Fedex Priort'!H172),_xlfn.CEILING.MATH('Rates from Ireland Fedex Priort'!H172,1)+IF($A173="EU",Variables!$B$6,Variables!$B$3),'Rates from Ireland Fedex Priort'!H172)</f>
        <v>134</v>
      </c>
      <c r="I173" s="10">
        <f>IF(ISNUMBER('Rates from Ireland Fedex Priort'!I172),_xlfn.CEILING.MATH('Rates from Ireland Fedex Priort'!I172,1)+IF($A173="EU",Variables!$B$6,Variables!$B$3),'Rates from Ireland Fedex Priort'!I172)</f>
        <v>242</v>
      </c>
      <c r="J173" s="10" t="str">
        <f>IF(ISNUMBER('Rates from Ireland Fedex Priort'!J172),_xlfn.CEILING.MATH('Rates from Ireland Fedex Priort'!J172,1)+IF($A173="EU",Variables!$B$6,Variables!$B$3),'Rates from Ireland Fedex Priort'!J172)</f>
        <v>No service</v>
      </c>
      <c r="K173" s="10" t="str">
        <f>IF(ISNUMBER('Rates from Ireland Fedex Priort'!K172),_xlfn.CEILING.MATH('Rates from Ireland Fedex Priort'!K172,1)+IF($A173="EU",Variables!$B$6,Variables!$B$3),'Rates from Ireland Fedex Priort'!K172)</f>
        <v>No service</v>
      </c>
      <c r="L173" s="10" t="str">
        <f>IF(ISNUMBER('Rates from Ireland Fedex Priort'!L172),_xlfn.CEILING.MATH('Rates from Ireland Fedex Priort'!L172,1)+IF($A173="EU",Variables!$B$6,Variables!$B$3),'Rates from Ireland Fedex Priort'!L172)</f>
        <v>No service</v>
      </c>
      <c r="M173" s="10" t="str">
        <f>IF(ISNUMBER('Rates from Ireland Fedex Priort'!M172),_xlfn.CEILING.MATH('Rates from Ireland Fedex Priort'!M172,1)+IF($A173="EU",Variables!$B$6,Variables!$B$3),'Rates from Ireland Fedex Priort'!M172)</f>
        <v>No service</v>
      </c>
      <c r="N173" s="10" t="str">
        <f>IF(ISNUMBER('Rates from Ireland Fedex Priort'!N172),_xlfn.CEILING.MATH('Rates from Ireland Fedex Priort'!N172,1)+IF($A173="EU",Variables!$B$6,Variables!$B$3),'Rates from Ireland Fedex Priort'!N172)</f>
        <v>No service</v>
      </c>
      <c r="O173" s="11" t="s">
        <v>35</v>
      </c>
      <c r="P173" s="11" t="s">
        <v>36</v>
      </c>
      <c r="Q173" s="12">
        <v>80</v>
      </c>
      <c r="R173" s="11" t="s">
        <v>25</v>
      </c>
      <c r="S173" s="3" t="s">
        <v>26</v>
      </c>
      <c r="T173" s="38" t="s">
        <v>27</v>
      </c>
    </row>
    <row r="174" spans="1:20" ht="15.75" customHeight="1" x14ac:dyDescent="0.3">
      <c r="A174" s="39" t="str">
        <f>IF('Rates from Ireland Fedex Priort'!A173="","",'Rates from Ireland Fedex Priort'!A173)</f>
        <v>EU</v>
      </c>
      <c r="B174" s="8" t="str">
        <f>IF('Rates from Ireland Fedex Priort'!B173="","",'Rates from Ireland Fedex Priort'!B173)</f>
        <v>Ireland</v>
      </c>
      <c r="C174" s="9" t="str">
        <f>IF('Rates from Ireland Fedex Priort'!C173="","",'Rates from Ireland Fedex Priort'!C173)</f>
        <v>Paraguay</v>
      </c>
      <c r="D174" s="10">
        <f>IF(ISNUMBER('Rates from Ireland Fedex Priort'!D173),_xlfn.CEILING.MATH('Rates from Ireland Fedex Priort'!D173,1)+IF($A174="EU",Variables!$B$5,Variables!$B$2),'Rates from Ireland Fedex Priort'!D173)</f>
        <v>68</v>
      </c>
      <c r="E174" s="10">
        <f>IF(ISNUMBER('Rates from Ireland Fedex Priort'!E173),_xlfn.CEILING.MATH('Rates from Ireland Fedex Priort'!E173,1)+IF($A174="EU",Variables!$B$6,Variables!$B$3),'Rates from Ireland Fedex Priort'!E173)</f>
        <v>77</v>
      </c>
      <c r="F174" s="10">
        <f>IF(ISNUMBER('Rates from Ireland Fedex Priort'!F173),_xlfn.CEILING.MATH('Rates from Ireland Fedex Priort'!F173,1)+IF($A174="EU",Variables!$B$6,Variables!$B$3),'Rates from Ireland Fedex Priort'!F173)</f>
        <v>81</v>
      </c>
      <c r="G174" s="10">
        <f>IF(ISNUMBER('Rates from Ireland Fedex Priort'!G173),_xlfn.CEILING.MATH('Rates from Ireland Fedex Priort'!G173,1)+IF($A174="EU",Variables!$B$6,Variables!$B$3),'Rates from Ireland Fedex Priort'!G173)</f>
        <v>96</v>
      </c>
      <c r="H174" s="10">
        <f>IF(ISNUMBER('Rates from Ireland Fedex Priort'!H173),_xlfn.CEILING.MATH('Rates from Ireland Fedex Priort'!H173,1)+IF($A174="EU",Variables!$B$6,Variables!$B$3),'Rates from Ireland Fedex Priort'!H173)</f>
        <v>117</v>
      </c>
      <c r="I174" s="10">
        <f>IF(ISNUMBER('Rates from Ireland Fedex Priort'!I173),_xlfn.CEILING.MATH('Rates from Ireland Fedex Priort'!I173,1)+IF($A174="EU",Variables!$B$6,Variables!$B$3),'Rates from Ireland Fedex Priort'!I173)</f>
        <v>219</v>
      </c>
      <c r="J174" s="10" t="str">
        <f>IF(ISNUMBER('Rates from Ireland Fedex Priort'!J173),_xlfn.CEILING.MATH('Rates from Ireland Fedex Priort'!J173,1)+IF($A174="EU",Variables!$B$6,Variables!$B$3),'Rates from Ireland Fedex Priort'!J173)</f>
        <v>No service</v>
      </c>
      <c r="K174" s="10" t="str">
        <f>IF(ISNUMBER('Rates from Ireland Fedex Priort'!K173),_xlfn.CEILING.MATH('Rates from Ireland Fedex Priort'!K173,1)+IF($A174="EU",Variables!$B$6,Variables!$B$3),'Rates from Ireland Fedex Priort'!K173)</f>
        <v>No service</v>
      </c>
      <c r="L174" s="10" t="str">
        <f>IF(ISNUMBER('Rates from Ireland Fedex Priort'!L173),_xlfn.CEILING.MATH('Rates from Ireland Fedex Priort'!L173,1)+IF($A174="EU",Variables!$B$6,Variables!$B$3),'Rates from Ireland Fedex Priort'!L173)</f>
        <v>No service</v>
      </c>
      <c r="M174" s="10" t="str">
        <f>IF(ISNUMBER('Rates from Ireland Fedex Priort'!M173),_xlfn.CEILING.MATH('Rates from Ireland Fedex Priort'!M173,1)+IF($A174="EU",Variables!$B$6,Variables!$B$3),'Rates from Ireland Fedex Priort'!M173)</f>
        <v>No service</v>
      </c>
      <c r="N174" s="10" t="str">
        <f>IF(ISNUMBER('Rates from Ireland Fedex Priort'!N173),_xlfn.CEILING.MATH('Rates from Ireland Fedex Priort'!N173,1)+IF($A174="EU",Variables!$B$6,Variables!$B$3),'Rates from Ireland Fedex Priort'!N173)</f>
        <v>No service</v>
      </c>
      <c r="O174" s="11" t="s">
        <v>41</v>
      </c>
      <c r="P174" s="11" t="s">
        <v>23</v>
      </c>
      <c r="Q174" s="12">
        <v>80</v>
      </c>
      <c r="R174" s="11" t="s">
        <v>25</v>
      </c>
      <c r="S174" s="3" t="s">
        <v>26</v>
      </c>
      <c r="T174" s="38" t="s">
        <v>27</v>
      </c>
    </row>
    <row r="175" spans="1:20" ht="15.75" customHeight="1" x14ac:dyDescent="0.3">
      <c r="A175" s="39" t="str">
        <f>IF('Rates from Ireland Fedex Priort'!A174="","",'Rates from Ireland Fedex Priort'!A174)</f>
        <v>EU</v>
      </c>
      <c r="B175" s="8" t="str">
        <f>IF('Rates from Ireland Fedex Priort'!B174="","",'Rates from Ireland Fedex Priort'!B174)</f>
        <v>Ireland</v>
      </c>
      <c r="C175" s="9" t="str">
        <f>IF('Rates from Ireland Fedex Priort'!C174="","",'Rates from Ireland Fedex Priort'!C174)</f>
        <v>Peru</v>
      </c>
      <c r="D175" s="10">
        <f>IF(ISNUMBER('Rates from Ireland Fedex Priort'!D174),_xlfn.CEILING.MATH('Rates from Ireland Fedex Priort'!D174,1)+IF($A175="EU",Variables!$B$5,Variables!$B$2),'Rates from Ireland Fedex Priort'!D174)</f>
        <v>68</v>
      </c>
      <c r="E175" s="10">
        <f>IF(ISNUMBER('Rates from Ireland Fedex Priort'!E174),_xlfn.CEILING.MATH('Rates from Ireland Fedex Priort'!E174,1)+IF($A175="EU",Variables!$B$6,Variables!$B$3),'Rates from Ireland Fedex Priort'!E174)</f>
        <v>77</v>
      </c>
      <c r="F175" s="10">
        <f>IF(ISNUMBER('Rates from Ireland Fedex Priort'!F174),_xlfn.CEILING.MATH('Rates from Ireland Fedex Priort'!F174,1)+IF($A175="EU",Variables!$B$6,Variables!$B$3),'Rates from Ireland Fedex Priort'!F174)</f>
        <v>81</v>
      </c>
      <c r="G175" s="10">
        <f>IF(ISNUMBER('Rates from Ireland Fedex Priort'!G174),_xlfn.CEILING.MATH('Rates from Ireland Fedex Priort'!G174,1)+IF($A175="EU",Variables!$B$6,Variables!$B$3),'Rates from Ireland Fedex Priort'!G174)</f>
        <v>96</v>
      </c>
      <c r="H175" s="10">
        <f>IF(ISNUMBER('Rates from Ireland Fedex Priort'!H174),_xlfn.CEILING.MATH('Rates from Ireland Fedex Priort'!H174,1)+IF($A175="EU",Variables!$B$6,Variables!$B$3),'Rates from Ireland Fedex Priort'!H174)</f>
        <v>117</v>
      </c>
      <c r="I175" s="10">
        <f>IF(ISNUMBER('Rates from Ireland Fedex Priort'!I174),_xlfn.CEILING.MATH('Rates from Ireland Fedex Priort'!I174,1)+IF($A175="EU",Variables!$B$6,Variables!$B$3),'Rates from Ireland Fedex Priort'!I174)</f>
        <v>219</v>
      </c>
      <c r="J175" s="10" t="str">
        <f>IF(ISNUMBER('Rates from Ireland Fedex Priort'!J174),_xlfn.CEILING.MATH('Rates from Ireland Fedex Priort'!J174,1)+IF($A175="EU",Variables!$B$6,Variables!$B$3),'Rates from Ireland Fedex Priort'!J174)</f>
        <v>No service</v>
      </c>
      <c r="K175" s="10" t="str">
        <f>IF(ISNUMBER('Rates from Ireland Fedex Priort'!K174),_xlfn.CEILING.MATH('Rates from Ireland Fedex Priort'!K174,1)+IF($A175="EU",Variables!$B$6,Variables!$B$3),'Rates from Ireland Fedex Priort'!K174)</f>
        <v>No service</v>
      </c>
      <c r="L175" s="10" t="str">
        <f>IF(ISNUMBER('Rates from Ireland Fedex Priort'!L174),_xlfn.CEILING.MATH('Rates from Ireland Fedex Priort'!L174,1)+IF($A175="EU",Variables!$B$6,Variables!$B$3),'Rates from Ireland Fedex Priort'!L174)</f>
        <v>No service</v>
      </c>
      <c r="M175" s="10" t="str">
        <f>IF(ISNUMBER('Rates from Ireland Fedex Priort'!M174),_xlfn.CEILING.MATH('Rates from Ireland Fedex Priort'!M174,1)+IF($A175="EU",Variables!$B$6,Variables!$B$3),'Rates from Ireland Fedex Priort'!M174)</f>
        <v>No service</v>
      </c>
      <c r="N175" s="10" t="str">
        <f>IF(ISNUMBER('Rates from Ireland Fedex Priort'!N174),_xlfn.CEILING.MATH('Rates from Ireland Fedex Priort'!N174,1)+IF($A175="EU",Variables!$B$6,Variables!$B$3),'Rates from Ireland Fedex Priort'!N174)</f>
        <v>No service</v>
      </c>
      <c r="O175" s="11" t="s">
        <v>41</v>
      </c>
      <c r="P175" s="11" t="s">
        <v>23</v>
      </c>
      <c r="Q175" s="12">
        <v>80</v>
      </c>
      <c r="R175" s="11" t="s">
        <v>25</v>
      </c>
      <c r="S175" s="3" t="s">
        <v>26</v>
      </c>
      <c r="T175" s="38" t="s">
        <v>27</v>
      </c>
    </row>
    <row r="176" spans="1:20" ht="15.75" customHeight="1" x14ac:dyDescent="0.3">
      <c r="A176" s="39" t="str">
        <f>IF('Rates from Ireland Fedex Priort'!A175="","",'Rates from Ireland Fedex Priort'!A175)</f>
        <v>EU</v>
      </c>
      <c r="B176" s="8" t="str">
        <f>IF('Rates from Ireland Fedex Priort'!B175="","",'Rates from Ireland Fedex Priort'!B175)</f>
        <v>Ireland</v>
      </c>
      <c r="C176" s="9" t="str">
        <f>IF('Rates from Ireland Fedex Priort'!C175="","",'Rates from Ireland Fedex Priort'!C175)</f>
        <v>Philippines</v>
      </c>
      <c r="D176" s="10">
        <f>IF(ISNUMBER('Rates from Ireland Fedex Priort'!D175),_xlfn.CEILING.MATH('Rates from Ireland Fedex Priort'!D175,1)+IF($A176="EU",Variables!$B$5,Variables!$B$2),'Rates from Ireland Fedex Priort'!D175)</f>
        <v>69</v>
      </c>
      <c r="E176" s="10">
        <f>IF(ISNUMBER('Rates from Ireland Fedex Priort'!E175),_xlfn.CEILING.MATH('Rates from Ireland Fedex Priort'!E175,1)+IF($A176="EU",Variables!$B$6,Variables!$B$3),'Rates from Ireland Fedex Priort'!E175)</f>
        <v>74</v>
      </c>
      <c r="F176" s="10">
        <f>IF(ISNUMBER('Rates from Ireland Fedex Priort'!F175),_xlfn.CEILING.MATH('Rates from Ireland Fedex Priort'!F175,1)+IF($A176="EU",Variables!$B$6,Variables!$B$3),'Rates from Ireland Fedex Priort'!F175)</f>
        <v>79</v>
      </c>
      <c r="G176" s="10">
        <f>IF(ISNUMBER('Rates from Ireland Fedex Priort'!G175),_xlfn.CEILING.MATH('Rates from Ireland Fedex Priort'!G175,1)+IF($A176="EU",Variables!$B$6,Variables!$B$3),'Rates from Ireland Fedex Priort'!G175)</f>
        <v>95</v>
      </c>
      <c r="H176" s="10">
        <f>IF(ISNUMBER('Rates from Ireland Fedex Priort'!H175),_xlfn.CEILING.MATH('Rates from Ireland Fedex Priort'!H175,1)+IF($A176="EU",Variables!$B$6,Variables!$B$3),'Rates from Ireland Fedex Priort'!H175)</f>
        <v>119</v>
      </c>
      <c r="I176" s="10">
        <f>IF(ISNUMBER('Rates from Ireland Fedex Priort'!I175),_xlfn.CEILING.MATH('Rates from Ireland Fedex Priort'!I175,1)+IF($A176="EU",Variables!$B$6,Variables!$B$3),'Rates from Ireland Fedex Priort'!I175)</f>
        <v>179</v>
      </c>
      <c r="J176" s="10" t="str">
        <f>IF(ISNUMBER('Rates from Ireland Fedex Priort'!J175),_xlfn.CEILING.MATH('Rates from Ireland Fedex Priort'!J175,1)+IF($A176="EU",Variables!$B$6,Variables!$B$3),'Rates from Ireland Fedex Priort'!J175)</f>
        <v>No service</v>
      </c>
      <c r="K176" s="10" t="str">
        <f>IF(ISNUMBER('Rates from Ireland Fedex Priort'!K175),_xlfn.CEILING.MATH('Rates from Ireland Fedex Priort'!K175,1)+IF($A176="EU",Variables!$B$6,Variables!$B$3),'Rates from Ireland Fedex Priort'!K175)</f>
        <v>No service</v>
      </c>
      <c r="L176" s="10" t="str">
        <f>IF(ISNUMBER('Rates from Ireland Fedex Priort'!L175),_xlfn.CEILING.MATH('Rates from Ireland Fedex Priort'!L175,1)+IF($A176="EU",Variables!$B$6,Variables!$B$3),'Rates from Ireland Fedex Priort'!L175)</f>
        <v>No service</v>
      </c>
      <c r="M176" s="10" t="str">
        <f>IF(ISNUMBER('Rates from Ireland Fedex Priort'!M175),_xlfn.CEILING.MATH('Rates from Ireland Fedex Priort'!M175,1)+IF($A176="EU",Variables!$B$6,Variables!$B$3),'Rates from Ireland Fedex Priort'!M175)</f>
        <v>No service</v>
      </c>
      <c r="N176" s="10" t="str">
        <f>IF(ISNUMBER('Rates from Ireland Fedex Priort'!N175),_xlfn.CEILING.MATH('Rates from Ireland Fedex Priort'!N175,1)+IF($A176="EU",Variables!$B$6,Variables!$B$3),'Rates from Ireland Fedex Priort'!N175)</f>
        <v>No service</v>
      </c>
      <c r="O176" s="11" t="s">
        <v>41</v>
      </c>
      <c r="P176" s="11" t="s">
        <v>143</v>
      </c>
      <c r="Q176" s="12">
        <v>80</v>
      </c>
      <c r="R176" s="11" t="s">
        <v>25</v>
      </c>
      <c r="S176" s="3" t="s">
        <v>26</v>
      </c>
      <c r="T176" s="38" t="s">
        <v>27</v>
      </c>
    </row>
    <row r="177" spans="1:20" ht="15.75" customHeight="1" x14ac:dyDescent="0.3">
      <c r="A177" s="39" t="str">
        <f>IF('Rates from Ireland Fedex Priort'!A176="","",'Rates from Ireland Fedex Priort'!A176)</f>
        <v>EU</v>
      </c>
      <c r="B177" s="8" t="str">
        <f>IF('Rates from Ireland Fedex Priort'!B176="","",'Rates from Ireland Fedex Priort'!B176)</f>
        <v>Ireland</v>
      </c>
      <c r="C177" s="9" t="str">
        <f>IF('Rates from Ireland Fedex Priort'!C176="","",'Rates from Ireland Fedex Priort'!C176)</f>
        <v>Pitcairn Islands (BOT)</v>
      </c>
      <c r="D177" s="10" t="str">
        <f>IF(ISNUMBER('Rates from Ireland Fedex Priort'!D176),_xlfn.CEILING.MATH('Rates from Ireland Fedex Priort'!D176,1)+IF($A177="EU",Variables!$B$5,Variables!$B$2),'Rates from Ireland Fedex Priort'!D176)</f>
        <v>No service</v>
      </c>
      <c r="E177" s="10" t="str">
        <f>IF(ISNUMBER('Rates from Ireland Fedex Priort'!E176),_xlfn.CEILING.MATH('Rates from Ireland Fedex Priort'!E176,1)+IF($A177="EU",Variables!$B$6,Variables!$B$3),'Rates from Ireland Fedex Priort'!E176)</f>
        <v>No service</v>
      </c>
      <c r="F177" s="10" t="str">
        <f>IF(ISNUMBER('Rates from Ireland Fedex Priort'!F176),_xlfn.CEILING.MATH('Rates from Ireland Fedex Priort'!F176,1)+IF($A177="EU",Variables!$B$6,Variables!$B$3),'Rates from Ireland Fedex Priort'!F176)</f>
        <v>No service</v>
      </c>
      <c r="G177" s="10" t="str">
        <f>IF(ISNUMBER('Rates from Ireland Fedex Priort'!G176),_xlfn.CEILING.MATH('Rates from Ireland Fedex Priort'!G176,1)+IF($A177="EU",Variables!$B$6,Variables!$B$3),'Rates from Ireland Fedex Priort'!G176)</f>
        <v>No service</v>
      </c>
      <c r="H177" s="10" t="str">
        <f>IF(ISNUMBER('Rates from Ireland Fedex Priort'!H176),_xlfn.CEILING.MATH('Rates from Ireland Fedex Priort'!H176,1)+IF($A177="EU",Variables!$B$6,Variables!$B$3),'Rates from Ireland Fedex Priort'!H176)</f>
        <v>No service</v>
      </c>
      <c r="I177" s="10" t="str">
        <f>IF(ISNUMBER('Rates from Ireland Fedex Priort'!I176),_xlfn.CEILING.MATH('Rates from Ireland Fedex Priort'!I176,1)+IF($A177="EU",Variables!$B$6,Variables!$B$3),'Rates from Ireland Fedex Priort'!I176)</f>
        <v>No service</v>
      </c>
      <c r="J177" s="10" t="str">
        <f>IF(ISNUMBER('Rates from Ireland Fedex Priort'!J176),_xlfn.CEILING.MATH('Rates from Ireland Fedex Priort'!J176,1)+IF($A177="EU",Variables!$B$6,Variables!$B$3),'Rates from Ireland Fedex Priort'!J176)</f>
        <v>No service</v>
      </c>
      <c r="K177" s="10" t="str">
        <f>IF(ISNUMBER('Rates from Ireland Fedex Priort'!K176),_xlfn.CEILING.MATH('Rates from Ireland Fedex Priort'!K176,1)+IF($A177="EU",Variables!$B$6,Variables!$B$3),'Rates from Ireland Fedex Priort'!K176)</f>
        <v>No service</v>
      </c>
      <c r="L177" s="10" t="str">
        <f>IF(ISNUMBER('Rates from Ireland Fedex Priort'!L176),_xlfn.CEILING.MATH('Rates from Ireland Fedex Priort'!L176,1)+IF($A177="EU",Variables!$B$6,Variables!$B$3),'Rates from Ireland Fedex Priort'!L176)</f>
        <v>No service</v>
      </c>
      <c r="M177" s="10" t="str">
        <f>IF(ISNUMBER('Rates from Ireland Fedex Priort'!M176),_xlfn.CEILING.MATH('Rates from Ireland Fedex Priort'!M176,1)+IF($A177="EU",Variables!$B$6,Variables!$B$3),'Rates from Ireland Fedex Priort'!M176)</f>
        <v>No service</v>
      </c>
      <c r="N177" s="10" t="str">
        <f>IF(ISNUMBER('Rates from Ireland Fedex Priort'!N176),_xlfn.CEILING.MATH('Rates from Ireland Fedex Priort'!N176,1)+IF($A177="EU",Variables!$B$6,Variables!$B$3),'Rates from Ireland Fedex Priort'!N176)</f>
        <v>No service</v>
      </c>
      <c r="O177" s="11"/>
      <c r="P177" s="11"/>
      <c r="Q177" s="11"/>
      <c r="R177" s="11"/>
      <c r="S177" s="3" t="s">
        <v>26</v>
      </c>
      <c r="T177" s="38" t="s">
        <v>27</v>
      </c>
    </row>
    <row r="178" spans="1:20" ht="15.75" customHeight="1" x14ac:dyDescent="0.3">
      <c r="A178" s="39" t="str">
        <f>IF('Rates from Ireland Fedex Priort'!A177="","",'Rates from Ireland Fedex Priort'!A177)</f>
        <v>N/A</v>
      </c>
      <c r="B178" s="8" t="str">
        <f>IF('Rates from Ireland Fedex Priort'!B177="","",'Rates from Ireland Fedex Priort'!B177)</f>
        <v>Ireland</v>
      </c>
      <c r="C178" s="9" t="str">
        <f>IF('Rates from Ireland Fedex Priort'!C177="","",'Rates from Ireland Fedex Priort'!C177)</f>
        <v>Poland</v>
      </c>
      <c r="D178" s="10">
        <f>IF(ISNUMBER('Rates from Ireland Fedex Priort'!D177),_xlfn.CEILING.MATH('Rates from Ireland Fedex Priort'!D177,1)+IF($A178="EU",Variables!$B$5,Variables!$B$2),'Rates from Ireland Fedex Priort'!D177)</f>
        <v>78</v>
      </c>
      <c r="E178" s="10">
        <f>IF(ISNUMBER('Rates from Ireland Fedex Priort'!E177),_xlfn.CEILING.MATH('Rates from Ireland Fedex Priort'!E177,1)+IF($A178="EU",Variables!$B$6,Variables!$B$3),'Rates from Ireland Fedex Priort'!E177)</f>
        <v>83</v>
      </c>
      <c r="F178" s="10">
        <f>IF(ISNUMBER('Rates from Ireland Fedex Priort'!F177),_xlfn.CEILING.MATH('Rates from Ireland Fedex Priort'!F177,1)+IF($A178="EU",Variables!$B$6,Variables!$B$3),'Rates from Ireland Fedex Priort'!F177)</f>
        <v>87</v>
      </c>
      <c r="G178" s="10">
        <f>IF(ISNUMBER('Rates from Ireland Fedex Priort'!G177),_xlfn.CEILING.MATH('Rates from Ireland Fedex Priort'!G177,1)+IF($A178="EU",Variables!$B$6,Variables!$B$3),'Rates from Ireland Fedex Priort'!G177)</f>
        <v>89</v>
      </c>
      <c r="H178" s="10">
        <f>IF(ISNUMBER('Rates from Ireland Fedex Priort'!H177),_xlfn.CEILING.MATH('Rates from Ireland Fedex Priort'!H177,1)+IF($A178="EU",Variables!$B$6,Variables!$B$3),'Rates from Ireland Fedex Priort'!H177)</f>
        <v>92</v>
      </c>
      <c r="I178" s="10">
        <f>IF(ISNUMBER('Rates from Ireland Fedex Priort'!I177),_xlfn.CEILING.MATH('Rates from Ireland Fedex Priort'!I177,1)+IF($A178="EU",Variables!$B$6,Variables!$B$3),'Rates from Ireland Fedex Priort'!I177)</f>
        <v>105</v>
      </c>
      <c r="J178" s="10">
        <f>IF(ISNUMBER('Rates from Ireland Fedex Priort'!J177),_xlfn.CEILING.MATH('Rates from Ireland Fedex Priort'!J177,1)+IF($A178="EU",Variables!$B$6,Variables!$B$3),'Rates from Ireland Fedex Priort'!J177)</f>
        <v>113</v>
      </c>
      <c r="K178" s="10">
        <f>IF(ISNUMBER('Rates from Ireland Fedex Priort'!K177),_xlfn.CEILING.MATH('Rates from Ireland Fedex Priort'!K177,1)+IF($A178="EU",Variables!$B$6,Variables!$B$3),'Rates from Ireland Fedex Priort'!K177)</f>
        <v>122</v>
      </c>
      <c r="L178" s="10">
        <f>IF(ISNUMBER('Rates from Ireland Fedex Priort'!L177),_xlfn.CEILING.MATH('Rates from Ireland Fedex Priort'!L177,1)+IF($A178="EU",Variables!$B$6,Variables!$B$3),'Rates from Ireland Fedex Priort'!L177)</f>
        <v>149</v>
      </c>
      <c r="M178" s="10">
        <f>IF(ISNUMBER('Rates from Ireland Fedex Priort'!M177),_xlfn.CEILING.MATH('Rates from Ireland Fedex Priort'!M177,1)+IF($A178="EU",Variables!$B$6,Variables!$B$3),'Rates from Ireland Fedex Priort'!M177)</f>
        <v>157</v>
      </c>
      <c r="N178" s="10">
        <f>IF(ISNUMBER('Rates from Ireland Fedex Priort'!N177),_xlfn.CEILING.MATH('Rates from Ireland Fedex Priort'!N177,1)+IF($A178="EU",Variables!$B$6,Variables!$B$3),'Rates from Ireland Fedex Priort'!N177)</f>
        <v>162</v>
      </c>
      <c r="O178" s="15" t="s">
        <v>61</v>
      </c>
      <c r="P178" s="15" t="s">
        <v>23</v>
      </c>
      <c r="Q178" s="16">
        <v>80</v>
      </c>
      <c r="R178" s="15" t="s">
        <v>25</v>
      </c>
      <c r="S178" s="17" t="s">
        <v>26</v>
      </c>
      <c r="T178" s="40" t="s">
        <v>27</v>
      </c>
    </row>
    <row r="179" spans="1:20" ht="15.75" customHeight="1" x14ac:dyDescent="0.3">
      <c r="A179" s="39" t="str">
        <f>IF('Rates from Ireland Fedex Priort'!A178="","",'Rates from Ireland Fedex Priort'!A178)</f>
        <v>EU</v>
      </c>
      <c r="B179" s="8" t="str">
        <f>IF('Rates from Ireland Fedex Priort'!B178="","",'Rates from Ireland Fedex Priort'!B178)</f>
        <v>Ireland</v>
      </c>
      <c r="C179" s="9" t="str">
        <f>IF('Rates from Ireland Fedex Priort'!C178="","",'Rates from Ireland Fedex Priort'!C178)</f>
        <v>Portugal</v>
      </c>
      <c r="D179" s="10">
        <f>IF(ISNUMBER('Rates from Ireland Fedex Priort'!D178),_xlfn.CEILING.MATH('Rates from Ireland Fedex Priort'!D178,1)+IF($A179="EU",Variables!$B$5,Variables!$B$2),'Rates from Ireland Fedex Priort'!D178)</f>
        <v>63</v>
      </c>
      <c r="E179" s="10">
        <f>IF(ISNUMBER('Rates from Ireland Fedex Priort'!E178),_xlfn.CEILING.MATH('Rates from Ireland Fedex Priort'!E178,1)+IF($A179="EU",Variables!$B$6,Variables!$B$3),'Rates from Ireland Fedex Priort'!E178)</f>
        <v>65</v>
      </c>
      <c r="F179" s="10">
        <f>IF(ISNUMBER('Rates from Ireland Fedex Priort'!F178),_xlfn.CEILING.MATH('Rates from Ireland Fedex Priort'!F178,1)+IF($A179="EU",Variables!$B$6,Variables!$B$3),'Rates from Ireland Fedex Priort'!F178)</f>
        <v>65</v>
      </c>
      <c r="G179" s="10">
        <f>IF(ISNUMBER('Rates from Ireland Fedex Priort'!G178),_xlfn.CEILING.MATH('Rates from Ireland Fedex Priort'!G178,1)+IF($A179="EU",Variables!$B$6,Variables!$B$3),'Rates from Ireland Fedex Priort'!G178)</f>
        <v>67</v>
      </c>
      <c r="H179" s="10">
        <f>IF(ISNUMBER('Rates from Ireland Fedex Priort'!H178),_xlfn.CEILING.MATH('Rates from Ireland Fedex Priort'!H178,1)+IF($A179="EU",Variables!$B$6,Variables!$B$3),'Rates from Ireland Fedex Priort'!H178)</f>
        <v>71</v>
      </c>
      <c r="I179" s="10">
        <f>IF(ISNUMBER('Rates from Ireland Fedex Priort'!I178),_xlfn.CEILING.MATH('Rates from Ireland Fedex Priort'!I178,1)+IF($A179="EU",Variables!$B$6,Variables!$B$3),'Rates from Ireland Fedex Priort'!I178)</f>
        <v>78</v>
      </c>
      <c r="J179" s="10">
        <f>IF(ISNUMBER('Rates from Ireland Fedex Priort'!J178),_xlfn.CEILING.MATH('Rates from Ireland Fedex Priort'!J178,1)+IF($A179="EU",Variables!$B$6,Variables!$B$3),'Rates from Ireland Fedex Priort'!J178)</f>
        <v>88</v>
      </c>
      <c r="K179" s="10">
        <f>IF(ISNUMBER('Rates from Ireland Fedex Priort'!K178),_xlfn.CEILING.MATH('Rates from Ireland Fedex Priort'!K178,1)+IF($A179="EU",Variables!$B$6,Variables!$B$3),'Rates from Ireland Fedex Priort'!K178)</f>
        <v>93</v>
      </c>
      <c r="L179" s="10">
        <f>IF(ISNUMBER('Rates from Ireland Fedex Priort'!L178),_xlfn.CEILING.MATH('Rates from Ireland Fedex Priort'!L178,1)+IF($A179="EU",Variables!$B$6,Variables!$B$3),'Rates from Ireland Fedex Priort'!L178)</f>
        <v>118</v>
      </c>
      <c r="M179" s="10">
        <f>IF(ISNUMBER('Rates from Ireland Fedex Priort'!M178),_xlfn.CEILING.MATH('Rates from Ireland Fedex Priort'!M178,1)+IF($A179="EU",Variables!$B$6,Variables!$B$3),'Rates from Ireland Fedex Priort'!M178)</f>
        <v>113</v>
      </c>
      <c r="N179" s="10">
        <f>IF(ISNUMBER('Rates from Ireland Fedex Priort'!N178),_xlfn.CEILING.MATH('Rates from Ireland Fedex Priort'!N178,1)+IF($A179="EU",Variables!$B$6,Variables!$B$3),'Rates from Ireland Fedex Priort'!N178)</f>
        <v>127</v>
      </c>
      <c r="O179" s="15" t="s">
        <v>29</v>
      </c>
      <c r="P179" s="15" t="s">
        <v>23</v>
      </c>
      <c r="Q179" s="16">
        <v>80</v>
      </c>
      <c r="R179" s="15" t="s">
        <v>25</v>
      </c>
      <c r="S179" s="17" t="s">
        <v>26</v>
      </c>
      <c r="T179" s="40" t="s">
        <v>27</v>
      </c>
    </row>
    <row r="180" spans="1:20" ht="15.75" customHeight="1" x14ac:dyDescent="0.3">
      <c r="A180" s="39" t="str">
        <f>IF('Rates from Ireland Fedex Priort'!A179="","",'Rates from Ireland Fedex Priort'!A179)</f>
        <v>EU</v>
      </c>
      <c r="B180" s="8" t="str">
        <f>IF('Rates from Ireland Fedex Priort'!B179="","",'Rates from Ireland Fedex Priort'!B179)</f>
        <v>Ireland</v>
      </c>
      <c r="C180" s="9" t="str">
        <f>IF('Rates from Ireland Fedex Priort'!C179="","",'Rates from Ireland Fedex Priort'!C179)</f>
        <v>Puerto Rico (US)</v>
      </c>
      <c r="D180" s="10">
        <f>IF(ISNUMBER('Rates from Ireland Fedex Priort'!D179),_xlfn.CEILING.MATH('Rates from Ireland Fedex Priort'!D179,1)+IF($A180="EU",Variables!$B$5,Variables!$B$2),'Rates from Ireland Fedex Priort'!D179)</f>
        <v>68</v>
      </c>
      <c r="E180" s="10">
        <f>IF(ISNUMBER('Rates from Ireland Fedex Priort'!E179),_xlfn.CEILING.MATH('Rates from Ireland Fedex Priort'!E179,1)+IF($A180="EU",Variables!$B$6,Variables!$B$3),'Rates from Ireland Fedex Priort'!E179)</f>
        <v>77</v>
      </c>
      <c r="F180" s="10">
        <f>IF(ISNUMBER('Rates from Ireland Fedex Priort'!F179),_xlfn.CEILING.MATH('Rates from Ireland Fedex Priort'!F179,1)+IF($A180="EU",Variables!$B$6,Variables!$B$3),'Rates from Ireland Fedex Priort'!F179)</f>
        <v>81</v>
      </c>
      <c r="G180" s="10">
        <f>IF(ISNUMBER('Rates from Ireland Fedex Priort'!G179),_xlfn.CEILING.MATH('Rates from Ireland Fedex Priort'!G179,1)+IF($A180="EU",Variables!$B$6,Variables!$B$3),'Rates from Ireland Fedex Priort'!G179)</f>
        <v>96</v>
      </c>
      <c r="H180" s="10">
        <f>IF(ISNUMBER('Rates from Ireland Fedex Priort'!H179),_xlfn.CEILING.MATH('Rates from Ireland Fedex Priort'!H179,1)+IF($A180="EU",Variables!$B$6,Variables!$B$3),'Rates from Ireland Fedex Priort'!H179)</f>
        <v>117</v>
      </c>
      <c r="I180" s="10">
        <f>IF(ISNUMBER('Rates from Ireland Fedex Priort'!I179),_xlfn.CEILING.MATH('Rates from Ireland Fedex Priort'!I179,1)+IF($A180="EU",Variables!$B$6,Variables!$B$3),'Rates from Ireland Fedex Priort'!I179)</f>
        <v>219</v>
      </c>
      <c r="J180" s="10" t="str">
        <f>IF(ISNUMBER('Rates from Ireland Fedex Priort'!J179),_xlfn.CEILING.MATH('Rates from Ireland Fedex Priort'!J179,1)+IF($A180="EU",Variables!$B$6,Variables!$B$3),'Rates from Ireland Fedex Priort'!J179)</f>
        <v>No service</v>
      </c>
      <c r="K180" s="10" t="str">
        <f>IF(ISNUMBER('Rates from Ireland Fedex Priort'!K179),_xlfn.CEILING.MATH('Rates from Ireland Fedex Priort'!K179,1)+IF($A180="EU",Variables!$B$6,Variables!$B$3),'Rates from Ireland Fedex Priort'!K179)</f>
        <v>No service</v>
      </c>
      <c r="L180" s="10" t="str">
        <f>IF(ISNUMBER('Rates from Ireland Fedex Priort'!L179),_xlfn.CEILING.MATH('Rates from Ireland Fedex Priort'!L179,1)+IF($A180="EU",Variables!$B$6,Variables!$B$3),'Rates from Ireland Fedex Priort'!L179)</f>
        <v>No service</v>
      </c>
      <c r="M180" s="10" t="str">
        <f>IF(ISNUMBER('Rates from Ireland Fedex Priort'!M179),_xlfn.CEILING.MATH('Rates from Ireland Fedex Priort'!M179,1)+IF($A180="EU",Variables!$B$6,Variables!$B$3),'Rates from Ireland Fedex Priort'!M179)</f>
        <v>No service</v>
      </c>
      <c r="N180" s="10" t="str">
        <f>IF(ISNUMBER('Rates from Ireland Fedex Priort'!N179),_xlfn.CEILING.MATH('Rates from Ireland Fedex Priort'!N179,1)+IF($A180="EU",Variables!$B$6,Variables!$B$3),'Rates from Ireland Fedex Priort'!N179)</f>
        <v>No service</v>
      </c>
      <c r="O180" s="11" t="s">
        <v>41</v>
      </c>
      <c r="P180" s="11" t="s">
        <v>23</v>
      </c>
      <c r="Q180" s="12">
        <v>80</v>
      </c>
      <c r="R180" s="11" t="s">
        <v>25</v>
      </c>
      <c r="S180" s="3" t="s">
        <v>26</v>
      </c>
      <c r="T180" s="38" t="s">
        <v>27</v>
      </c>
    </row>
    <row r="181" spans="1:20" ht="15.75" customHeight="1" x14ac:dyDescent="0.3">
      <c r="A181" s="39" t="str">
        <f>IF('Rates from Ireland Fedex Priort'!A180="","",'Rates from Ireland Fedex Priort'!A180)</f>
        <v>EU</v>
      </c>
      <c r="B181" s="8" t="str">
        <f>IF('Rates from Ireland Fedex Priort'!B180="","",'Rates from Ireland Fedex Priort'!B180)</f>
        <v>Ireland</v>
      </c>
      <c r="C181" s="9" t="str">
        <f>IF('Rates from Ireland Fedex Priort'!C180="","",'Rates from Ireland Fedex Priort'!C180)</f>
        <v>Qatar</v>
      </c>
      <c r="D181" s="10">
        <f>IF(ISNUMBER('Rates from Ireland Fedex Priort'!D180),_xlfn.CEILING.MATH('Rates from Ireland Fedex Priort'!D180,1)+IF($A181="EU",Variables!$B$5,Variables!$B$2),'Rates from Ireland Fedex Priort'!D180)</f>
        <v>62</v>
      </c>
      <c r="E181" s="10">
        <f>IF(ISNUMBER('Rates from Ireland Fedex Priort'!E180),_xlfn.CEILING.MATH('Rates from Ireland Fedex Priort'!E180,1)+IF($A181="EU",Variables!$B$6,Variables!$B$3),'Rates from Ireland Fedex Priort'!E180)</f>
        <v>69</v>
      </c>
      <c r="F181" s="10">
        <f>IF(ISNUMBER('Rates from Ireland Fedex Priort'!F180),_xlfn.CEILING.MATH('Rates from Ireland Fedex Priort'!F180,1)+IF($A181="EU",Variables!$B$6,Variables!$B$3),'Rates from Ireland Fedex Priort'!F180)</f>
        <v>72</v>
      </c>
      <c r="G181" s="10">
        <f>IF(ISNUMBER('Rates from Ireland Fedex Priort'!G180),_xlfn.CEILING.MATH('Rates from Ireland Fedex Priort'!G180,1)+IF($A181="EU",Variables!$B$6,Variables!$B$3),'Rates from Ireland Fedex Priort'!G180)</f>
        <v>86</v>
      </c>
      <c r="H181" s="10">
        <f>IF(ISNUMBER('Rates from Ireland Fedex Priort'!H180),_xlfn.CEILING.MATH('Rates from Ireland Fedex Priort'!H180,1)+IF($A181="EU",Variables!$B$6,Variables!$B$3),'Rates from Ireland Fedex Priort'!H180)</f>
        <v>111</v>
      </c>
      <c r="I181" s="10">
        <f>IF(ISNUMBER('Rates from Ireland Fedex Priort'!I180),_xlfn.CEILING.MATH('Rates from Ireland Fedex Priort'!I180,1)+IF($A181="EU",Variables!$B$6,Variables!$B$3),'Rates from Ireland Fedex Priort'!I180)</f>
        <v>174</v>
      </c>
      <c r="J181" s="10" t="str">
        <f>IF(ISNUMBER('Rates from Ireland Fedex Priort'!J180),_xlfn.CEILING.MATH('Rates from Ireland Fedex Priort'!J180,1)+IF($A181="EU",Variables!$B$6,Variables!$B$3),'Rates from Ireland Fedex Priort'!J180)</f>
        <v>No service</v>
      </c>
      <c r="K181" s="10" t="str">
        <f>IF(ISNUMBER('Rates from Ireland Fedex Priort'!K180),_xlfn.CEILING.MATH('Rates from Ireland Fedex Priort'!K180,1)+IF($A181="EU",Variables!$B$6,Variables!$B$3),'Rates from Ireland Fedex Priort'!K180)</f>
        <v>No service</v>
      </c>
      <c r="L181" s="10" t="str">
        <f>IF(ISNUMBER('Rates from Ireland Fedex Priort'!L180),_xlfn.CEILING.MATH('Rates from Ireland Fedex Priort'!L180,1)+IF($A181="EU",Variables!$B$6,Variables!$B$3),'Rates from Ireland Fedex Priort'!L180)</f>
        <v>No service</v>
      </c>
      <c r="M181" s="10" t="str">
        <f>IF(ISNUMBER('Rates from Ireland Fedex Priort'!M180),_xlfn.CEILING.MATH('Rates from Ireland Fedex Priort'!M180,1)+IF($A181="EU",Variables!$B$6,Variables!$B$3),'Rates from Ireland Fedex Priort'!M180)</f>
        <v>No service</v>
      </c>
      <c r="N181" s="10" t="str">
        <f>IF(ISNUMBER('Rates from Ireland Fedex Priort'!N180),_xlfn.CEILING.MATH('Rates from Ireland Fedex Priort'!N180,1)+IF($A181="EU",Variables!$B$6,Variables!$B$3),'Rates from Ireland Fedex Priort'!N180)</f>
        <v>No service</v>
      </c>
      <c r="O181" s="11" t="s">
        <v>29</v>
      </c>
      <c r="P181" s="11" t="s">
        <v>30</v>
      </c>
      <c r="Q181" s="12">
        <v>80</v>
      </c>
      <c r="R181" s="11" t="s">
        <v>25</v>
      </c>
      <c r="S181" s="3" t="s">
        <v>26</v>
      </c>
      <c r="T181" s="38" t="s">
        <v>27</v>
      </c>
    </row>
    <row r="182" spans="1:20" ht="15.75" customHeight="1" x14ac:dyDescent="0.3">
      <c r="A182" s="39" t="str">
        <f>IF('Rates from Ireland Fedex Priort'!A181="","",'Rates from Ireland Fedex Priort'!A181)</f>
        <v>EU</v>
      </c>
      <c r="B182" s="8" t="str">
        <f>IF('Rates from Ireland Fedex Priort'!B181="","",'Rates from Ireland Fedex Priort'!B181)</f>
        <v>Ireland</v>
      </c>
      <c r="C182" s="9" t="str">
        <f>IF('Rates from Ireland Fedex Priort'!C181="","",'Rates from Ireland Fedex Priort'!C181)</f>
        <v>Réunion (France)</v>
      </c>
      <c r="D182" s="10">
        <f>IF(ISNUMBER('Rates from Ireland Fedex Priort'!D181),_xlfn.CEILING.MATH('Rates from Ireland Fedex Priort'!D181,1)+IF($A182="EU",Variables!$B$5,Variables!$B$2),'Rates from Ireland Fedex Priort'!D181)</f>
        <v>72</v>
      </c>
      <c r="E182" s="10">
        <f>IF(ISNUMBER('Rates from Ireland Fedex Priort'!E181),_xlfn.CEILING.MATH('Rates from Ireland Fedex Priort'!E181,1)+IF($A182="EU",Variables!$B$6,Variables!$B$3),'Rates from Ireland Fedex Priort'!E181)</f>
        <v>83</v>
      </c>
      <c r="F182" s="10">
        <f>IF(ISNUMBER('Rates from Ireland Fedex Priort'!F181),_xlfn.CEILING.MATH('Rates from Ireland Fedex Priort'!F181,1)+IF($A182="EU",Variables!$B$6,Variables!$B$3),'Rates from Ireland Fedex Priort'!F181)</f>
        <v>88</v>
      </c>
      <c r="G182" s="10">
        <f>IF(ISNUMBER('Rates from Ireland Fedex Priort'!G181),_xlfn.CEILING.MATH('Rates from Ireland Fedex Priort'!G181,1)+IF($A182="EU",Variables!$B$6,Variables!$B$3),'Rates from Ireland Fedex Priort'!G181)</f>
        <v>106</v>
      </c>
      <c r="H182" s="10">
        <f>IF(ISNUMBER('Rates from Ireland Fedex Priort'!H181),_xlfn.CEILING.MATH('Rates from Ireland Fedex Priort'!H181,1)+IF($A182="EU",Variables!$B$6,Variables!$B$3),'Rates from Ireland Fedex Priort'!H181)</f>
        <v>134</v>
      </c>
      <c r="I182" s="10">
        <f>IF(ISNUMBER('Rates from Ireland Fedex Priort'!I181),_xlfn.CEILING.MATH('Rates from Ireland Fedex Priort'!I181,1)+IF($A182="EU",Variables!$B$6,Variables!$B$3),'Rates from Ireland Fedex Priort'!I181)</f>
        <v>242</v>
      </c>
      <c r="J182" s="10" t="str">
        <f>IF(ISNUMBER('Rates from Ireland Fedex Priort'!J181),_xlfn.CEILING.MATH('Rates from Ireland Fedex Priort'!J181,1)+IF($A182="EU",Variables!$B$6,Variables!$B$3),'Rates from Ireland Fedex Priort'!J181)</f>
        <v>No service</v>
      </c>
      <c r="K182" s="10" t="str">
        <f>IF(ISNUMBER('Rates from Ireland Fedex Priort'!K181),_xlfn.CEILING.MATH('Rates from Ireland Fedex Priort'!K181,1)+IF($A182="EU",Variables!$B$6,Variables!$B$3),'Rates from Ireland Fedex Priort'!K181)</f>
        <v>No service</v>
      </c>
      <c r="L182" s="10" t="str">
        <f>IF(ISNUMBER('Rates from Ireland Fedex Priort'!L181),_xlfn.CEILING.MATH('Rates from Ireland Fedex Priort'!L181,1)+IF($A182="EU",Variables!$B$6,Variables!$B$3),'Rates from Ireland Fedex Priort'!L181)</f>
        <v>No service</v>
      </c>
      <c r="M182" s="10" t="str">
        <f>IF(ISNUMBER('Rates from Ireland Fedex Priort'!M181),_xlfn.CEILING.MATH('Rates from Ireland Fedex Priort'!M181,1)+IF($A182="EU",Variables!$B$6,Variables!$B$3),'Rates from Ireland Fedex Priort'!M181)</f>
        <v>No service</v>
      </c>
      <c r="N182" s="10" t="str">
        <f>IF(ISNUMBER('Rates from Ireland Fedex Priort'!N181),_xlfn.CEILING.MATH('Rates from Ireland Fedex Priort'!N181,1)+IF($A182="EU",Variables!$B$6,Variables!$B$3),'Rates from Ireland Fedex Priort'!N181)</f>
        <v>No service</v>
      </c>
      <c r="O182" s="11" t="s">
        <v>35</v>
      </c>
      <c r="P182" s="11" t="s">
        <v>36</v>
      </c>
      <c r="Q182" s="12">
        <v>80</v>
      </c>
      <c r="R182" s="11" t="s">
        <v>25</v>
      </c>
      <c r="S182" s="3" t="s">
        <v>26</v>
      </c>
      <c r="T182" s="38" t="s">
        <v>27</v>
      </c>
    </row>
    <row r="183" spans="1:20" ht="15.75" customHeight="1" x14ac:dyDescent="0.3">
      <c r="A183" s="39" t="str">
        <f>IF('Rates from Ireland Fedex Priort'!A182="","",'Rates from Ireland Fedex Priort'!A182)</f>
        <v>EU</v>
      </c>
      <c r="B183" s="8" t="str">
        <f>IF('Rates from Ireland Fedex Priort'!B182="","",'Rates from Ireland Fedex Priort'!B182)</f>
        <v>Ireland</v>
      </c>
      <c r="C183" s="9" t="str">
        <f>IF('Rates from Ireland Fedex Priort'!C182="","",'Rates from Ireland Fedex Priort'!C182)</f>
        <v>Romania</v>
      </c>
      <c r="D183" s="10">
        <f>IF(ISNUMBER('Rates from Ireland Fedex Priort'!D182),_xlfn.CEILING.MATH('Rates from Ireland Fedex Priort'!D182,1)+IF($A183="EU",Variables!$B$5,Variables!$B$2),'Rates from Ireland Fedex Priort'!D182)</f>
        <v>67</v>
      </c>
      <c r="E183" s="10">
        <f>IF(ISNUMBER('Rates from Ireland Fedex Priort'!E182),_xlfn.CEILING.MATH('Rates from Ireland Fedex Priort'!E182,1)+IF($A183="EU",Variables!$B$6,Variables!$B$3),'Rates from Ireland Fedex Priort'!E182)</f>
        <v>74</v>
      </c>
      <c r="F183" s="10">
        <f>IF(ISNUMBER('Rates from Ireland Fedex Priort'!F182),_xlfn.CEILING.MATH('Rates from Ireland Fedex Priort'!F182,1)+IF($A183="EU",Variables!$B$6,Variables!$B$3),'Rates from Ireland Fedex Priort'!F182)</f>
        <v>77</v>
      </c>
      <c r="G183" s="10">
        <f>IF(ISNUMBER('Rates from Ireland Fedex Priort'!G182),_xlfn.CEILING.MATH('Rates from Ireland Fedex Priort'!G182,1)+IF($A183="EU",Variables!$B$6,Variables!$B$3),'Rates from Ireland Fedex Priort'!G182)</f>
        <v>79</v>
      </c>
      <c r="H183" s="10">
        <f>IF(ISNUMBER('Rates from Ireland Fedex Priort'!H182),_xlfn.CEILING.MATH('Rates from Ireland Fedex Priort'!H182,1)+IF($A183="EU",Variables!$B$6,Variables!$B$3),'Rates from Ireland Fedex Priort'!H182)</f>
        <v>82</v>
      </c>
      <c r="I183" s="10">
        <f>IF(ISNUMBER('Rates from Ireland Fedex Priort'!I182),_xlfn.CEILING.MATH('Rates from Ireland Fedex Priort'!I182,1)+IF($A183="EU",Variables!$B$6,Variables!$B$3),'Rates from Ireland Fedex Priort'!I182)</f>
        <v>95</v>
      </c>
      <c r="J183" s="10" t="str">
        <f>IF(ISNUMBER('Rates from Ireland Fedex Priort'!J182),_xlfn.CEILING.MATH('Rates from Ireland Fedex Priort'!J182,1)+IF($A183="EU",Variables!$B$6,Variables!$B$3),'Rates from Ireland Fedex Priort'!J182)</f>
        <v>No service</v>
      </c>
      <c r="K183" s="10" t="str">
        <f>IF(ISNUMBER('Rates from Ireland Fedex Priort'!K182),_xlfn.CEILING.MATH('Rates from Ireland Fedex Priort'!K182,1)+IF($A183="EU",Variables!$B$6,Variables!$B$3),'Rates from Ireland Fedex Priort'!K182)</f>
        <v>No service</v>
      </c>
      <c r="L183" s="10" t="str">
        <f>IF(ISNUMBER('Rates from Ireland Fedex Priort'!L182),_xlfn.CEILING.MATH('Rates from Ireland Fedex Priort'!L182,1)+IF($A183="EU",Variables!$B$6,Variables!$B$3),'Rates from Ireland Fedex Priort'!L182)</f>
        <v>No service</v>
      </c>
      <c r="M183" s="10" t="str">
        <f>IF(ISNUMBER('Rates from Ireland Fedex Priort'!M182),_xlfn.CEILING.MATH('Rates from Ireland Fedex Priort'!M182,1)+IF($A183="EU",Variables!$B$6,Variables!$B$3),'Rates from Ireland Fedex Priort'!M182)</f>
        <v>No service</v>
      </c>
      <c r="N183" s="10" t="str">
        <f>IF(ISNUMBER('Rates from Ireland Fedex Priort'!N182),_xlfn.CEILING.MATH('Rates from Ireland Fedex Priort'!N182,1)+IF($A183="EU",Variables!$B$6,Variables!$B$3),'Rates from Ireland Fedex Priort'!N182)</f>
        <v>No service</v>
      </c>
      <c r="O183" s="11" t="s">
        <v>29</v>
      </c>
      <c r="P183" s="11" t="s">
        <v>69</v>
      </c>
      <c r="Q183" s="12">
        <v>80</v>
      </c>
      <c r="R183" s="11" t="s">
        <v>25</v>
      </c>
      <c r="S183" s="3" t="s">
        <v>26</v>
      </c>
      <c r="T183" s="38" t="s">
        <v>27</v>
      </c>
    </row>
    <row r="184" spans="1:20" ht="15.75" customHeight="1" x14ac:dyDescent="0.3">
      <c r="A184" s="39" t="str">
        <f>IF('Rates from Ireland Fedex Priort'!A183="","",'Rates from Ireland Fedex Priort'!A183)</f>
        <v>EU</v>
      </c>
      <c r="B184" s="8" t="str">
        <f>IF('Rates from Ireland Fedex Priort'!B183="","",'Rates from Ireland Fedex Priort'!B183)</f>
        <v>Ireland</v>
      </c>
      <c r="C184" s="9" t="str">
        <f>IF('Rates from Ireland Fedex Priort'!C183="","",'Rates from Ireland Fedex Priort'!C183)</f>
        <v>Russia</v>
      </c>
      <c r="D184" s="10" t="str">
        <f>IF(ISNUMBER('Rates from Ireland Fedex Priort'!D183),_xlfn.CEILING.MATH('Rates from Ireland Fedex Priort'!D183,1)+IF($A184="EU",Variables!$B$5,Variables!$B$2),'Rates from Ireland Fedex Priort'!D183)</f>
        <v>No service</v>
      </c>
      <c r="E184" s="10" t="str">
        <f>IF(ISNUMBER('Rates from Ireland Fedex Priort'!E183),_xlfn.CEILING.MATH('Rates from Ireland Fedex Priort'!E183,1)+IF($A184="EU",Variables!$B$6,Variables!$B$3),'Rates from Ireland Fedex Priort'!E183)</f>
        <v>No service</v>
      </c>
      <c r="F184" s="10" t="str">
        <f>IF(ISNUMBER('Rates from Ireland Fedex Priort'!F183),_xlfn.CEILING.MATH('Rates from Ireland Fedex Priort'!F183,1)+IF($A184="EU",Variables!$B$6,Variables!$B$3),'Rates from Ireland Fedex Priort'!F183)</f>
        <v>No service</v>
      </c>
      <c r="G184" s="10" t="str">
        <f>IF(ISNUMBER('Rates from Ireland Fedex Priort'!G183),_xlfn.CEILING.MATH('Rates from Ireland Fedex Priort'!G183,1)+IF($A184="EU",Variables!$B$6,Variables!$B$3),'Rates from Ireland Fedex Priort'!G183)</f>
        <v>No service</v>
      </c>
      <c r="H184" s="10" t="str">
        <f>IF(ISNUMBER('Rates from Ireland Fedex Priort'!H183),_xlfn.CEILING.MATH('Rates from Ireland Fedex Priort'!H183,1)+IF($A184="EU",Variables!$B$6,Variables!$B$3),'Rates from Ireland Fedex Priort'!H183)</f>
        <v>No service</v>
      </c>
      <c r="I184" s="10" t="str">
        <f>IF(ISNUMBER('Rates from Ireland Fedex Priort'!I183),_xlfn.CEILING.MATH('Rates from Ireland Fedex Priort'!I183,1)+IF($A184="EU",Variables!$B$6,Variables!$B$3),'Rates from Ireland Fedex Priort'!I183)</f>
        <v>No service</v>
      </c>
      <c r="J184" s="10" t="str">
        <f>IF(ISNUMBER('Rates from Ireland Fedex Priort'!J183),_xlfn.CEILING.MATH('Rates from Ireland Fedex Priort'!J183,1)+IF($A184="EU",Variables!$B$6,Variables!$B$3),'Rates from Ireland Fedex Priort'!J183)</f>
        <v>No service</v>
      </c>
      <c r="K184" s="10" t="str">
        <f>IF(ISNUMBER('Rates from Ireland Fedex Priort'!K183),_xlfn.CEILING.MATH('Rates from Ireland Fedex Priort'!K183,1)+IF($A184="EU",Variables!$B$6,Variables!$B$3),'Rates from Ireland Fedex Priort'!K183)</f>
        <v>No service</v>
      </c>
      <c r="L184" s="10" t="str">
        <f>IF(ISNUMBER('Rates from Ireland Fedex Priort'!L183),_xlfn.CEILING.MATH('Rates from Ireland Fedex Priort'!L183,1)+IF($A184="EU",Variables!$B$6,Variables!$B$3),'Rates from Ireland Fedex Priort'!L183)</f>
        <v>No service</v>
      </c>
      <c r="M184" s="10" t="str">
        <f>IF(ISNUMBER('Rates from Ireland Fedex Priort'!M183),_xlfn.CEILING.MATH('Rates from Ireland Fedex Priort'!M183,1)+IF($A184="EU",Variables!$B$6,Variables!$B$3),'Rates from Ireland Fedex Priort'!M183)</f>
        <v>No service</v>
      </c>
      <c r="N184" s="10" t="str">
        <f>IF(ISNUMBER('Rates from Ireland Fedex Priort'!N183),_xlfn.CEILING.MATH('Rates from Ireland Fedex Priort'!N183,1)+IF($A184="EU",Variables!$B$6,Variables!$B$3),'Rates from Ireland Fedex Priort'!N183)</f>
        <v>No service</v>
      </c>
      <c r="O184" s="11"/>
      <c r="P184" s="11"/>
      <c r="Q184" s="11"/>
      <c r="R184" s="11"/>
      <c r="S184" s="3" t="s">
        <v>26</v>
      </c>
      <c r="T184" s="38" t="s">
        <v>27</v>
      </c>
    </row>
    <row r="185" spans="1:20" ht="15.75" customHeight="1" x14ac:dyDescent="0.3">
      <c r="A185" s="39" t="str">
        <f>IF('Rates from Ireland Fedex Priort'!A184="","",'Rates from Ireland Fedex Priort'!A184)</f>
        <v>EU</v>
      </c>
      <c r="B185" s="8" t="str">
        <f>IF('Rates from Ireland Fedex Priort'!B184="","",'Rates from Ireland Fedex Priort'!B184)</f>
        <v>Ireland</v>
      </c>
      <c r="C185" s="9" t="str">
        <f>IF('Rates from Ireland Fedex Priort'!C184="","",'Rates from Ireland Fedex Priort'!C184)</f>
        <v>Rwanda</v>
      </c>
      <c r="D185" s="10">
        <f>IF(ISNUMBER('Rates from Ireland Fedex Priort'!D184),_xlfn.CEILING.MATH('Rates from Ireland Fedex Priort'!D184,1)+IF($A185="EU",Variables!$B$5,Variables!$B$2),'Rates from Ireland Fedex Priort'!D184)</f>
        <v>76</v>
      </c>
      <c r="E185" s="10">
        <f>IF(ISNUMBER('Rates from Ireland Fedex Priort'!E184),_xlfn.CEILING.MATH('Rates from Ireland Fedex Priort'!E184,1)+IF($A185="EU",Variables!$B$6,Variables!$B$3),'Rates from Ireland Fedex Priort'!E184)</f>
        <v>83</v>
      </c>
      <c r="F185" s="10">
        <f>IF(ISNUMBER('Rates from Ireland Fedex Priort'!F184),_xlfn.CEILING.MATH('Rates from Ireland Fedex Priort'!F184,1)+IF($A185="EU",Variables!$B$6,Variables!$B$3),'Rates from Ireland Fedex Priort'!F184)</f>
        <v>88</v>
      </c>
      <c r="G185" s="10">
        <f>IF(ISNUMBER('Rates from Ireland Fedex Priort'!G184),_xlfn.CEILING.MATH('Rates from Ireland Fedex Priort'!G184,1)+IF($A185="EU",Variables!$B$6,Variables!$B$3),'Rates from Ireland Fedex Priort'!G184)</f>
        <v>106</v>
      </c>
      <c r="H185" s="10">
        <f>IF(ISNUMBER('Rates from Ireland Fedex Priort'!H184),_xlfn.CEILING.MATH('Rates from Ireland Fedex Priort'!H184,1)+IF($A185="EU",Variables!$B$6,Variables!$B$3),'Rates from Ireland Fedex Priort'!H184)</f>
        <v>134</v>
      </c>
      <c r="I185" s="10">
        <f>IF(ISNUMBER('Rates from Ireland Fedex Priort'!I184),_xlfn.CEILING.MATH('Rates from Ireland Fedex Priort'!I184,1)+IF($A185="EU",Variables!$B$6,Variables!$B$3),'Rates from Ireland Fedex Priort'!I184)</f>
        <v>243</v>
      </c>
      <c r="J185" s="10" t="str">
        <f>IF(ISNUMBER('Rates from Ireland Fedex Priort'!J184),_xlfn.CEILING.MATH('Rates from Ireland Fedex Priort'!J184,1)+IF($A185="EU",Variables!$B$6,Variables!$B$3),'Rates from Ireland Fedex Priort'!J184)</f>
        <v>No service</v>
      </c>
      <c r="K185" s="10" t="str">
        <f>IF(ISNUMBER('Rates from Ireland Fedex Priort'!K184),_xlfn.CEILING.MATH('Rates from Ireland Fedex Priort'!K184,1)+IF($A185="EU",Variables!$B$6,Variables!$B$3),'Rates from Ireland Fedex Priort'!K184)</f>
        <v>No service</v>
      </c>
      <c r="L185" s="10" t="str">
        <f>IF(ISNUMBER('Rates from Ireland Fedex Priort'!L184),_xlfn.CEILING.MATH('Rates from Ireland Fedex Priort'!L184,1)+IF($A185="EU",Variables!$B$6,Variables!$B$3),'Rates from Ireland Fedex Priort'!L184)</f>
        <v>No service</v>
      </c>
      <c r="M185" s="10" t="str">
        <f>IF(ISNUMBER('Rates from Ireland Fedex Priort'!M184),_xlfn.CEILING.MATH('Rates from Ireland Fedex Priort'!M184,1)+IF($A185="EU",Variables!$B$6,Variables!$B$3),'Rates from Ireland Fedex Priort'!M184)</f>
        <v>No service</v>
      </c>
      <c r="N185" s="10" t="str">
        <f>IF(ISNUMBER('Rates from Ireland Fedex Priort'!N184),_xlfn.CEILING.MATH('Rates from Ireland Fedex Priort'!N184,1)+IF($A185="EU",Variables!$B$6,Variables!$B$3),'Rates from Ireland Fedex Priort'!N184)</f>
        <v>No service</v>
      </c>
      <c r="O185" s="11" t="s">
        <v>38</v>
      </c>
      <c r="P185" s="11" t="s">
        <v>39</v>
      </c>
      <c r="Q185" s="12">
        <v>80</v>
      </c>
      <c r="R185" s="11" t="s">
        <v>25</v>
      </c>
      <c r="S185" s="3" t="s">
        <v>26</v>
      </c>
      <c r="T185" s="38" t="s">
        <v>27</v>
      </c>
    </row>
    <row r="186" spans="1:20" ht="15.75" customHeight="1" x14ac:dyDescent="0.3">
      <c r="A186" s="39" t="str">
        <f>IF('Rates from Ireland Fedex Priort'!A185="","",'Rates from Ireland Fedex Priort'!A185)</f>
        <v>EU</v>
      </c>
      <c r="B186" s="8" t="str">
        <f>IF('Rates from Ireland Fedex Priort'!B185="","",'Rates from Ireland Fedex Priort'!B185)</f>
        <v>Ireland</v>
      </c>
      <c r="C186" s="9" t="str">
        <f>IF('Rates from Ireland Fedex Priort'!C185="","",'Rates from Ireland Fedex Priort'!C185)</f>
        <v>Saint Barthélemy (France)</v>
      </c>
      <c r="D186" s="10" t="str">
        <f>IF(ISNUMBER('Rates from Ireland Fedex Priort'!D185),_xlfn.CEILING.MATH('Rates from Ireland Fedex Priort'!D185,1)+IF($A186="EU",Variables!$B$5,Variables!$B$2),'Rates from Ireland Fedex Priort'!D185)</f>
        <v>No service</v>
      </c>
      <c r="E186" s="10" t="str">
        <f>IF(ISNUMBER('Rates from Ireland Fedex Priort'!E185),_xlfn.CEILING.MATH('Rates from Ireland Fedex Priort'!E185,1)+IF($A186="EU",Variables!$B$6,Variables!$B$3),'Rates from Ireland Fedex Priort'!E185)</f>
        <v>No service</v>
      </c>
      <c r="F186" s="10" t="str">
        <f>IF(ISNUMBER('Rates from Ireland Fedex Priort'!F185),_xlfn.CEILING.MATH('Rates from Ireland Fedex Priort'!F185,1)+IF($A186="EU",Variables!$B$6,Variables!$B$3),'Rates from Ireland Fedex Priort'!F185)</f>
        <v>No service</v>
      </c>
      <c r="G186" s="10" t="str">
        <f>IF(ISNUMBER('Rates from Ireland Fedex Priort'!G185),_xlfn.CEILING.MATH('Rates from Ireland Fedex Priort'!G185,1)+IF($A186="EU",Variables!$B$6,Variables!$B$3),'Rates from Ireland Fedex Priort'!G185)</f>
        <v>No service</v>
      </c>
      <c r="H186" s="10" t="str">
        <f>IF(ISNUMBER('Rates from Ireland Fedex Priort'!H185),_xlfn.CEILING.MATH('Rates from Ireland Fedex Priort'!H185,1)+IF($A186="EU",Variables!$B$6,Variables!$B$3),'Rates from Ireland Fedex Priort'!H185)</f>
        <v>No service</v>
      </c>
      <c r="I186" s="10" t="str">
        <f>IF(ISNUMBER('Rates from Ireland Fedex Priort'!I185),_xlfn.CEILING.MATH('Rates from Ireland Fedex Priort'!I185,1)+IF($A186="EU",Variables!$B$6,Variables!$B$3),'Rates from Ireland Fedex Priort'!I185)</f>
        <v>No service</v>
      </c>
      <c r="J186" s="10" t="str">
        <f>IF(ISNUMBER('Rates from Ireland Fedex Priort'!J185),_xlfn.CEILING.MATH('Rates from Ireland Fedex Priort'!J185,1)+IF($A186="EU",Variables!$B$6,Variables!$B$3),'Rates from Ireland Fedex Priort'!J185)</f>
        <v>No service</v>
      </c>
      <c r="K186" s="10" t="str">
        <f>IF(ISNUMBER('Rates from Ireland Fedex Priort'!K185),_xlfn.CEILING.MATH('Rates from Ireland Fedex Priort'!K185,1)+IF($A186="EU",Variables!$B$6,Variables!$B$3),'Rates from Ireland Fedex Priort'!K185)</f>
        <v>No service</v>
      </c>
      <c r="L186" s="10" t="str">
        <f>IF(ISNUMBER('Rates from Ireland Fedex Priort'!L185),_xlfn.CEILING.MATH('Rates from Ireland Fedex Priort'!L185,1)+IF($A186="EU",Variables!$B$6,Variables!$B$3),'Rates from Ireland Fedex Priort'!L185)</f>
        <v>No service</v>
      </c>
      <c r="M186" s="10" t="str">
        <f>IF(ISNUMBER('Rates from Ireland Fedex Priort'!M185),_xlfn.CEILING.MATH('Rates from Ireland Fedex Priort'!M185,1)+IF($A186="EU",Variables!$B$6,Variables!$B$3),'Rates from Ireland Fedex Priort'!M185)</f>
        <v>No service</v>
      </c>
      <c r="N186" s="10" t="str">
        <f>IF(ISNUMBER('Rates from Ireland Fedex Priort'!N185),_xlfn.CEILING.MATH('Rates from Ireland Fedex Priort'!N185,1)+IF($A186="EU",Variables!$B$6,Variables!$B$3),'Rates from Ireland Fedex Priort'!N185)</f>
        <v>No service</v>
      </c>
      <c r="O186" s="11"/>
      <c r="P186" s="11"/>
      <c r="Q186" s="11"/>
      <c r="R186" s="11"/>
      <c r="S186" s="3" t="s">
        <v>26</v>
      </c>
      <c r="T186" s="38" t="s">
        <v>27</v>
      </c>
    </row>
    <row r="187" spans="1:20" ht="15.75" customHeight="1" x14ac:dyDescent="0.3">
      <c r="A187" s="39" t="str">
        <f>IF('Rates from Ireland Fedex Priort'!A186="","",'Rates from Ireland Fedex Priort'!A186)</f>
        <v>EU</v>
      </c>
      <c r="B187" s="8" t="str">
        <f>IF('Rates from Ireland Fedex Priort'!B186="","",'Rates from Ireland Fedex Priort'!B186)</f>
        <v>Ireland</v>
      </c>
      <c r="C187" s="9" t="str">
        <f>IF('Rates from Ireland Fedex Priort'!C186="","",'Rates from Ireland Fedex Priort'!C186)</f>
        <v>Saint Helena</v>
      </c>
      <c r="D187" s="10" t="str">
        <f>IF(ISNUMBER('Rates from Ireland Fedex Priort'!D186),_xlfn.CEILING.MATH('Rates from Ireland Fedex Priort'!D186,1)+IF($A187="EU",Variables!$B$5,Variables!$B$2),'Rates from Ireland Fedex Priort'!D186)</f>
        <v>No service</v>
      </c>
      <c r="E187" s="10" t="str">
        <f>IF(ISNUMBER('Rates from Ireland Fedex Priort'!E186),_xlfn.CEILING.MATH('Rates from Ireland Fedex Priort'!E186,1)+IF($A187="EU",Variables!$B$6,Variables!$B$3),'Rates from Ireland Fedex Priort'!E186)</f>
        <v>No service</v>
      </c>
      <c r="F187" s="10" t="str">
        <f>IF(ISNUMBER('Rates from Ireland Fedex Priort'!F186),_xlfn.CEILING.MATH('Rates from Ireland Fedex Priort'!F186,1)+IF($A187="EU",Variables!$B$6,Variables!$B$3),'Rates from Ireland Fedex Priort'!F186)</f>
        <v>No service</v>
      </c>
      <c r="G187" s="10" t="str">
        <f>IF(ISNUMBER('Rates from Ireland Fedex Priort'!G186),_xlfn.CEILING.MATH('Rates from Ireland Fedex Priort'!G186,1)+IF($A187="EU",Variables!$B$6,Variables!$B$3),'Rates from Ireland Fedex Priort'!G186)</f>
        <v>No service</v>
      </c>
      <c r="H187" s="10" t="str">
        <f>IF(ISNUMBER('Rates from Ireland Fedex Priort'!H186),_xlfn.CEILING.MATH('Rates from Ireland Fedex Priort'!H186,1)+IF($A187="EU",Variables!$B$6,Variables!$B$3),'Rates from Ireland Fedex Priort'!H186)</f>
        <v>No service</v>
      </c>
      <c r="I187" s="10" t="str">
        <f>IF(ISNUMBER('Rates from Ireland Fedex Priort'!I186),_xlfn.CEILING.MATH('Rates from Ireland Fedex Priort'!I186,1)+IF($A187="EU",Variables!$B$6,Variables!$B$3),'Rates from Ireland Fedex Priort'!I186)</f>
        <v>No service</v>
      </c>
      <c r="J187" s="10" t="str">
        <f>IF(ISNUMBER('Rates from Ireland Fedex Priort'!J186),_xlfn.CEILING.MATH('Rates from Ireland Fedex Priort'!J186,1)+IF($A187="EU",Variables!$B$6,Variables!$B$3),'Rates from Ireland Fedex Priort'!J186)</f>
        <v>No service</v>
      </c>
      <c r="K187" s="10" t="str">
        <f>IF(ISNUMBER('Rates from Ireland Fedex Priort'!K186),_xlfn.CEILING.MATH('Rates from Ireland Fedex Priort'!K186,1)+IF($A187="EU",Variables!$B$6,Variables!$B$3),'Rates from Ireland Fedex Priort'!K186)</f>
        <v>No service</v>
      </c>
      <c r="L187" s="10" t="str">
        <f>IF(ISNUMBER('Rates from Ireland Fedex Priort'!L186),_xlfn.CEILING.MATH('Rates from Ireland Fedex Priort'!L186,1)+IF($A187="EU",Variables!$B$6,Variables!$B$3),'Rates from Ireland Fedex Priort'!L186)</f>
        <v>No service</v>
      </c>
      <c r="M187" s="10" t="str">
        <f>IF(ISNUMBER('Rates from Ireland Fedex Priort'!M186),_xlfn.CEILING.MATH('Rates from Ireland Fedex Priort'!M186,1)+IF($A187="EU",Variables!$B$6,Variables!$B$3),'Rates from Ireland Fedex Priort'!M186)</f>
        <v>No service</v>
      </c>
      <c r="N187" s="10" t="str">
        <f>IF(ISNUMBER('Rates from Ireland Fedex Priort'!N186),_xlfn.CEILING.MATH('Rates from Ireland Fedex Priort'!N186,1)+IF($A187="EU",Variables!$B$6,Variables!$B$3),'Rates from Ireland Fedex Priort'!N186)</f>
        <v>No service</v>
      </c>
      <c r="O187" s="11"/>
      <c r="P187" s="11"/>
      <c r="Q187" s="11"/>
      <c r="R187" s="11"/>
      <c r="S187" s="3" t="s">
        <v>26</v>
      </c>
      <c r="T187" s="38" t="s">
        <v>27</v>
      </c>
    </row>
    <row r="188" spans="1:20" ht="15.75" customHeight="1" x14ac:dyDescent="0.3">
      <c r="A188" s="39" t="str">
        <f>IF('Rates from Ireland Fedex Priort'!A187="","",'Rates from Ireland Fedex Priort'!A187)</f>
        <v>EU</v>
      </c>
      <c r="B188" s="8" t="str">
        <f>IF('Rates from Ireland Fedex Priort'!B187="","",'Rates from Ireland Fedex Priort'!B187)</f>
        <v>Ireland</v>
      </c>
      <c r="C188" s="9" t="str">
        <f>IF('Rates from Ireland Fedex Priort'!C187="","",'Rates from Ireland Fedex Priort'!C187)</f>
        <v>Saint Kitts and Nevis</v>
      </c>
      <c r="D188" s="10">
        <f>IF(ISNUMBER('Rates from Ireland Fedex Priort'!D187),_xlfn.CEILING.MATH('Rates from Ireland Fedex Priort'!D187,1)+IF($A188="EU",Variables!$B$5,Variables!$B$2),'Rates from Ireland Fedex Priort'!D187)</f>
        <v>68</v>
      </c>
      <c r="E188" s="10">
        <f>IF(ISNUMBER('Rates from Ireland Fedex Priort'!E187),_xlfn.CEILING.MATH('Rates from Ireland Fedex Priort'!E187,1)+IF($A188="EU",Variables!$B$6,Variables!$B$3),'Rates from Ireland Fedex Priort'!E187)</f>
        <v>77</v>
      </c>
      <c r="F188" s="10">
        <f>IF(ISNUMBER('Rates from Ireland Fedex Priort'!F187),_xlfn.CEILING.MATH('Rates from Ireland Fedex Priort'!F187,1)+IF($A188="EU",Variables!$B$6,Variables!$B$3),'Rates from Ireland Fedex Priort'!F187)</f>
        <v>81</v>
      </c>
      <c r="G188" s="10">
        <f>IF(ISNUMBER('Rates from Ireland Fedex Priort'!G187),_xlfn.CEILING.MATH('Rates from Ireland Fedex Priort'!G187,1)+IF($A188="EU",Variables!$B$6,Variables!$B$3),'Rates from Ireland Fedex Priort'!G187)</f>
        <v>96</v>
      </c>
      <c r="H188" s="10">
        <f>IF(ISNUMBER('Rates from Ireland Fedex Priort'!H187),_xlfn.CEILING.MATH('Rates from Ireland Fedex Priort'!H187,1)+IF($A188="EU",Variables!$B$6,Variables!$B$3),'Rates from Ireland Fedex Priort'!H187)</f>
        <v>117</v>
      </c>
      <c r="I188" s="10">
        <f>IF(ISNUMBER('Rates from Ireland Fedex Priort'!I187),_xlfn.CEILING.MATH('Rates from Ireland Fedex Priort'!I187,1)+IF($A188="EU",Variables!$B$6,Variables!$B$3),'Rates from Ireland Fedex Priort'!I187)</f>
        <v>219</v>
      </c>
      <c r="J188" s="10" t="str">
        <f>IF(ISNUMBER('Rates from Ireland Fedex Priort'!J187),_xlfn.CEILING.MATH('Rates from Ireland Fedex Priort'!J187,1)+IF($A188="EU",Variables!$B$6,Variables!$B$3),'Rates from Ireland Fedex Priort'!J187)</f>
        <v>No service</v>
      </c>
      <c r="K188" s="10" t="str">
        <f>IF(ISNUMBER('Rates from Ireland Fedex Priort'!K187),_xlfn.CEILING.MATH('Rates from Ireland Fedex Priort'!K187,1)+IF($A188="EU",Variables!$B$6,Variables!$B$3),'Rates from Ireland Fedex Priort'!K187)</f>
        <v>No service</v>
      </c>
      <c r="L188" s="10" t="str">
        <f>IF(ISNUMBER('Rates from Ireland Fedex Priort'!L187),_xlfn.CEILING.MATH('Rates from Ireland Fedex Priort'!L187,1)+IF($A188="EU",Variables!$B$6,Variables!$B$3),'Rates from Ireland Fedex Priort'!L187)</f>
        <v>No service</v>
      </c>
      <c r="M188" s="10" t="str">
        <f>IF(ISNUMBER('Rates from Ireland Fedex Priort'!M187),_xlfn.CEILING.MATH('Rates from Ireland Fedex Priort'!M187,1)+IF($A188="EU",Variables!$B$6,Variables!$B$3),'Rates from Ireland Fedex Priort'!M187)</f>
        <v>No service</v>
      </c>
      <c r="N188" s="10" t="str">
        <f>IF(ISNUMBER('Rates from Ireland Fedex Priort'!N187),_xlfn.CEILING.MATH('Rates from Ireland Fedex Priort'!N187,1)+IF($A188="EU",Variables!$B$6,Variables!$B$3),'Rates from Ireland Fedex Priort'!N187)</f>
        <v>No service</v>
      </c>
      <c r="O188" s="11" t="s">
        <v>41</v>
      </c>
      <c r="P188" s="11" t="s">
        <v>23</v>
      </c>
      <c r="Q188" s="12">
        <v>80</v>
      </c>
      <c r="R188" s="11" t="s">
        <v>25</v>
      </c>
      <c r="S188" s="3" t="s">
        <v>26</v>
      </c>
      <c r="T188" s="38" t="s">
        <v>27</v>
      </c>
    </row>
    <row r="189" spans="1:20" ht="15.75" customHeight="1" x14ac:dyDescent="0.3">
      <c r="A189" s="39" t="str">
        <f>IF('Rates from Ireland Fedex Priort'!A188="","",'Rates from Ireland Fedex Priort'!A188)</f>
        <v>EU</v>
      </c>
      <c r="B189" s="8" t="str">
        <f>IF('Rates from Ireland Fedex Priort'!B188="","",'Rates from Ireland Fedex Priort'!B188)</f>
        <v>Ireland</v>
      </c>
      <c r="C189" s="9" t="str">
        <f>IF('Rates from Ireland Fedex Priort'!C188="","",'Rates from Ireland Fedex Priort'!C188)</f>
        <v>Saint Lucia</v>
      </c>
      <c r="D189" s="10">
        <f>IF(ISNUMBER('Rates from Ireland Fedex Priort'!D188),_xlfn.CEILING.MATH('Rates from Ireland Fedex Priort'!D188,1)+IF($A189="EU",Variables!$B$5,Variables!$B$2),'Rates from Ireland Fedex Priort'!D188)</f>
        <v>68</v>
      </c>
      <c r="E189" s="10">
        <f>IF(ISNUMBER('Rates from Ireland Fedex Priort'!E188),_xlfn.CEILING.MATH('Rates from Ireland Fedex Priort'!E188,1)+IF($A189="EU",Variables!$B$6,Variables!$B$3),'Rates from Ireland Fedex Priort'!E188)</f>
        <v>77</v>
      </c>
      <c r="F189" s="10">
        <f>IF(ISNUMBER('Rates from Ireland Fedex Priort'!F188),_xlfn.CEILING.MATH('Rates from Ireland Fedex Priort'!F188,1)+IF($A189="EU",Variables!$B$6,Variables!$B$3),'Rates from Ireland Fedex Priort'!F188)</f>
        <v>81</v>
      </c>
      <c r="G189" s="10">
        <f>IF(ISNUMBER('Rates from Ireland Fedex Priort'!G188),_xlfn.CEILING.MATH('Rates from Ireland Fedex Priort'!G188,1)+IF($A189="EU",Variables!$B$6,Variables!$B$3),'Rates from Ireland Fedex Priort'!G188)</f>
        <v>96</v>
      </c>
      <c r="H189" s="10">
        <f>IF(ISNUMBER('Rates from Ireland Fedex Priort'!H188),_xlfn.CEILING.MATH('Rates from Ireland Fedex Priort'!H188,1)+IF($A189="EU",Variables!$B$6,Variables!$B$3),'Rates from Ireland Fedex Priort'!H188)</f>
        <v>117</v>
      </c>
      <c r="I189" s="10">
        <f>IF(ISNUMBER('Rates from Ireland Fedex Priort'!I188),_xlfn.CEILING.MATH('Rates from Ireland Fedex Priort'!I188,1)+IF($A189="EU",Variables!$B$6,Variables!$B$3),'Rates from Ireland Fedex Priort'!I188)</f>
        <v>219</v>
      </c>
      <c r="J189" s="10" t="str">
        <f>IF(ISNUMBER('Rates from Ireland Fedex Priort'!J188),_xlfn.CEILING.MATH('Rates from Ireland Fedex Priort'!J188,1)+IF($A189="EU",Variables!$B$6,Variables!$B$3),'Rates from Ireland Fedex Priort'!J188)</f>
        <v>No service</v>
      </c>
      <c r="K189" s="10" t="str">
        <f>IF(ISNUMBER('Rates from Ireland Fedex Priort'!K188),_xlfn.CEILING.MATH('Rates from Ireland Fedex Priort'!K188,1)+IF($A189="EU",Variables!$B$6,Variables!$B$3),'Rates from Ireland Fedex Priort'!K188)</f>
        <v>No service</v>
      </c>
      <c r="L189" s="10" t="str">
        <f>IF(ISNUMBER('Rates from Ireland Fedex Priort'!L188),_xlfn.CEILING.MATH('Rates from Ireland Fedex Priort'!L188,1)+IF($A189="EU",Variables!$B$6,Variables!$B$3),'Rates from Ireland Fedex Priort'!L188)</f>
        <v>No service</v>
      </c>
      <c r="M189" s="10" t="str">
        <f>IF(ISNUMBER('Rates from Ireland Fedex Priort'!M188),_xlfn.CEILING.MATH('Rates from Ireland Fedex Priort'!M188,1)+IF($A189="EU",Variables!$B$6,Variables!$B$3),'Rates from Ireland Fedex Priort'!M188)</f>
        <v>No service</v>
      </c>
      <c r="N189" s="10" t="str">
        <f>IF(ISNUMBER('Rates from Ireland Fedex Priort'!N188),_xlfn.CEILING.MATH('Rates from Ireland Fedex Priort'!N188,1)+IF($A189="EU",Variables!$B$6,Variables!$B$3),'Rates from Ireland Fedex Priort'!N188)</f>
        <v>No service</v>
      </c>
      <c r="O189" s="11" t="s">
        <v>41</v>
      </c>
      <c r="P189" s="11" t="s">
        <v>23</v>
      </c>
      <c r="Q189" s="12">
        <v>80</v>
      </c>
      <c r="R189" s="11" t="s">
        <v>25</v>
      </c>
      <c r="S189" s="3" t="s">
        <v>26</v>
      </c>
      <c r="T189" s="38" t="s">
        <v>27</v>
      </c>
    </row>
    <row r="190" spans="1:20" ht="15.75" customHeight="1" x14ac:dyDescent="0.3">
      <c r="A190" s="39" t="str">
        <f>IF('Rates from Ireland Fedex Priort'!A189="","",'Rates from Ireland Fedex Priort'!A189)</f>
        <v>EU</v>
      </c>
      <c r="B190" s="8" t="str">
        <f>IF('Rates from Ireland Fedex Priort'!B189="","",'Rates from Ireland Fedex Priort'!B189)</f>
        <v>Ireland</v>
      </c>
      <c r="C190" s="9" t="str">
        <f>IF('Rates from Ireland Fedex Priort'!C189="","",'Rates from Ireland Fedex Priort'!C189)</f>
        <v>Saint Martin (France)</v>
      </c>
      <c r="D190" s="10">
        <f>IF(ISNUMBER('Rates from Ireland Fedex Priort'!D189),_xlfn.CEILING.MATH('Rates from Ireland Fedex Priort'!D189,1)+IF($A190="EU",Variables!$B$5,Variables!$B$2),'Rates from Ireland Fedex Priort'!D189)</f>
        <v>68</v>
      </c>
      <c r="E190" s="10">
        <f>IF(ISNUMBER('Rates from Ireland Fedex Priort'!E189),_xlfn.CEILING.MATH('Rates from Ireland Fedex Priort'!E189,1)+IF($A190="EU",Variables!$B$6,Variables!$B$3),'Rates from Ireland Fedex Priort'!E189)</f>
        <v>77</v>
      </c>
      <c r="F190" s="10">
        <f>IF(ISNUMBER('Rates from Ireland Fedex Priort'!F189),_xlfn.CEILING.MATH('Rates from Ireland Fedex Priort'!F189,1)+IF($A190="EU",Variables!$B$6,Variables!$B$3),'Rates from Ireland Fedex Priort'!F189)</f>
        <v>81</v>
      </c>
      <c r="G190" s="10">
        <f>IF(ISNUMBER('Rates from Ireland Fedex Priort'!G189),_xlfn.CEILING.MATH('Rates from Ireland Fedex Priort'!G189,1)+IF($A190="EU",Variables!$B$6,Variables!$B$3),'Rates from Ireland Fedex Priort'!G189)</f>
        <v>96</v>
      </c>
      <c r="H190" s="10">
        <f>IF(ISNUMBER('Rates from Ireland Fedex Priort'!H189),_xlfn.CEILING.MATH('Rates from Ireland Fedex Priort'!H189,1)+IF($A190="EU",Variables!$B$6,Variables!$B$3),'Rates from Ireland Fedex Priort'!H189)</f>
        <v>117</v>
      </c>
      <c r="I190" s="10">
        <f>IF(ISNUMBER('Rates from Ireland Fedex Priort'!I189),_xlfn.CEILING.MATH('Rates from Ireland Fedex Priort'!I189,1)+IF($A190="EU",Variables!$B$6,Variables!$B$3),'Rates from Ireland Fedex Priort'!I189)</f>
        <v>219</v>
      </c>
      <c r="J190" s="10" t="str">
        <f>IF(ISNUMBER('Rates from Ireland Fedex Priort'!J189),_xlfn.CEILING.MATH('Rates from Ireland Fedex Priort'!J189,1)+IF($A190="EU",Variables!$B$6,Variables!$B$3),'Rates from Ireland Fedex Priort'!J189)</f>
        <v>No service</v>
      </c>
      <c r="K190" s="10" t="str">
        <f>IF(ISNUMBER('Rates from Ireland Fedex Priort'!K189),_xlfn.CEILING.MATH('Rates from Ireland Fedex Priort'!K189,1)+IF($A190="EU",Variables!$B$6,Variables!$B$3),'Rates from Ireland Fedex Priort'!K189)</f>
        <v>No service</v>
      </c>
      <c r="L190" s="10" t="str">
        <f>IF(ISNUMBER('Rates from Ireland Fedex Priort'!L189),_xlfn.CEILING.MATH('Rates from Ireland Fedex Priort'!L189,1)+IF($A190="EU",Variables!$B$6,Variables!$B$3),'Rates from Ireland Fedex Priort'!L189)</f>
        <v>No service</v>
      </c>
      <c r="M190" s="10" t="str">
        <f>IF(ISNUMBER('Rates from Ireland Fedex Priort'!M189),_xlfn.CEILING.MATH('Rates from Ireland Fedex Priort'!M189,1)+IF($A190="EU",Variables!$B$6,Variables!$B$3),'Rates from Ireland Fedex Priort'!M189)</f>
        <v>No service</v>
      </c>
      <c r="N190" s="10" t="str">
        <f>IF(ISNUMBER('Rates from Ireland Fedex Priort'!N189),_xlfn.CEILING.MATH('Rates from Ireland Fedex Priort'!N189,1)+IF($A190="EU",Variables!$B$6,Variables!$B$3),'Rates from Ireland Fedex Priort'!N189)</f>
        <v>No service</v>
      </c>
      <c r="O190" s="11" t="s">
        <v>41</v>
      </c>
      <c r="P190" s="11" t="s">
        <v>23</v>
      </c>
      <c r="Q190" s="12">
        <v>80</v>
      </c>
      <c r="R190" s="11" t="s">
        <v>25</v>
      </c>
      <c r="S190" s="3" t="s">
        <v>26</v>
      </c>
      <c r="T190" s="38" t="s">
        <v>27</v>
      </c>
    </row>
    <row r="191" spans="1:20" ht="15.75" customHeight="1" x14ac:dyDescent="0.3">
      <c r="A191" s="39" t="str">
        <f>IF('Rates from Ireland Fedex Priort'!A190="","",'Rates from Ireland Fedex Priort'!A190)</f>
        <v>EU</v>
      </c>
      <c r="B191" s="8" t="str">
        <f>IF('Rates from Ireland Fedex Priort'!B190="","",'Rates from Ireland Fedex Priort'!B190)</f>
        <v>Ireland</v>
      </c>
      <c r="C191" s="9" t="str">
        <f>IF('Rates from Ireland Fedex Priort'!C190="","",'Rates from Ireland Fedex Priort'!C190)</f>
        <v>Saint Pierre and Miquelon</v>
      </c>
      <c r="D191" s="10" t="str">
        <f>IF(ISNUMBER('Rates from Ireland Fedex Priort'!D190),_xlfn.CEILING.MATH('Rates from Ireland Fedex Priort'!D190,1)+IF($A191="EU",Variables!$B$5,Variables!$B$2),'Rates from Ireland Fedex Priort'!D190)</f>
        <v>No service</v>
      </c>
      <c r="E191" s="10" t="str">
        <f>IF(ISNUMBER('Rates from Ireland Fedex Priort'!E190),_xlfn.CEILING.MATH('Rates from Ireland Fedex Priort'!E190,1)+IF($A191="EU",Variables!$B$6,Variables!$B$3),'Rates from Ireland Fedex Priort'!E190)</f>
        <v>No service</v>
      </c>
      <c r="F191" s="10" t="str">
        <f>IF(ISNUMBER('Rates from Ireland Fedex Priort'!F190),_xlfn.CEILING.MATH('Rates from Ireland Fedex Priort'!F190,1)+IF($A191="EU",Variables!$B$6,Variables!$B$3),'Rates from Ireland Fedex Priort'!F190)</f>
        <v>No service</v>
      </c>
      <c r="G191" s="10" t="str">
        <f>IF(ISNUMBER('Rates from Ireland Fedex Priort'!G190),_xlfn.CEILING.MATH('Rates from Ireland Fedex Priort'!G190,1)+IF($A191="EU",Variables!$B$6,Variables!$B$3),'Rates from Ireland Fedex Priort'!G190)</f>
        <v>No service</v>
      </c>
      <c r="H191" s="10" t="str">
        <f>IF(ISNUMBER('Rates from Ireland Fedex Priort'!H190),_xlfn.CEILING.MATH('Rates from Ireland Fedex Priort'!H190,1)+IF($A191="EU",Variables!$B$6,Variables!$B$3),'Rates from Ireland Fedex Priort'!H190)</f>
        <v>No service</v>
      </c>
      <c r="I191" s="10" t="str">
        <f>IF(ISNUMBER('Rates from Ireland Fedex Priort'!I190),_xlfn.CEILING.MATH('Rates from Ireland Fedex Priort'!I190,1)+IF($A191="EU",Variables!$B$6,Variables!$B$3),'Rates from Ireland Fedex Priort'!I190)</f>
        <v>No service</v>
      </c>
      <c r="J191" s="10" t="str">
        <f>IF(ISNUMBER('Rates from Ireland Fedex Priort'!J190),_xlfn.CEILING.MATH('Rates from Ireland Fedex Priort'!J190,1)+IF($A191="EU",Variables!$B$6,Variables!$B$3),'Rates from Ireland Fedex Priort'!J190)</f>
        <v>No service</v>
      </c>
      <c r="K191" s="10" t="str">
        <f>IF(ISNUMBER('Rates from Ireland Fedex Priort'!K190),_xlfn.CEILING.MATH('Rates from Ireland Fedex Priort'!K190,1)+IF($A191="EU",Variables!$B$6,Variables!$B$3),'Rates from Ireland Fedex Priort'!K190)</f>
        <v>No service</v>
      </c>
      <c r="L191" s="10" t="str">
        <f>IF(ISNUMBER('Rates from Ireland Fedex Priort'!L190),_xlfn.CEILING.MATH('Rates from Ireland Fedex Priort'!L190,1)+IF($A191="EU",Variables!$B$6,Variables!$B$3),'Rates from Ireland Fedex Priort'!L190)</f>
        <v>No service</v>
      </c>
      <c r="M191" s="10" t="str">
        <f>IF(ISNUMBER('Rates from Ireland Fedex Priort'!M190),_xlfn.CEILING.MATH('Rates from Ireland Fedex Priort'!M190,1)+IF($A191="EU",Variables!$B$6,Variables!$B$3),'Rates from Ireland Fedex Priort'!M190)</f>
        <v>No service</v>
      </c>
      <c r="N191" s="10" t="str">
        <f>IF(ISNUMBER('Rates from Ireland Fedex Priort'!N190),_xlfn.CEILING.MATH('Rates from Ireland Fedex Priort'!N190,1)+IF($A191="EU",Variables!$B$6,Variables!$B$3),'Rates from Ireland Fedex Priort'!N190)</f>
        <v>No service</v>
      </c>
      <c r="O191" s="11"/>
      <c r="P191" s="11"/>
      <c r="Q191" s="11"/>
      <c r="R191" s="11"/>
      <c r="S191" s="3" t="s">
        <v>26</v>
      </c>
      <c r="T191" s="38" t="s">
        <v>27</v>
      </c>
    </row>
    <row r="192" spans="1:20" ht="15.75" customHeight="1" x14ac:dyDescent="0.3">
      <c r="A192" s="39" t="str">
        <f>IF('Rates from Ireland Fedex Priort'!A191="","",'Rates from Ireland Fedex Priort'!A191)</f>
        <v>EU</v>
      </c>
      <c r="B192" s="8" t="str">
        <f>IF('Rates from Ireland Fedex Priort'!B191="","",'Rates from Ireland Fedex Priort'!B191)</f>
        <v>Ireland</v>
      </c>
      <c r="C192" s="9" t="str">
        <f>IF('Rates from Ireland Fedex Priort'!C191="","",'Rates from Ireland Fedex Priort'!C191)</f>
        <v>Saint Vincent and the Grenadines</v>
      </c>
      <c r="D192" s="10">
        <f>IF(ISNUMBER('Rates from Ireland Fedex Priort'!D191),_xlfn.CEILING.MATH('Rates from Ireland Fedex Priort'!D191,1)+IF($A192="EU",Variables!$B$5,Variables!$B$2),'Rates from Ireland Fedex Priort'!D191)</f>
        <v>68</v>
      </c>
      <c r="E192" s="10">
        <f>IF(ISNUMBER('Rates from Ireland Fedex Priort'!E191),_xlfn.CEILING.MATH('Rates from Ireland Fedex Priort'!E191,1)+IF($A192="EU",Variables!$B$6,Variables!$B$3),'Rates from Ireland Fedex Priort'!E191)</f>
        <v>77</v>
      </c>
      <c r="F192" s="10">
        <f>IF(ISNUMBER('Rates from Ireland Fedex Priort'!F191),_xlfn.CEILING.MATH('Rates from Ireland Fedex Priort'!F191,1)+IF($A192="EU",Variables!$B$6,Variables!$B$3),'Rates from Ireland Fedex Priort'!F191)</f>
        <v>81</v>
      </c>
      <c r="G192" s="10">
        <f>IF(ISNUMBER('Rates from Ireland Fedex Priort'!G191),_xlfn.CEILING.MATH('Rates from Ireland Fedex Priort'!G191,1)+IF($A192="EU",Variables!$B$6,Variables!$B$3),'Rates from Ireland Fedex Priort'!G191)</f>
        <v>96</v>
      </c>
      <c r="H192" s="10">
        <f>IF(ISNUMBER('Rates from Ireland Fedex Priort'!H191),_xlfn.CEILING.MATH('Rates from Ireland Fedex Priort'!H191,1)+IF($A192="EU",Variables!$B$6,Variables!$B$3),'Rates from Ireland Fedex Priort'!H191)</f>
        <v>117</v>
      </c>
      <c r="I192" s="10">
        <f>IF(ISNUMBER('Rates from Ireland Fedex Priort'!I191),_xlfn.CEILING.MATH('Rates from Ireland Fedex Priort'!I191,1)+IF($A192="EU",Variables!$B$6,Variables!$B$3),'Rates from Ireland Fedex Priort'!I191)</f>
        <v>219</v>
      </c>
      <c r="J192" s="10" t="str">
        <f>IF(ISNUMBER('Rates from Ireland Fedex Priort'!J191),_xlfn.CEILING.MATH('Rates from Ireland Fedex Priort'!J191,1)+IF($A192="EU",Variables!$B$6,Variables!$B$3),'Rates from Ireland Fedex Priort'!J191)</f>
        <v>No service</v>
      </c>
      <c r="K192" s="10" t="str">
        <f>IF(ISNUMBER('Rates from Ireland Fedex Priort'!K191),_xlfn.CEILING.MATH('Rates from Ireland Fedex Priort'!K191,1)+IF($A192="EU",Variables!$B$6,Variables!$B$3),'Rates from Ireland Fedex Priort'!K191)</f>
        <v>No service</v>
      </c>
      <c r="L192" s="10" t="str">
        <f>IF(ISNUMBER('Rates from Ireland Fedex Priort'!L191),_xlfn.CEILING.MATH('Rates from Ireland Fedex Priort'!L191,1)+IF($A192="EU",Variables!$B$6,Variables!$B$3),'Rates from Ireland Fedex Priort'!L191)</f>
        <v>No service</v>
      </c>
      <c r="M192" s="10" t="str">
        <f>IF(ISNUMBER('Rates from Ireland Fedex Priort'!M191),_xlfn.CEILING.MATH('Rates from Ireland Fedex Priort'!M191,1)+IF($A192="EU",Variables!$B$6,Variables!$B$3),'Rates from Ireland Fedex Priort'!M191)</f>
        <v>No service</v>
      </c>
      <c r="N192" s="10" t="str">
        <f>IF(ISNUMBER('Rates from Ireland Fedex Priort'!N191),_xlfn.CEILING.MATH('Rates from Ireland Fedex Priort'!N191,1)+IF($A192="EU",Variables!$B$6,Variables!$B$3),'Rates from Ireland Fedex Priort'!N191)</f>
        <v>No service</v>
      </c>
      <c r="O192" s="11" t="s">
        <v>41</v>
      </c>
      <c r="P192" s="11" t="s">
        <v>23</v>
      </c>
      <c r="Q192" s="12">
        <v>80</v>
      </c>
      <c r="R192" s="11" t="s">
        <v>25</v>
      </c>
      <c r="S192" s="3" t="s">
        <v>26</v>
      </c>
      <c r="T192" s="38" t="s">
        <v>27</v>
      </c>
    </row>
    <row r="193" spans="1:20" ht="15.75" customHeight="1" x14ac:dyDescent="0.3">
      <c r="A193" s="39" t="str">
        <f>IF('Rates from Ireland Fedex Priort'!A192="","",'Rates from Ireland Fedex Priort'!A192)</f>
        <v>EU</v>
      </c>
      <c r="B193" s="8" t="str">
        <f>IF('Rates from Ireland Fedex Priort'!B192="","",'Rates from Ireland Fedex Priort'!B192)</f>
        <v>Ireland</v>
      </c>
      <c r="C193" s="9" t="str">
        <f>IF('Rates from Ireland Fedex Priort'!C192="","",'Rates from Ireland Fedex Priort'!C192)</f>
        <v>Samoa</v>
      </c>
      <c r="D193" s="10">
        <f>IF(ISNUMBER('Rates from Ireland Fedex Priort'!D192),_xlfn.CEILING.MATH('Rates from Ireland Fedex Priort'!D192,1)+IF($A193="EU",Variables!$B$5,Variables!$B$2),'Rates from Ireland Fedex Priort'!D192)</f>
        <v>72</v>
      </c>
      <c r="E193" s="10">
        <f>IF(ISNUMBER('Rates from Ireland Fedex Priort'!E192),_xlfn.CEILING.MATH('Rates from Ireland Fedex Priort'!E192,1)+IF($A193="EU",Variables!$B$6,Variables!$B$3),'Rates from Ireland Fedex Priort'!E192)</f>
        <v>83</v>
      </c>
      <c r="F193" s="10">
        <f>IF(ISNUMBER('Rates from Ireland Fedex Priort'!F192),_xlfn.CEILING.MATH('Rates from Ireland Fedex Priort'!F192,1)+IF($A193="EU",Variables!$B$6,Variables!$B$3),'Rates from Ireland Fedex Priort'!F192)</f>
        <v>88</v>
      </c>
      <c r="G193" s="10">
        <f>IF(ISNUMBER('Rates from Ireland Fedex Priort'!G192),_xlfn.CEILING.MATH('Rates from Ireland Fedex Priort'!G192,1)+IF($A193="EU",Variables!$B$6,Variables!$B$3),'Rates from Ireland Fedex Priort'!G192)</f>
        <v>106</v>
      </c>
      <c r="H193" s="10">
        <f>IF(ISNUMBER('Rates from Ireland Fedex Priort'!H192),_xlfn.CEILING.MATH('Rates from Ireland Fedex Priort'!H192,1)+IF($A193="EU",Variables!$B$6,Variables!$B$3),'Rates from Ireland Fedex Priort'!H192)</f>
        <v>134</v>
      </c>
      <c r="I193" s="10">
        <f>IF(ISNUMBER('Rates from Ireland Fedex Priort'!I192),_xlfn.CEILING.MATH('Rates from Ireland Fedex Priort'!I192,1)+IF($A193="EU",Variables!$B$6,Variables!$B$3),'Rates from Ireland Fedex Priort'!I192)</f>
        <v>242</v>
      </c>
      <c r="J193" s="10" t="str">
        <f>IF(ISNUMBER('Rates from Ireland Fedex Priort'!J192),_xlfn.CEILING.MATH('Rates from Ireland Fedex Priort'!J192,1)+IF($A193="EU",Variables!$B$6,Variables!$B$3),'Rates from Ireland Fedex Priort'!J192)</f>
        <v>No service</v>
      </c>
      <c r="K193" s="10" t="str">
        <f>IF(ISNUMBER('Rates from Ireland Fedex Priort'!K192),_xlfn.CEILING.MATH('Rates from Ireland Fedex Priort'!K192,1)+IF($A193="EU",Variables!$B$6,Variables!$B$3),'Rates from Ireland Fedex Priort'!K192)</f>
        <v>No service</v>
      </c>
      <c r="L193" s="10" t="str">
        <f>IF(ISNUMBER('Rates from Ireland Fedex Priort'!L192),_xlfn.CEILING.MATH('Rates from Ireland Fedex Priort'!L192,1)+IF($A193="EU",Variables!$B$6,Variables!$B$3),'Rates from Ireland Fedex Priort'!L192)</f>
        <v>No service</v>
      </c>
      <c r="M193" s="10" t="str">
        <f>IF(ISNUMBER('Rates from Ireland Fedex Priort'!M192),_xlfn.CEILING.MATH('Rates from Ireland Fedex Priort'!M192,1)+IF($A193="EU",Variables!$B$6,Variables!$B$3),'Rates from Ireland Fedex Priort'!M192)</f>
        <v>No service</v>
      </c>
      <c r="N193" s="10" t="str">
        <f>IF(ISNUMBER('Rates from Ireland Fedex Priort'!N192),_xlfn.CEILING.MATH('Rates from Ireland Fedex Priort'!N192,1)+IF($A193="EU",Variables!$B$6,Variables!$B$3),'Rates from Ireland Fedex Priort'!N192)</f>
        <v>No service</v>
      </c>
      <c r="O193" s="11" t="s">
        <v>35</v>
      </c>
      <c r="P193" s="11" t="s">
        <v>36</v>
      </c>
      <c r="Q193" s="12">
        <v>80</v>
      </c>
      <c r="R193" s="11" t="s">
        <v>25</v>
      </c>
      <c r="S193" s="3" t="s">
        <v>26</v>
      </c>
      <c r="T193" s="38" t="s">
        <v>27</v>
      </c>
    </row>
    <row r="194" spans="1:20" ht="15.75" customHeight="1" x14ac:dyDescent="0.3">
      <c r="A194" s="39" t="str">
        <f>IF('Rates from Ireland Fedex Priort'!A193="","",'Rates from Ireland Fedex Priort'!A193)</f>
        <v>EU</v>
      </c>
      <c r="B194" s="8" t="str">
        <f>IF('Rates from Ireland Fedex Priort'!B193="","",'Rates from Ireland Fedex Priort'!B193)</f>
        <v>Ireland</v>
      </c>
      <c r="C194" s="9" t="str">
        <f>IF('Rates from Ireland Fedex Priort'!C193="","",'Rates from Ireland Fedex Priort'!C193)</f>
        <v>San Marino</v>
      </c>
      <c r="D194" s="10" t="str">
        <f>IF(ISNUMBER('Rates from Ireland Fedex Priort'!D193),_xlfn.CEILING.MATH('Rates from Ireland Fedex Priort'!D193,1)+IF($A194="EU",Variables!$B$5,Variables!$B$2),'Rates from Ireland Fedex Priort'!D193)</f>
        <v>No service</v>
      </c>
      <c r="E194" s="10" t="str">
        <f>IF(ISNUMBER('Rates from Ireland Fedex Priort'!E193),_xlfn.CEILING.MATH('Rates from Ireland Fedex Priort'!E193,1)+IF($A194="EU",Variables!$B$6,Variables!$B$3),'Rates from Ireland Fedex Priort'!E193)</f>
        <v>No service</v>
      </c>
      <c r="F194" s="10" t="str">
        <f>IF(ISNUMBER('Rates from Ireland Fedex Priort'!F193),_xlfn.CEILING.MATH('Rates from Ireland Fedex Priort'!F193,1)+IF($A194="EU",Variables!$B$6,Variables!$B$3),'Rates from Ireland Fedex Priort'!F193)</f>
        <v>No service</v>
      </c>
      <c r="G194" s="10" t="str">
        <f>IF(ISNUMBER('Rates from Ireland Fedex Priort'!G193),_xlfn.CEILING.MATH('Rates from Ireland Fedex Priort'!G193,1)+IF($A194="EU",Variables!$B$6,Variables!$B$3),'Rates from Ireland Fedex Priort'!G193)</f>
        <v>No service</v>
      </c>
      <c r="H194" s="10" t="str">
        <f>IF(ISNUMBER('Rates from Ireland Fedex Priort'!H193),_xlfn.CEILING.MATH('Rates from Ireland Fedex Priort'!H193,1)+IF($A194="EU",Variables!$B$6,Variables!$B$3),'Rates from Ireland Fedex Priort'!H193)</f>
        <v>No service</v>
      </c>
      <c r="I194" s="10" t="str">
        <f>IF(ISNUMBER('Rates from Ireland Fedex Priort'!I193),_xlfn.CEILING.MATH('Rates from Ireland Fedex Priort'!I193,1)+IF($A194="EU",Variables!$B$6,Variables!$B$3),'Rates from Ireland Fedex Priort'!I193)</f>
        <v>No service</v>
      </c>
      <c r="J194" s="10" t="str">
        <f>IF(ISNUMBER('Rates from Ireland Fedex Priort'!J193),_xlfn.CEILING.MATH('Rates from Ireland Fedex Priort'!J193,1)+IF($A194="EU",Variables!$B$6,Variables!$B$3),'Rates from Ireland Fedex Priort'!J193)</f>
        <v>No service</v>
      </c>
      <c r="K194" s="10" t="str">
        <f>IF(ISNUMBER('Rates from Ireland Fedex Priort'!K193),_xlfn.CEILING.MATH('Rates from Ireland Fedex Priort'!K193,1)+IF($A194="EU",Variables!$B$6,Variables!$B$3),'Rates from Ireland Fedex Priort'!K193)</f>
        <v>No service</v>
      </c>
      <c r="L194" s="10" t="str">
        <f>IF(ISNUMBER('Rates from Ireland Fedex Priort'!L193),_xlfn.CEILING.MATH('Rates from Ireland Fedex Priort'!L193,1)+IF($A194="EU",Variables!$B$6,Variables!$B$3),'Rates from Ireland Fedex Priort'!L193)</f>
        <v>No service</v>
      </c>
      <c r="M194" s="10" t="str">
        <f>IF(ISNUMBER('Rates from Ireland Fedex Priort'!M193),_xlfn.CEILING.MATH('Rates from Ireland Fedex Priort'!M193,1)+IF($A194="EU",Variables!$B$6,Variables!$B$3),'Rates from Ireland Fedex Priort'!M193)</f>
        <v>No service</v>
      </c>
      <c r="N194" s="10" t="str">
        <f>IF(ISNUMBER('Rates from Ireland Fedex Priort'!N193),_xlfn.CEILING.MATH('Rates from Ireland Fedex Priort'!N193,1)+IF($A194="EU",Variables!$B$6,Variables!$B$3),'Rates from Ireland Fedex Priort'!N193)</f>
        <v>No service</v>
      </c>
      <c r="O194" s="11"/>
      <c r="P194" s="11"/>
      <c r="Q194" s="11"/>
      <c r="R194" s="11"/>
      <c r="S194" s="3" t="s">
        <v>26</v>
      </c>
      <c r="T194" s="38" t="s">
        <v>27</v>
      </c>
    </row>
    <row r="195" spans="1:20" ht="15.75" customHeight="1" x14ac:dyDescent="0.3">
      <c r="A195" s="39" t="str">
        <f>IF('Rates from Ireland Fedex Priort'!A194="","",'Rates from Ireland Fedex Priort'!A194)</f>
        <v>EU</v>
      </c>
      <c r="B195" s="8" t="str">
        <f>IF('Rates from Ireland Fedex Priort'!B194="","",'Rates from Ireland Fedex Priort'!B194)</f>
        <v>Ireland</v>
      </c>
      <c r="C195" s="9" t="str">
        <f>IF('Rates from Ireland Fedex Priort'!C194="","",'Rates from Ireland Fedex Priort'!C194)</f>
        <v>São Tomé and Príncipe</v>
      </c>
      <c r="D195" s="10" t="str">
        <f>IF(ISNUMBER('Rates from Ireland Fedex Priort'!D194),_xlfn.CEILING.MATH('Rates from Ireland Fedex Priort'!D194,1)+IF($A195="EU",Variables!$B$5,Variables!$B$2),'Rates from Ireland Fedex Priort'!D194)</f>
        <v>No service</v>
      </c>
      <c r="E195" s="10" t="str">
        <f>IF(ISNUMBER('Rates from Ireland Fedex Priort'!E194),_xlfn.CEILING.MATH('Rates from Ireland Fedex Priort'!E194,1)+IF($A195="EU",Variables!$B$6,Variables!$B$3),'Rates from Ireland Fedex Priort'!E194)</f>
        <v>No service</v>
      </c>
      <c r="F195" s="10" t="str">
        <f>IF(ISNUMBER('Rates from Ireland Fedex Priort'!F194),_xlfn.CEILING.MATH('Rates from Ireland Fedex Priort'!F194,1)+IF($A195="EU",Variables!$B$6,Variables!$B$3),'Rates from Ireland Fedex Priort'!F194)</f>
        <v>No service</v>
      </c>
      <c r="G195" s="10" t="str">
        <f>IF(ISNUMBER('Rates from Ireland Fedex Priort'!G194),_xlfn.CEILING.MATH('Rates from Ireland Fedex Priort'!G194,1)+IF($A195="EU",Variables!$B$6,Variables!$B$3),'Rates from Ireland Fedex Priort'!G194)</f>
        <v>No service</v>
      </c>
      <c r="H195" s="10" t="str">
        <f>IF(ISNUMBER('Rates from Ireland Fedex Priort'!H194),_xlfn.CEILING.MATH('Rates from Ireland Fedex Priort'!H194,1)+IF($A195="EU",Variables!$B$6,Variables!$B$3),'Rates from Ireland Fedex Priort'!H194)</f>
        <v>No service</v>
      </c>
      <c r="I195" s="10" t="str">
        <f>IF(ISNUMBER('Rates from Ireland Fedex Priort'!I194),_xlfn.CEILING.MATH('Rates from Ireland Fedex Priort'!I194,1)+IF($A195="EU",Variables!$B$6,Variables!$B$3),'Rates from Ireland Fedex Priort'!I194)</f>
        <v>No service</v>
      </c>
      <c r="J195" s="10" t="str">
        <f>IF(ISNUMBER('Rates from Ireland Fedex Priort'!J194),_xlfn.CEILING.MATH('Rates from Ireland Fedex Priort'!J194,1)+IF($A195="EU",Variables!$B$6,Variables!$B$3),'Rates from Ireland Fedex Priort'!J194)</f>
        <v>No service</v>
      </c>
      <c r="K195" s="10" t="str">
        <f>IF(ISNUMBER('Rates from Ireland Fedex Priort'!K194),_xlfn.CEILING.MATH('Rates from Ireland Fedex Priort'!K194,1)+IF($A195="EU",Variables!$B$6,Variables!$B$3),'Rates from Ireland Fedex Priort'!K194)</f>
        <v>No service</v>
      </c>
      <c r="L195" s="10" t="str">
        <f>IF(ISNUMBER('Rates from Ireland Fedex Priort'!L194),_xlfn.CEILING.MATH('Rates from Ireland Fedex Priort'!L194,1)+IF($A195="EU",Variables!$B$6,Variables!$B$3),'Rates from Ireland Fedex Priort'!L194)</f>
        <v>No service</v>
      </c>
      <c r="M195" s="10" t="str">
        <f>IF(ISNUMBER('Rates from Ireland Fedex Priort'!M194),_xlfn.CEILING.MATH('Rates from Ireland Fedex Priort'!M194,1)+IF($A195="EU",Variables!$B$6,Variables!$B$3),'Rates from Ireland Fedex Priort'!M194)</f>
        <v>No service</v>
      </c>
      <c r="N195" s="10" t="str">
        <f>IF(ISNUMBER('Rates from Ireland Fedex Priort'!N194),_xlfn.CEILING.MATH('Rates from Ireland Fedex Priort'!N194,1)+IF($A195="EU",Variables!$B$6,Variables!$B$3),'Rates from Ireland Fedex Priort'!N194)</f>
        <v>No service</v>
      </c>
      <c r="O195" s="11"/>
      <c r="P195" s="11"/>
      <c r="Q195" s="11"/>
      <c r="R195" s="11"/>
      <c r="S195" s="3" t="s">
        <v>26</v>
      </c>
      <c r="T195" s="38" t="s">
        <v>27</v>
      </c>
    </row>
    <row r="196" spans="1:20" ht="15.75" customHeight="1" x14ac:dyDescent="0.3">
      <c r="A196" s="39" t="str">
        <f>IF('Rates from Ireland Fedex Priort'!A195="","",'Rates from Ireland Fedex Priort'!A195)</f>
        <v>EU</v>
      </c>
      <c r="B196" s="8" t="str">
        <f>IF('Rates from Ireland Fedex Priort'!B195="","",'Rates from Ireland Fedex Priort'!B195)</f>
        <v>Ireland</v>
      </c>
      <c r="C196" s="9" t="str">
        <f>IF('Rates from Ireland Fedex Priort'!C195="","",'Rates from Ireland Fedex Priort'!C195)</f>
        <v>Saudi Arabia</v>
      </c>
      <c r="D196" s="10">
        <f>IF(ISNUMBER('Rates from Ireland Fedex Priort'!D195),_xlfn.CEILING.MATH('Rates from Ireland Fedex Priort'!D195,1)+IF($A196="EU",Variables!$B$5,Variables!$B$2),'Rates from Ireland Fedex Priort'!D195)</f>
        <v>62</v>
      </c>
      <c r="E196" s="10">
        <f>IF(ISNUMBER('Rates from Ireland Fedex Priort'!E195),_xlfn.CEILING.MATH('Rates from Ireland Fedex Priort'!E195,1)+IF($A196="EU",Variables!$B$6,Variables!$B$3),'Rates from Ireland Fedex Priort'!E195)</f>
        <v>69</v>
      </c>
      <c r="F196" s="10">
        <f>IF(ISNUMBER('Rates from Ireland Fedex Priort'!F195),_xlfn.CEILING.MATH('Rates from Ireland Fedex Priort'!F195,1)+IF($A196="EU",Variables!$B$6,Variables!$B$3),'Rates from Ireland Fedex Priort'!F195)</f>
        <v>72</v>
      </c>
      <c r="G196" s="10">
        <f>IF(ISNUMBER('Rates from Ireland Fedex Priort'!G195),_xlfn.CEILING.MATH('Rates from Ireland Fedex Priort'!G195,1)+IF($A196="EU",Variables!$B$6,Variables!$B$3),'Rates from Ireland Fedex Priort'!G195)</f>
        <v>86</v>
      </c>
      <c r="H196" s="10">
        <f>IF(ISNUMBER('Rates from Ireland Fedex Priort'!H195),_xlfn.CEILING.MATH('Rates from Ireland Fedex Priort'!H195,1)+IF($A196="EU",Variables!$B$6,Variables!$B$3),'Rates from Ireland Fedex Priort'!H195)</f>
        <v>111</v>
      </c>
      <c r="I196" s="10">
        <f>IF(ISNUMBER('Rates from Ireland Fedex Priort'!I195),_xlfn.CEILING.MATH('Rates from Ireland Fedex Priort'!I195,1)+IF($A196="EU",Variables!$B$6,Variables!$B$3),'Rates from Ireland Fedex Priort'!I195)</f>
        <v>174</v>
      </c>
      <c r="J196" s="10" t="str">
        <f>IF(ISNUMBER('Rates from Ireland Fedex Priort'!J195),_xlfn.CEILING.MATH('Rates from Ireland Fedex Priort'!J195,1)+IF($A196="EU",Variables!$B$6,Variables!$B$3),'Rates from Ireland Fedex Priort'!J195)</f>
        <v>No service</v>
      </c>
      <c r="K196" s="10" t="str">
        <f>IF(ISNUMBER('Rates from Ireland Fedex Priort'!K195),_xlfn.CEILING.MATH('Rates from Ireland Fedex Priort'!K195,1)+IF($A196="EU",Variables!$B$6,Variables!$B$3),'Rates from Ireland Fedex Priort'!K195)</f>
        <v>No service</v>
      </c>
      <c r="L196" s="10" t="str">
        <f>IF(ISNUMBER('Rates from Ireland Fedex Priort'!L195),_xlfn.CEILING.MATH('Rates from Ireland Fedex Priort'!L195,1)+IF($A196="EU",Variables!$B$6,Variables!$B$3),'Rates from Ireland Fedex Priort'!L195)</f>
        <v>No service</v>
      </c>
      <c r="M196" s="10" t="str">
        <f>IF(ISNUMBER('Rates from Ireland Fedex Priort'!M195),_xlfn.CEILING.MATH('Rates from Ireland Fedex Priort'!M195,1)+IF($A196="EU",Variables!$B$6,Variables!$B$3),'Rates from Ireland Fedex Priort'!M195)</f>
        <v>No service</v>
      </c>
      <c r="N196" s="10" t="str">
        <f>IF(ISNUMBER('Rates from Ireland Fedex Priort'!N195),_xlfn.CEILING.MATH('Rates from Ireland Fedex Priort'!N195,1)+IF($A196="EU",Variables!$B$6,Variables!$B$3),'Rates from Ireland Fedex Priort'!N195)</f>
        <v>No service</v>
      </c>
      <c r="O196" s="11" t="s">
        <v>29</v>
      </c>
      <c r="P196" s="11" t="s">
        <v>30</v>
      </c>
      <c r="Q196" s="12">
        <v>80</v>
      </c>
      <c r="R196" s="11" t="s">
        <v>25</v>
      </c>
      <c r="S196" s="3" t="s">
        <v>26</v>
      </c>
      <c r="T196" s="38" t="s">
        <v>27</v>
      </c>
    </row>
    <row r="197" spans="1:20" ht="15.75" customHeight="1" x14ac:dyDescent="0.3">
      <c r="A197" s="39" t="str">
        <f>IF('Rates from Ireland Fedex Priort'!A196="","",'Rates from Ireland Fedex Priort'!A196)</f>
        <v>EU</v>
      </c>
      <c r="B197" s="8" t="str">
        <f>IF('Rates from Ireland Fedex Priort'!B196="","",'Rates from Ireland Fedex Priort'!B196)</f>
        <v>Ireland</v>
      </c>
      <c r="C197" s="9" t="str">
        <f>IF('Rates from Ireland Fedex Priort'!C196="","",'Rates from Ireland Fedex Priort'!C196)</f>
        <v>Senegal</v>
      </c>
      <c r="D197" s="10">
        <f>IF(ISNUMBER('Rates from Ireland Fedex Priort'!D196),_xlfn.CEILING.MATH('Rates from Ireland Fedex Priort'!D196,1)+IF($A197="EU",Variables!$B$5,Variables!$B$2),'Rates from Ireland Fedex Priort'!D196)</f>
        <v>72</v>
      </c>
      <c r="E197" s="10">
        <f>IF(ISNUMBER('Rates from Ireland Fedex Priort'!E196),_xlfn.CEILING.MATH('Rates from Ireland Fedex Priort'!E196,1)+IF($A197="EU",Variables!$B$6,Variables!$B$3),'Rates from Ireland Fedex Priort'!E196)</f>
        <v>83</v>
      </c>
      <c r="F197" s="10">
        <f>IF(ISNUMBER('Rates from Ireland Fedex Priort'!F196),_xlfn.CEILING.MATH('Rates from Ireland Fedex Priort'!F196,1)+IF($A197="EU",Variables!$B$6,Variables!$B$3),'Rates from Ireland Fedex Priort'!F196)</f>
        <v>88</v>
      </c>
      <c r="G197" s="10">
        <f>IF(ISNUMBER('Rates from Ireland Fedex Priort'!G196),_xlfn.CEILING.MATH('Rates from Ireland Fedex Priort'!G196,1)+IF($A197="EU",Variables!$B$6,Variables!$B$3),'Rates from Ireland Fedex Priort'!G196)</f>
        <v>106</v>
      </c>
      <c r="H197" s="10">
        <f>IF(ISNUMBER('Rates from Ireland Fedex Priort'!H196),_xlfn.CEILING.MATH('Rates from Ireland Fedex Priort'!H196,1)+IF($A197="EU",Variables!$B$6,Variables!$B$3),'Rates from Ireland Fedex Priort'!H196)</f>
        <v>134</v>
      </c>
      <c r="I197" s="10">
        <f>IF(ISNUMBER('Rates from Ireland Fedex Priort'!I196),_xlfn.CEILING.MATH('Rates from Ireland Fedex Priort'!I196,1)+IF($A197="EU",Variables!$B$6,Variables!$B$3),'Rates from Ireland Fedex Priort'!I196)</f>
        <v>242</v>
      </c>
      <c r="J197" s="10" t="str">
        <f>IF(ISNUMBER('Rates from Ireland Fedex Priort'!J196),_xlfn.CEILING.MATH('Rates from Ireland Fedex Priort'!J196,1)+IF($A197="EU",Variables!$B$6,Variables!$B$3),'Rates from Ireland Fedex Priort'!J196)</f>
        <v>No service</v>
      </c>
      <c r="K197" s="10" t="str">
        <f>IF(ISNUMBER('Rates from Ireland Fedex Priort'!K196),_xlfn.CEILING.MATH('Rates from Ireland Fedex Priort'!K196,1)+IF($A197="EU",Variables!$B$6,Variables!$B$3),'Rates from Ireland Fedex Priort'!K196)</f>
        <v>No service</v>
      </c>
      <c r="L197" s="10" t="str">
        <f>IF(ISNUMBER('Rates from Ireland Fedex Priort'!L196),_xlfn.CEILING.MATH('Rates from Ireland Fedex Priort'!L196,1)+IF($A197="EU",Variables!$B$6,Variables!$B$3),'Rates from Ireland Fedex Priort'!L196)</f>
        <v>No service</v>
      </c>
      <c r="M197" s="10" t="str">
        <f>IF(ISNUMBER('Rates from Ireland Fedex Priort'!M196),_xlfn.CEILING.MATH('Rates from Ireland Fedex Priort'!M196,1)+IF($A197="EU",Variables!$B$6,Variables!$B$3),'Rates from Ireland Fedex Priort'!M196)</f>
        <v>No service</v>
      </c>
      <c r="N197" s="10" t="str">
        <f>IF(ISNUMBER('Rates from Ireland Fedex Priort'!N196),_xlfn.CEILING.MATH('Rates from Ireland Fedex Priort'!N196,1)+IF($A197="EU",Variables!$B$6,Variables!$B$3),'Rates from Ireland Fedex Priort'!N196)</f>
        <v>No service</v>
      </c>
      <c r="O197" s="11" t="s">
        <v>35</v>
      </c>
      <c r="P197" s="11" t="s">
        <v>36</v>
      </c>
      <c r="Q197" s="12">
        <v>80</v>
      </c>
      <c r="R197" s="11" t="s">
        <v>25</v>
      </c>
      <c r="S197" s="3" t="s">
        <v>26</v>
      </c>
      <c r="T197" s="38" t="s">
        <v>27</v>
      </c>
    </row>
    <row r="198" spans="1:20" ht="15.75" customHeight="1" x14ac:dyDescent="0.3">
      <c r="A198" s="39" t="str">
        <f>IF('Rates from Ireland Fedex Priort'!A197="","",'Rates from Ireland Fedex Priort'!A197)</f>
        <v>EU</v>
      </c>
      <c r="B198" s="8" t="str">
        <f>IF('Rates from Ireland Fedex Priort'!B197="","",'Rates from Ireland Fedex Priort'!B197)</f>
        <v>Ireland</v>
      </c>
      <c r="C198" s="9" t="str">
        <f>IF('Rates from Ireland Fedex Priort'!C197="","",'Rates from Ireland Fedex Priort'!C197)</f>
        <v>Serbia</v>
      </c>
      <c r="D198" s="10">
        <f>IF(ISNUMBER('Rates from Ireland Fedex Priort'!D197),_xlfn.CEILING.MATH('Rates from Ireland Fedex Priort'!D197,1)+IF($A198="EU",Variables!$B$5,Variables!$B$2),'Rates from Ireland Fedex Priort'!D197)</f>
        <v>77</v>
      </c>
      <c r="E198" s="10">
        <f>IF(ISNUMBER('Rates from Ireland Fedex Priort'!E197),_xlfn.CEILING.MATH('Rates from Ireland Fedex Priort'!E197,1)+IF($A198="EU",Variables!$B$6,Variables!$B$3),'Rates from Ireland Fedex Priort'!E197)</f>
        <v>85</v>
      </c>
      <c r="F198" s="10">
        <f>IF(ISNUMBER('Rates from Ireland Fedex Priort'!F197),_xlfn.CEILING.MATH('Rates from Ireland Fedex Priort'!F197,1)+IF($A198="EU",Variables!$B$6,Variables!$B$3),'Rates from Ireland Fedex Priort'!F197)</f>
        <v>88</v>
      </c>
      <c r="G198" s="10">
        <f>IF(ISNUMBER('Rates from Ireland Fedex Priort'!G197),_xlfn.CEILING.MATH('Rates from Ireland Fedex Priort'!G197,1)+IF($A198="EU",Variables!$B$6,Variables!$B$3),'Rates from Ireland Fedex Priort'!G197)</f>
        <v>97</v>
      </c>
      <c r="H198" s="10">
        <f>IF(ISNUMBER('Rates from Ireland Fedex Priort'!H197),_xlfn.CEILING.MATH('Rates from Ireland Fedex Priort'!H197,1)+IF($A198="EU",Variables!$B$6,Variables!$B$3),'Rates from Ireland Fedex Priort'!H197)</f>
        <v>102</v>
      </c>
      <c r="I198" s="10">
        <f>IF(ISNUMBER('Rates from Ireland Fedex Priort'!I197),_xlfn.CEILING.MATH('Rates from Ireland Fedex Priort'!I197,1)+IF($A198="EU",Variables!$B$6,Variables!$B$3),'Rates from Ireland Fedex Priort'!I197)</f>
        <v>109</v>
      </c>
      <c r="J198" s="10" t="str">
        <f>IF(ISNUMBER('Rates from Ireland Fedex Priort'!J197),_xlfn.CEILING.MATH('Rates from Ireland Fedex Priort'!J197,1)+IF($A198="EU",Variables!$B$6,Variables!$B$3),'Rates from Ireland Fedex Priort'!J197)</f>
        <v>No service</v>
      </c>
      <c r="K198" s="10" t="str">
        <f>IF(ISNUMBER('Rates from Ireland Fedex Priort'!K197),_xlfn.CEILING.MATH('Rates from Ireland Fedex Priort'!K197,1)+IF($A198="EU",Variables!$B$6,Variables!$B$3),'Rates from Ireland Fedex Priort'!K197)</f>
        <v>No service</v>
      </c>
      <c r="L198" s="10" t="str">
        <f>IF(ISNUMBER('Rates from Ireland Fedex Priort'!L197),_xlfn.CEILING.MATH('Rates from Ireland Fedex Priort'!L197,1)+IF($A198="EU",Variables!$B$6,Variables!$B$3),'Rates from Ireland Fedex Priort'!L197)</f>
        <v>No service</v>
      </c>
      <c r="M198" s="10" t="str">
        <f>IF(ISNUMBER('Rates from Ireland Fedex Priort'!M197),_xlfn.CEILING.MATH('Rates from Ireland Fedex Priort'!M197,1)+IF($A198="EU",Variables!$B$6,Variables!$B$3),'Rates from Ireland Fedex Priort'!M197)</f>
        <v>No service</v>
      </c>
      <c r="N198" s="10" t="str">
        <f>IF(ISNUMBER('Rates from Ireland Fedex Priort'!N197),_xlfn.CEILING.MATH('Rates from Ireland Fedex Priort'!N197,1)+IF($A198="EU",Variables!$B$6,Variables!$B$3),'Rates from Ireland Fedex Priort'!N197)</f>
        <v>No service</v>
      </c>
      <c r="O198" s="11" t="s">
        <v>23</v>
      </c>
      <c r="P198" s="11" t="s">
        <v>24</v>
      </c>
      <c r="Q198" s="12">
        <v>80</v>
      </c>
      <c r="R198" s="11" t="s">
        <v>25</v>
      </c>
      <c r="S198" s="3" t="s">
        <v>26</v>
      </c>
      <c r="T198" s="38" t="s">
        <v>27</v>
      </c>
    </row>
    <row r="199" spans="1:20" ht="15.75" customHeight="1" x14ac:dyDescent="0.3">
      <c r="A199" s="39" t="str">
        <f>IF('Rates from Ireland Fedex Priort'!A198="","",'Rates from Ireland Fedex Priort'!A198)</f>
        <v>EU</v>
      </c>
      <c r="B199" s="8" t="str">
        <f>IF('Rates from Ireland Fedex Priort'!B198="","",'Rates from Ireland Fedex Priort'!B198)</f>
        <v>Ireland</v>
      </c>
      <c r="C199" s="9" t="str">
        <f>IF('Rates from Ireland Fedex Priort'!C198="","",'Rates from Ireland Fedex Priort'!C198)</f>
        <v>Seychelles</v>
      </c>
      <c r="D199" s="10" t="str">
        <f>IF(ISNUMBER('Rates from Ireland Fedex Priort'!D198),_xlfn.CEILING.MATH('Rates from Ireland Fedex Priort'!D198,1)+IF($A199="EU",Variables!$B$5,Variables!$B$2),'Rates from Ireland Fedex Priort'!D198)</f>
        <v>No service</v>
      </c>
      <c r="E199" s="10" t="str">
        <f>IF(ISNUMBER('Rates from Ireland Fedex Priort'!E198),_xlfn.CEILING.MATH('Rates from Ireland Fedex Priort'!E198,1)+IF($A199="EU",Variables!$B$6,Variables!$B$3),'Rates from Ireland Fedex Priort'!E198)</f>
        <v>No service</v>
      </c>
      <c r="F199" s="10" t="str">
        <f>IF(ISNUMBER('Rates from Ireland Fedex Priort'!F198),_xlfn.CEILING.MATH('Rates from Ireland Fedex Priort'!F198,1)+IF($A199="EU",Variables!$B$6,Variables!$B$3),'Rates from Ireland Fedex Priort'!F198)</f>
        <v>No service</v>
      </c>
      <c r="G199" s="10" t="str">
        <f>IF(ISNUMBER('Rates from Ireland Fedex Priort'!G198),_xlfn.CEILING.MATH('Rates from Ireland Fedex Priort'!G198,1)+IF($A199="EU",Variables!$B$6,Variables!$B$3),'Rates from Ireland Fedex Priort'!G198)</f>
        <v>No service</v>
      </c>
      <c r="H199" s="10" t="str">
        <f>IF(ISNUMBER('Rates from Ireland Fedex Priort'!H198),_xlfn.CEILING.MATH('Rates from Ireland Fedex Priort'!H198,1)+IF($A199="EU",Variables!$B$6,Variables!$B$3),'Rates from Ireland Fedex Priort'!H198)</f>
        <v>No service</v>
      </c>
      <c r="I199" s="10" t="str">
        <f>IF(ISNUMBER('Rates from Ireland Fedex Priort'!I198),_xlfn.CEILING.MATH('Rates from Ireland Fedex Priort'!I198,1)+IF($A199="EU",Variables!$B$6,Variables!$B$3),'Rates from Ireland Fedex Priort'!I198)</f>
        <v>No service</v>
      </c>
      <c r="J199" s="10" t="str">
        <f>IF(ISNUMBER('Rates from Ireland Fedex Priort'!J198),_xlfn.CEILING.MATH('Rates from Ireland Fedex Priort'!J198,1)+IF($A199="EU",Variables!$B$6,Variables!$B$3),'Rates from Ireland Fedex Priort'!J198)</f>
        <v>No service</v>
      </c>
      <c r="K199" s="10" t="str">
        <f>IF(ISNUMBER('Rates from Ireland Fedex Priort'!K198),_xlfn.CEILING.MATH('Rates from Ireland Fedex Priort'!K198,1)+IF($A199="EU",Variables!$B$6,Variables!$B$3),'Rates from Ireland Fedex Priort'!K198)</f>
        <v>No service</v>
      </c>
      <c r="L199" s="10" t="str">
        <f>IF(ISNUMBER('Rates from Ireland Fedex Priort'!L198),_xlfn.CEILING.MATH('Rates from Ireland Fedex Priort'!L198,1)+IF($A199="EU",Variables!$B$6,Variables!$B$3),'Rates from Ireland Fedex Priort'!L198)</f>
        <v>No service</v>
      </c>
      <c r="M199" s="10" t="str">
        <f>IF(ISNUMBER('Rates from Ireland Fedex Priort'!M198),_xlfn.CEILING.MATH('Rates from Ireland Fedex Priort'!M198,1)+IF($A199="EU",Variables!$B$6,Variables!$B$3),'Rates from Ireland Fedex Priort'!M198)</f>
        <v>No service</v>
      </c>
      <c r="N199" s="10" t="str">
        <f>IF(ISNUMBER('Rates from Ireland Fedex Priort'!N198),_xlfn.CEILING.MATH('Rates from Ireland Fedex Priort'!N198,1)+IF($A199="EU",Variables!$B$6,Variables!$B$3),'Rates from Ireland Fedex Priort'!N198)</f>
        <v>No service</v>
      </c>
      <c r="O199" s="11"/>
      <c r="P199" s="11"/>
      <c r="Q199" s="11"/>
      <c r="R199" s="11"/>
      <c r="S199" s="3" t="s">
        <v>26</v>
      </c>
      <c r="T199" s="38" t="s">
        <v>27</v>
      </c>
    </row>
    <row r="200" spans="1:20" ht="15.75" customHeight="1" x14ac:dyDescent="0.3">
      <c r="A200" s="39" t="str">
        <f>IF('Rates from Ireland Fedex Priort'!A199="","",'Rates from Ireland Fedex Priort'!A199)</f>
        <v>EU</v>
      </c>
      <c r="B200" s="8" t="str">
        <f>IF('Rates from Ireland Fedex Priort'!B199="","",'Rates from Ireland Fedex Priort'!B199)</f>
        <v>Ireland</v>
      </c>
      <c r="C200" s="9" t="str">
        <f>IF('Rates from Ireland Fedex Priort'!C199="","",'Rates from Ireland Fedex Priort'!C199)</f>
        <v>Sierra Leone</v>
      </c>
      <c r="D200" s="10" t="str">
        <f>IF(ISNUMBER('Rates from Ireland Fedex Priort'!D199),_xlfn.CEILING.MATH('Rates from Ireland Fedex Priort'!D199,1)+IF($A200="EU",Variables!$B$5,Variables!$B$2),'Rates from Ireland Fedex Priort'!D199)</f>
        <v>No service</v>
      </c>
      <c r="E200" s="10" t="str">
        <f>IF(ISNUMBER('Rates from Ireland Fedex Priort'!E199),_xlfn.CEILING.MATH('Rates from Ireland Fedex Priort'!E199,1)+IF($A200="EU",Variables!$B$6,Variables!$B$3),'Rates from Ireland Fedex Priort'!E199)</f>
        <v>No service</v>
      </c>
      <c r="F200" s="10" t="str">
        <f>IF(ISNUMBER('Rates from Ireland Fedex Priort'!F199),_xlfn.CEILING.MATH('Rates from Ireland Fedex Priort'!F199,1)+IF($A200="EU",Variables!$B$6,Variables!$B$3),'Rates from Ireland Fedex Priort'!F199)</f>
        <v>No service</v>
      </c>
      <c r="G200" s="10" t="str">
        <f>IF(ISNUMBER('Rates from Ireland Fedex Priort'!G199),_xlfn.CEILING.MATH('Rates from Ireland Fedex Priort'!G199,1)+IF($A200="EU",Variables!$B$6,Variables!$B$3),'Rates from Ireland Fedex Priort'!G199)</f>
        <v>No service</v>
      </c>
      <c r="H200" s="10" t="str">
        <f>IF(ISNUMBER('Rates from Ireland Fedex Priort'!H199),_xlfn.CEILING.MATH('Rates from Ireland Fedex Priort'!H199,1)+IF($A200="EU",Variables!$B$6,Variables!$B$3),'Rates from Ireland Fedex Priort'!H199)</f>
        <v>No service</v>
      </c>
      <c r="I200" s="10" t="str">
        <f>IF(ISNUMBER('Rates from Ireland Fedex Priort'!I199),_xlfn.CEILING.MATH('Rates from Ireland Fedex Priort'!I199,1)+IF($A200="EU",Variables!$B$6,Variables!$B$3),'Rates from Ireland Fedex Priort'!I199)</f>
        <v>No service</v>
      </c>
      <c r="J200" s="10" t="str">
        <f>IF(ISNUMBER('Rates from Ireland Fedex Priort'!J199),_xlfn.CEILING.MATH('Rates from Ireland Fedex Priort'!J199,1)+IF($A200="EU",Variables!$B$6,Variables!$B$3),'Rates from Ireland Fedex Priort'!J199)</f>
        <v>No service</v>
      </c>
      <c r="K200" s="10" t="str">
        <f>IF(ISNUMBER('Rates from Ireland Fedex Priort'!K199),_xlfn.CEILING.MATH('Rates from Ireland Fedex Priort'!K199,1)+IF($A200="EU",Variables!$B$6,Variables!$B$3),'Rates from Ireland Fedex Priort'!K199)</f>
        <v>No service</v>
      </c>
      <c r="L200" s="10" t="str">
        <f>IF(ISNUMBER('Rates from Ireland Fedex Priort'!L199),_xlfn.CEILING.MATH('Rates from Ireland Fedex Priort'!L199,1)+IF($A200="EU",Variables!$B$6,Variables!$B$3),'Rates from Ireland Fedex Priort'!L199)</f>
        <v>No service</v>
      </c>
      <c r="M200" s="10" t="str">
        <f>IF(ISNUMBER('Rates from Ireland Fedex Priort'!M199),_xlfn.CEILING.MATH('Rates from Ireland Fedex Priort'!M199,1)+IF($A200="EU",Variables!$B$6,Variables!$B$3),'Rates from Ireland Fedex Priort'!M199)</f>
        <v>No service</v>
      </c>
      <c r="N200" s="10" t="str">
        <f>IF(ISNUMBER('Rates from Ireland Fedex Priort'!N199),_xlfn.CEILING.MATH('Rates from Ireland Fedex Priort'!N199,1)+IF($A200="EU",Variables!$B$6,Variables!$B$3),'Rates from Ireland Fedex Priort'!N199)</f>
        <v>No service</v>
      </c>
      <c r="O200" s="11"/>
      <c r="P200" s="11"/>
      <c r="Q200" s="11"/>
      <c r="R200" s="11"/>
      <c r="S200" s="3" t="s">
        <v>26</v>
      </c>
      <c r="T200" s="38" t="s">
        <v>27</v>
      </c>
    </row>
    <row r="201" spans="1:20" ht="15.75" customHeight="1" x14ac:dyDescent="0.3">
      <c r="A201" s="39" t="str">
        <f>IF('Rates from Ireland Fedex Priort'!A200="","",'Rates from Ireland Fedex Priort'!A200)</f>
        <v>EU</v>
      </c>
      <c r="B201" s="8" t="str">
        <f>IF('Rates from Ireland Fedex Priort'!B200="","",'Rates from Ireland Fedex Priort'!B200)</f>
        <v>Ireland</v>
      </c>
      <c r="C201" s="9" t="str">
        <f>IF('Rates from Ireland Fedex Priort'!C200="","",'Rates from Ireland Fedex Priort'!C200)</f>
        <v>Singapore</v>
      </c>
      <c r="D201" s="10">
        <f>IF(ISNUMBER('Rates from Ireland Fedex Priort'!D200),_xlfn.CEILING.MATH('Rates from Ireland Fedex Priort'!D200,1)+IF($A201="EU",Variables!$B$5,Variables!$B$2),'Rates from Ireland Fedex Priort'!D200)</f>
        <v>69</v>
      </c>
      <c r="E201" s="10">
        <f>IF(ISNUMBER('Rates from Ireland Fedex Priort'!E200),_xlfn.CEILING.MATH('Rates from Ireland Fedex Priort'!E200,1)+IF($A201="EU",Variables!$B$6,Variables!$B$3),'Rates from Ireland Fedex Priort'!E200)</f>
        <v>74</v>
      </c>
      <c r="F201" s="10">
        <f>IF(ISNUMBER('Rates from Ireland Fedex Priort'!F200),_xlfn.CEILING.MATH('Rates from Ireland Fedex Priort'!F200,1)+IF($A201="EU",Variables!$B$6,Variables!$B$3),'Rates from Ireland Fedex Priort'!F200)</f>
        <v>79</v>
      </c>
      <c r="G201" s="10">
        <f>IF(ISNUMBER('Rates from Ireland Fedex Priort'!G200),_xlfn.CEILING.MATH('Rates from Ireland Fedex Priort'!G200,1)+IF($A201="EU",Variables!$B$6,Variables!$B$3),'Rates from Ireland Fedex Priort'!G200)</f>
        <v>95</v>
      </c>
      <c r="H201" s="10">
        <f>IF(ISNUMBER('Rates from Ireland Fedex Priort'!H200),_xlfn.CEILING.MATH('Rates from Ireland Fedex Priort'!H200,1)+IF($A201="EU",Variables!$B$6,Variables!$B$3),'Rates from Ireland Fedex Priort'!H200)</f>
        <v>119</v>
      </c>
      <c r="I201" s="10">
        <f>IF(ISNUMBER('Rates from Ireland Fedex Priort'!I200),_xlfn.CEILING.MATH('Rates from Ireland Fedex Priort'!I200,1)+IF($A201="EU",Variables!$B$6,Variables!$B$3),'Rates from Ireland Fedex Priort'!I200)</f>
        <v>179</v>
      </c>
      <c r="J201" s="10" t="str">
        <f>IF(ISNUMBER('Rates from Ireland Fedex Priort'!J200),_xlfn.CEILING.MATH('Rates from Ireland Fedex Priort'!J200,1)+IF($A201="EU",Variables!$B$6,Variables!$B$3),'Rates from Ireland Fedex Priort'!J200)</f>
        <v>No service</v>
      </c>
      <c r="K201" s="10" t="str">
        <f>IF(ISNUMBER('Rates from Ireland Fedex Priort'!K200),_xlfn.CEILING.MATH('Rates from Ireland Fedex Priort'!K200,1)+IF($A201="EU",Variables!$B$6,Variables!$B$3),'Rates from Ireland Fedex Priort'!K200)</f>
        <v>No service</v>
      </c>
      <c r="L201" s="10" t="str">
        <f>IF(ISNUMBER('Rates from Ireland Fedex Priort'!L200),_xlfn.CEILING.MATH('Rates from Ireland Fedex Priort'!L200,1)+IF($A201="EU",Variables!$B$6,Variables!$B$3),'Rates from Ireland Fedex Priort'!L200)</f>
        <v>No service</v>
      </c>
      <c r="M201" s="10" t="str">
        <f>IF(ISNUMBER('Rates from Ireland Fedex Priort'!M200),_xlfn.CEILING.MATH('Rates from Ireland Fedex Priort'!M200,1)+IF($A201="EU",Variables!$B$6,Variables!$B$3),'Rates from Ireland Fedex Priort'!M200)</f>
        <v>No service</v>
      </c>
      <c r="N201" s="10" t="str">
        <f>IF(ISNUMBER('Rates from Ireland Fedex Priort'!N200),_xlfn.CEILING.MATH('Rates from Ireland Fedex Priort'!N200,1)+IF($A201="EU",Variables!$B$6,Variables!$B$3),'Rates from Ireland Fedex Priort'!N200)</f>
        <v>No service</v>
      </c>
      <c r="O201" s="11" t="s">
        <v>41</v>
      </c>
      <c r="P201" s="11" t="s">
        <v>143</v>
      </c>
      <c r="Q201" s="12">
        <v>80</v>
      </c>
      <c r="R201" s="11" t="s">
        <v>25</v>
      </c>
      <c r="S201" s="3" t="s">
        <v>26</v>
      </c>
      <c r="T201" s="38" t="s">
        <v>27</v>
      </c>
    </row>
    <row r="202" spans="1:20" ht="15.75" customHeight="1" x14ac:dyDescent="0.3">
      <c r="A202" s="39" t="str">
        <f>IF('Rates from Ireland Fedex Priort'!A201="","",'Rates from Ireland Fedex Priort'!A201)</f>
        <v>EU</v>
      </c>
      <c r="B202" s="8" t="str">
        <f>IF('Rates from Ireland Fedex Priort'!B201="","",'Rates from Ireland Fedex Priort'!B201)</f>
        <v>Ireland</v>
      </c>
      <c r="C202" s="9" t="str">
        <f>IF('Rates from Ireland Fedex Priort'!C201="","",'Rates from Ireland Fedex Priort'!C201)</f>
        <v>Sint Eustatius (Netherlands)</v>
      </c>
      <c r="D202" s="10" t="str">
        <f>IF(ISNUMBER('Rates from Ireland Fedex Priort'!D201),_xlfn.CEILING.MATH('Rates from Ireland Fedex Priort'!D201,1)+IF($A202="EU",Variables!$B$5,Variables!$B$2),'Rates from Ireland Fedex Priort'!D201)</f>
        <v>No service</v>
      </c>
      <c r="E202" s="10" t="str">
        <f>IF(ISNUMBER('Rates from Ireland Fedex Priort'!E201),_xlfn.CEILING.MATH('Rates from Ireland Fedex Priort'!E201,1)+IF($A202="EU",Variables!$B$6,Variables!$B$3),'Rates from Ireland Fedex Priort'!E201)</f>
        <v>No service</v>
      </c>
      <c r="F202" s="10" t="str">
        <f>IF(ISNUMBER('Rates from Ireland Fedex Priort'!F201),_xlfn.CEILING.MATH('Rates from Ireland Fedex Priort'!F201,1)+IF($A202="EU",Variables!$B$6,Variables!$B$3),'Rates from Ireland Fedex Priort'!F201)</f>
        <v>No service</v>
      </c>
      <c r="G202" s="10" t="str">
        <f>IF(ISNUMBER('Rates from Ireland Fedex Priort'!G201),_xlfn.CEILING.MATH('Rates from Ireland Fedex Priort'!G201,1)+IF($A202="EU",Variables!$B$6,Variables!$B$3),'Rates from Ireland Fedex Priort'!G201)</f>
        <v>No service</v>
      </c>
      <c r="H202" s="10" t="str">
        <f>IF(ISNUMBER('Rates from Ireland Fedex Priort'!H201),_xlfn.CEILING.MATH('Rates from Ireland Fedex Priort'!H201,1)+IF($A202="EU",Variables!$B$6,Variables!$B$3),'Rates from Ireland Fedex Priort'!H201)</f>
        <v>No service</v>
      </c>
      <c r="I202" s="10" t="str">
        <f>IF(ISNUMBER('Rates from Ireland Fedex Priort'!I201),_xlfn.CEILING.MATH('Rates from Ireland Fedex Priort'!I201,1)+IF($A202="EU",Variables!$B$6,Variables!$B$3),'Rates from Ireland Fedex Priort'!I201)</f>
        <v>No service</v>
      </c>
      <c r="J202" s="10" t="str">
        <f>IF(ISNUMBER('Rates from Ireland Fedex Priort'!J201),_xlfn.CEILING.MATH('Rates from Ireland Fedex Priort'!J201,1)+IF($A202="EU",Variables!$B$6,Variables!$B$3),'Rates from Ireland Fedex Priort'!J201)</f>
        <v>No service</v>
      </c>
      <c r="K202" s="10" t="str">
        <f>IF(ISNUMBER('Rates from Ireland Fedex Priort'!K201),_xlfn.CEILING.MATH('Rates from Ireland Fedex Priort'!K201,1)+IF($A202="EU",Variables!$B$6,Variables!$B$3),'Rates from Ireland Fedex Priort'!K201)</f>
        <v>No service</v>
      </c>
      <c r="L202" s="10" t="str">
        <f>IF(ISNUMBER('Rates from Ireland Fedex Priort'!L201),_xlfn.CEILING.MATH('Rates from Ireland Fedex Priort'!L201,1)+IF($A202="EU",Variables!$B$6,Variables!$B$3),'Rates from Ireland Fedex Priort'!L201)</f>
        <v>No service</v>
      </c>
      <c r="M202" s="10" t="str">
        <f>IF(ISNUMBER('Rates from Ireland Fedex Priort'!M201),_xlfn.CEILING.MATH('Rates from Ireland Fedex Priort'!M201,1)+IF($A202="EU",Variables!$B$6,Variables!$B$3),'Rates from Ireland Fedex Priort'!M201)</f>
        <v>No service</v>
      </c>
      <c r="N202" s="10" t="str">
        <f>IF(ISNUMBER('Rates from Ireland Fedex Priort'!N201),_xlfn.CEILING.MATH('Rates from Ireland Fedex Priort'!N201,1)+IF($A202="EU",Variables!$B$6,Variables!$B$3),'Rates from Ireland Fedex Priort'!N201)</f>
        <v>No service</v>
      </c>
      <c r="O202" s="11"/>
      <c r="P202" s="11"/>
      <c r="Q202" s="11"/>
      <c r="R202" s="11"/>
      <c r="S202" s="3" t="s">
        <v>26</v>
      </c>
      <c r="T202" s="38" t="s">
        <v>27</v>
      </c>
    </row>
    <row r="203" spans="1:20" ht="15.75" customHeight="1" x14ac:dyDescent="0.3">
      <c r="A203" s="39" t="str">
        <f>IF('Rates from Ireland Fedex Priort'!A202="","",'Rates from Ireland Fedex Priort'!A202)</f>
        <v>EU</v>
      </c>
      <c r="B203" s="8" t="str">
        <f>IF('Rates from Ireland Fedex Priort'!B202="","",'Rates from Ireland Fedex Priort'!B202)</f>
        <v>Ireland</v>
      </c>
      <c r="C203" s="9" t="str">
        <f>IF('Rates from Ireland Fedex Priort'!C202="","",'Rates from Ireland Fedex Priort'!C202)</f>
        <v>Sint Maarten (Netherlands)</v>
      </c>
      <c r="D203" s="10">
        <f>IF(ISNUMBER('Rates from Ireland Fedex Priort'!D202),_xlfn.CEILING.MATH('Rates from Ireland Fedex Priort'!D202,1)+IF($A203="EU",Variables!$B$5,Variables!$B$2),'Rates from Ireland Fedex Priort'!D202)</f>
        <v>68</v>
      </c>
      <c r="E203" s="10">
        <f>IF(ISNUMBER('Rates from Ireland Fedex Priort'!E202),_xlfn.CEILING.MATH('Rates from Ireland Fedex Priort'!E202,1)+IF($A203="EU",Variables!$B$6,Variables!$B$3),'Rates from Ireland Fedex Priort'!E202)</f>
        <v>77</v>
      </c>
      <c r="F203" s="10">
        <f>IF(ISNUMBER('Rates from Ireland Fedex Priort'!F202),_xlfn.CEILING.MATH('Rates from Ireland Fedex Priort'!F202,1)+IF($A203="EU",Variables!$B$6,Variables!$B$3),'Rates from Ireland Fedex Priort'!F202)</f>
        <v>80</v>
      </c>
      <c r="G203" s="10">
        <f>IF(ISNUMBER('Rates from Ireland Fedex Priort'!G202),_xlfn.CEILING.MATH('Rates from Ireland Fedex Priort'!G202,1)+IF($A203="EU",Variables!$B$6,Variables!$B$3),'Rates from Ireland Fedex Priort'!G202)</f>
        <v>96</v>
      </c>
      <c r="H203" s="10">
        <f>IF(ISNUMBER('Rates from Ireland Fedex Priort'!H202),_xlfn.CEILING.MATH('Rates from Ireland Fedex Priort'!H202,1)+IF($A203="EU",Variables!$B$6,Variables!$B$3),'Rates from Ireland Fedex Priort'!H202)</f>
        <v>117</v>
      </c>
      <c r="I203" s="10">
        <f>IF(ISNUMBER('Rates from Ireland Fedex Priort'!I202),_xlfn.CEILING.MATH('Rates from Ireland Fedex Priort'!I202,1)+IF($A203="EU",Variables!$B$6,Variables!$B$3),'Rates from Ireland Fedex Priort'!I202)</f>
        <v>219</v>
      </c>
      <c r="J203" s="10" t="str">
        <f>IF(ISNUMBER('Rates from Ireland Fedex Priort'!J202),_xlfn.CEILING.MATH('Rates from Ireland Fedex Priort'!J202,1)+IF($A203="EU",Variables!$B$6,Variables!$B$3),'Rates from Ireland Fedex Priort'!J202)</f>
        <v>No service</v>
      </c>
      <c r="K203" s="10" t="str">
        <f>IF(ISNUMBER('Rates from Ireland Fedex Priort'!K202),_xlfn.CEILING.MATH('Rates from Ireland Fedex Priort'!K202,1)+IF($A203="EU",Variables!$B$6,Variables!$B$3),'Rates from Ireland Fedex Priort'!K202)</f>
        <v>No service</v>
      </c>
      <c r="L203" s="10" t="str">
        <f>IF(ISNUMBER('Rates from Ireland Fedex Priort'!L202),_xlfn.CEILING.MATH('Rates from Ireland Fedex Priort'!L202,1)+IF($A203="EU",Variables!$B$6,Variables!$B$3),'Rates from Ireland Fedex Priort'!L202)</f>
        <v>No service</v>
      </c>
      <c r="M203" s="10" t="str">
        <f>IF(ISNUMBER('Rates from Ireland Fedex Priort'!M202),_xlfn.CEILING.MATH('Rates from Ireland Fedex Priort'!M202,1)+IF($A203="EU",Variables!$B$6,Variables!$B$3),'Rates from Ireland Fedex Priort'!M202)</f>
        <v>No service</v>
      </c>
      <c r="N203" s="10" t="str">
        <f>IF(ISNUMBER('Rates from Ireland Fedex Priort'!N202),_xlfn.CEILING.MATH('Rates from Ireland Fedex Priort'!N202,1)+IF($A203="EU",Variables!$B$6,Variables!$B$3),'Rates from Ireland Fedex Priort'!N202)</f>
        <v>No service</v>
      </c>
      <c r="O203" s="11" t="s">
        <v>41</v>
      </c>
      <c r="P203" s="11" t="s">
        <v>23</v>
      </c>
      <c r="Q203" s="12">
        <v>80</v>
      </c>
      <c r="R203" s="11" t="s">
        <v>25</v>
      </c>
      <c r="S203" s="3" t="s">
        <v>26</v>
      </c>
      <c r="T203" s="38" t="s">
        <v>27</v>
      </c>
    </row>
    <row r="204" spans="1:20" ht="15.75" customHeight="1" x14ac:dyDescent="0.3">
      <c r="A204" s="39" t="str">
        <f>IF('Rates from Ireland Fedex Priort'!A203="","",'Rates from Ireland Fedex Priort'!A203)</f>
        <v>EU</v>
      </c>
      <c r="B204" s="8" t="str">
        <f>IF('Rates from Ireland Fedex Priort'!B203="","",'Rates from Ireland Fedex Priort'!B203)</f>
        <v>Ireland</v>
      </c>
      <c r="C204" s="9" t="str">
        <f>IF('Rates from Ireland Fedex Priort'!C203="","",'Rates from Ireland Fedex Priort'!C203)</f>
        <v>Slovakia</v>
      </c>
      <c r="D204" s="10">
        <f>IF(ISNUMBER('Rates from Ireland Fedex Priort'!D203),_xlfn.CEILING.MATH('Rates from Ireland Fedex Priort'!D203,1)+IF($A204="EU",Variables!$B$5,Variables!$B$2),'Rates from Ireland Fedex Priort'!D203)</f>
        <v>68</v>
      </c>
      <c r="E204" s="10">
        <f>IF(ISNUMBER('Rates from Ireland Fedex Priort'!E203),_xlfn.CEILING.MATH('Rates from Ireland Fedex Priort'!E203,1)+IF($A204="EU",Variables!$B$6,Variables!$B$3),'Rates from Ireland Fedex Priort'!E203)</f>
        <v>74</v>
      </c>
      <c r="F204" s="10">
        <f>IF(ISNUMBER('Rates from Ireland Fedex Priort'!F203),_xlfn.CEILING.MATH('Rates from Ireland Fedex Priort'!F203,1)+IF($A204="EU",Variables!$B$6,Variables!$B$3),'Rates from Ireland Fedex Priort'!F203)</f>
        <v>77</v>
      </c>
      <c r="G204" s="10">
        <f>IF(ISNUMBER('Rates from Ireland Fedex Priort'!G203),_xlfn.CEILING.MATH('Rates from Ireland Fedex Priort'!G203,1)+IF($A204="EU",Variables!$B$6,Variables!$B$3),'Rates from Ireland Fedex Priort'!G203)</f>
        <v>79</v>
      </c>
      <c r="H204" s="10">
        <f>IF(ISNUMBER('Rates from Ireland Fedex Priort'!H203),_xlfn.CEILING.MATH('Rates from Ireland Fedex Priort'!H203,1)+IF($A204="EU",Variables!$B$6,Variables!$B$3),'Rates from Ireland Fedex Priort'!H203)</f>
        <v>82</v>
      </c>
      <c r="I204" s="10">
        <f>IF(ISNUMBER('Rates from Ireland Fedex Priort'!I203),_xlfn.CEILING.MATH('Rates from Ireland Fedex Priort'!I203,1)+IF($A204="EU",Variables!$B$6,Variables!$B$3),'Rates from Ireland Fedex Priort'!I203)</f>
        <v>95</v>
      </c>
      <c r="J204" s="10">
        <f>IF(ISNUMBER('Rates from Ireland Fedex Priort'!J203),_xlfn.CEILING.MATH('Rates from Ireland Fedex Priort'!J203,1)+IF($A204="EU",Variables!$B$6,Variables!$B$3),'Rates from Ireland Fedex Priort'!J203)</f>
        <v>103</v>
      </c>
      <c r="K204" s="10">
        <f>IF(ISNUMBER('Rates from Ireland Fedex Priort'!K203),_xlfn.CEILING.MATH('Rates from Ireland Fedex Priort'!K203,1)+IF($A204="EU",Variables!$B$6,Variables!$B$3),'Rates from Ireland Fedex Priort'!K203)</f>
        <v>112</v>
      </c>
      <c r="L204" s="10">
        <f>IF(ISNUMBER('Rates from Ireland Fedex Priort'!L203),_xlfn.CEILING.MATH('Rates from Ireland Fedex Priort'!L203,1)+IF($A204="EU",Variables!$B$6,Variables!$B$3),'Rates from Ireland Fedex Priort'!L203)</f>
        <v>139</v>
      </c>
      <c r="M204" s="10">
        <f>IF(ISNUMBER('Rates from Ireland Fedex Priort'!M203),_xlfn.CEILING.MATH('Rates from Ireland Fedex Priort'!M203,1)+IF($A204="EU",Variables!$B$6,Variables!$B$3),'Rates from Ireland Fedex Priort'!M203)</f>
        <v>147</v>
      </c>
      <c r="N204" s="10">
        <f>IF(ISNUMBER('Rates from Ireland Fedex Priort'!N203),_xlfn.CEILING.MATH('Rates from Ireland Fedex Priort'!N203,1)+IF($A204="EU",Variables!$B$6,Variables!$B$3),'Rates from Ireland Fedex Priort'!N203)</f>
        <v>152</v>
      </c>
      <c r="O204" s="15" t="s">
        <v>61</v>
      </c>
      <c r="P204" s="15" t="s">
        <v>67</v>
      </c>
      <c r="Q204" s="16">
        <v>80</v>
      </c>
      <c r="R204" s="15" t="s">
        <v>25</v>
      </c>
      <c r="S204" s="17" t="s">
        <v>26</v>
      </c>
      <c r="T204" s="40" t="s">
        <v>27</v>
      </c>
    </row>
    <row r="205" spans="1:20" ht="15.75" customHeight="1" x14ac:dyDescent="0.3">
      <c r="A205" s="39" t="str">
        <f>IF('Rates from Ireland Fedex Priort'!A204="","",'Rates from Ireland Fedex Priort'!A204)</f>
        <v>EU</v>
      </c>
      <c r="B205" s="8" t="str">
        <f>IF('Rates from Ireland Fedex Priort'!B204="","",'Rates from Ireland Fedex Priort'!B204)</f>
        <v>Ireland</v>
      </c>
      <c r="C205" s="9" t="str">
        <f>IF('Rates from Ireland Fedex Priort'!C204="","",'Rates from Ireland Fedex Priort'!C204)</f>
        <v>Slovenia</v>
      </c>
      <c r="D205" s="10">
        <f>IF(ISNUMBER('Rates from Ireland Fedex Priort'!D204),_xlfn.CEILING.MATH('Rates from Ireland Fedex Priort'!D204,1)+IF($A205="EU",Variables!$B$5,Variables!$B$2),'Rates from Ireland Fedex Priort'!D204)</f>
        <v>68</v>
      </c>
      <c r="E205" s="10">
        <f>IF(ISNUMBER('Rates from Ireland Fedex Priort'!E204),_xlfn.CEILING.MATH('Rates from Ireland Fedex Priort'!E204,1)+IF($A205="EU",Variables!$B$6,Variables!$B$3),'Rates from Ireland Fedex Priort'!E204)</f>
        <v>74</v>
      </c>
      <c r="F205" s="10">
        <f>IF(ISNUMBER('Rates from Ireland Fedex Priort'!F204),_xlfn.CEILING.MATH('Rates from Ireland Fedex Priort'!F204,1)+IF($A205="EU",Variables!$B$6,Variables!$B$3),'Rates from Ireland Fedex Priort'!F204)</f>
        <v>77</v>
      </c>
      <c r="G205" s="10">
        <f>IF(ISNUMBER('Rates from Ireland Fedex Priort'!G204),_xlfn.CEILING.MATH('Rates from Ireland Fedex Priort'!G204,1)+IF($A205="EU",Variables!$B$6,Variables!$B$3),'Rates from Ireland Fedex Priort'!G204)</f>
        <v>79</v>
      </c>
      <c r="H205" s="10">
        <f>IF(ISNUMBER('Rates from Ireland Fedex Priort'!H204),_xlfn.CEILING.MATH('Rates from Ireland Fedex Priort'!H204,1)+IF($A205="EU",Variables!$B$6,Variables!$B$3),'Rates from Ireland Fedex Priort'!H204)</f>
        <v>82</v>
      </c>
      <c r="I205" s="10">
        <f>IF(ISNUMBER('Rates from Ireland Fedex Priort'!I204),_xlfn.CEILING.MATH('Rates from Ireland Fedex Priort'!I204,1)+IF($A205="EU",Variables!$B$6,Variables!$B$3),'Rates from Ireland Fedex Priort'!I204)</f>
        <v>95</v>
      </c>
      <c r="J205" s="10">
        <f>IF(ISNUMBER('Rates from Ireland Fedex Priort'!J204),_xlfn.CEILING.MATH('Rates from Ireland Fedex Priort'!J204,1)+IF($A205="EU",Variables!$B$6,Variables!$B$3),'Rates from Ireland Fedex Priort'!J204)</f>
        <v>103</v>
      </c>
      <c r="K205" s="10">
        <f>IF(ISNUMBER('Rates from Ireland Fedex Priort'!K204),_xlfn.CEILING.MATH('Rates from Ireland Fedex Priort'!K204,1)+IF($A205="EU",Variables!$B$6,Variables!$B$3),'Rates from Ireland Fedex Priort'!K204)</f>
        <v>112</v>
      </c>
      <c r="L205" s="10">
        <f>IF(ISNUMBER('Rates from Ireland Fedex Priort'!L204),_xlfn.CEILING.MATH('Rates from Ireland Fedex Priort'!L204,1)+IF($A205="EU",Variables!$B$6,Variables!$B$3),'Rates from Ireland Fedex Priort'!L204)</f>
        <v>139</v>
      </c>
      <c r="M205" s="10">
        <f>IF(ISNUMBER('Rates from Ireland Fedex Priort'!M204),_xlfn.CEILING.MATH('Rates from Ireland Fedex Priort'!M204,1)+IF($A205="EU",Variables!$B$6,Variables!$B$3),'Rates from Ireland Fedex Priort'!M204)</f>
        <v>147</v>
      </c>
      <c r="N205" s="10">
        <f>IF(ISNUMBER('Rates from Ireland Fedex Priort'!N204),_xlfn.CEILING.MATH('Rates from Ireland Fedex Priort'!N204,1)+IF($A205="EU",Variables!$B$6,Variables!$B$3),'Rates from Ireland Fedex Priort'!N204)</f>
        <v>152</v>
      </c>
      <c r="O205" s="15" t="s">
        <v>61</v>
      </c>
      <c r="P205" s="15" t="s">
        <v>67</v>
      </c>
      <c r="Q205" s="16">
        <v>80</v>
      </c>
      <c r="R205" s="15" t="s">
        <v>25</v>
      </c>
      <c r="S205" s="17" t="s">
        <v>26</v>
      </c>
      <c r="T205" s="40" t="s">
        <v>27</v>
      </c>
    </row>
    <row r="206" spans="1:20" ht="15.75" customHeight="1" x14ac:dyDescent="0.3">
      <c r="A206" s="39" t="str">
        <f>IF('Rates from Ireland Fedex Priort'!A205="","",'Rates from Ireland Fedex Priort'!A205)</f>
        <v>EU</v>
      </c>
      <c r="B206" s="8" t="str">
        <f>IF('Rates from Ireland Fedex Priort'!B205="","",'Rates from Ireland Fedex Priort'!B205)</f>
        <v>Ireland</v>
      </c>
      <c r="C206" s="9" t="str">
        <f>IF('Rates from Ireland Fedex Priort'!C205="","",'Rates from Ireland Fedex Priort'!C205)</f>
        <v>Solomon Islands</v>
      </c>
      <c r="D206" s="10" t="str">
        <f>IF(ISNUMBER('Rates from Ireland Fedex Priort'!D205),_xlfn.CEILING.MATH('Rates from Ireland Fedex Priort'!D205,1)+IF($A206="EU",Variables!$B$5,Variables!$B$2),'Rates from Ireland Fedex Priort'!D205)</f>
        <v>No service</v>
      </c>
      <c r="E206" s="10" t="str">
        <f>IF(ISNUMBER('Rates from Ireland Fedex Priort'!E205),_xlfn.CEILING.MATH('Rates from Ireland Fedex Priort'!E205,1)+IF($A206="EU",Variables!$B$6,Variables!$B$3),'Rates from Ireland Fedex Priort'!E205)</f>
        <v>No service</v>
      </c>
      <c r="F206" s="10" t="str">
        <f>IF(ISNUMBER('Rates from Ireland Fedex Priort'!F205),_xlfn.CEILING.MATH('Rates from Ireland Fedex Priort'!F205,1)+IF($A206="EU",Variables!$B$6,Variables!$B$3),'Rates from Ireland Fedex Priort'!F205)</f>
        <v>No service</v>
      </c>
      <c r="G206" s="10" t="str">
        <f>IF(ISNUMBER('Rates from Ireland Fedex Priort'!G205),_xlfn.CEILING.MATH('Rates from Ireland Fedex Priort'!G205,1)+IF($A206="EU",Variables!$B$6,Variables!$B$3),'Rates from Ireland Fedex Priort'!G205)</f>
        <v>No service</v>
      </c>
      <c r="H206" s="10" t="str">
        <f>IF(ISNUMBER('Rates from Ireland Fedex Priort'!H205),_xlfn.CEILING.MATH('Rates from Ireland Fedex Priort'!H205,1)+IF($A206="EU",Variables!$B$6,Variables!$B$3),'Rates from Ireland Fedex Priort'!H205)</f>
        <v>No service</v>
      </c>
      <c r="I206" s="10" t="str">
        <f>IF(ISNUMBER('Rates from Ireland Fedex Priort'!I205),_xlfn.CEILING.MATH('Rates from Ireland Fedex Priort'!I205,1)+IF($A206="EU",Variables!$B$6,Variables!$B$3),'Rates from Ireland Fedex Priort'!I205)</f>
        <v>No service</v>
      </c>
      <c r="J206" s="10" t="str">
        <f>IF(ISNUMBER('Rates from Ireland Fedex Priort'!J205),_xlfn.CEILING.MATH('Rates from Ireland Fedex Priort'!J205,1)+IF($A206="EU",Variables!$B$6,Variables!$B$3),'Rates from Ireland Fedex Priort'!J205)</f>
        <v>No service</v>
      </c>
      <c r="K206" s="10" t="str">
        <f>IF(ISNUMBER('Rates from Ireland Fedex Priort'!K205),_xlfn.CEILING.MATH('Rates from Ireland Fedex Priort'!K205,1)+IF($A206="EU",Variables!$B$6,Variables!$B$3),'Rates from Ireland Fedex Priort'!K205)</f>
        <v>No service</v>
      </c>
      <c r="L206" s="10" t="str">
        <f>IF(ISNUMBER('Rates from Ireland Fedex Priort'!L205),_xlfn.CEILING.MATH('Rates from Ireland Fedex Priort'!L205,1)+IF($A206="EU",Variables!$B$6,Variables!$B$3),'Rates from Ireland Fedex Priort'!L205)</f>
        <v>No service</v>
      </c>
      <c r="M206" s="10" t="str">
        <f>IF(ISNUMBER('Rates from Ireland Fedex Priort'!M205),_xlfn.CEILING.MATH('Rates from Ireland Fedex Priort'!M205,1)+IF($A206="EU",Variables!$B$6,Variables!$B$3),'Rates from Ireland Fedex Priort'!M205)</f>
        <v>No service</v>
      </c>
      <c r="N206" s="10" t="str">
        <f>IF(ISNUMBER('Rates from Ireland Fedex Priort'!N205),_xlfn.CEILING.MATH('Rates from Ireland Fedex Priort'!N205,1)+IF($A206="EU",Variables!$B$6,Variables!$B$3),'Rates from Ireland Fedex Priort'!N205)</f>
        <v>No service</v>
      </c>
      <c r="O206" s="11"/>
      <c r="P206" s="11"/>
      <c r="Q206" s="11"/>
      <c r="R206" s="11"/>
      <c r="S206" s="3" t="s">
        <v>26</v>
      </c>
      <c r="T206" s="38" t="s">
        <v>27</v>
      </c>
    </row>
    <row r="207" spans="1:20" ht="15.75" customHeight="1" x14ac:dyDescent="0.3">
      <c r="A207" s="39" t="str">
        <f>IF('Rates from Ireland Fedex Priort'!A206="","",'Rates from Ireland Fedex Priort'!A206)</f>
        <v>EU</v>
      </c>
      <c r="B207" s="8" t="str">
        <f>IF('Rates from Ireland Fedex Priort'!B206="","",'Rates from Ireland Fedex Priort'!B206)</f>
        <v>Ireland</v>
      </c>
      <c r="C207" s="9" t="str">
        <f>IF('Rates from Ireland Fedex Priort'!C206="","",'Rates from Ireland Fedex Priort'!C206)</f>
        <v>Somalia</v>
      </c>
      <c r="D207" s="10" t="str">
        <f>IF(ISNUMBER('Rates from Ireland Fedex Priort'!D206),_xlfn.CEILING.MATH('Rates from Ireland Fedex Priort'!D206,1)+IF($A207="EU",Variables!$B$5,Variables!$B$2),'Rates from Ireland Fedex Priort'!D206)</f>
        <v>No service</v>
      </c>
      <c r="E207" s="10" t="str">
        <f>IF(ISNUMBER('Rates from Ireland Fedex Priort'!E206),_xlfn.CEILING.MATH('Rates from Ireland Fedex Priort'!E206,1)+IF($A207="EU",Variables!$B$6,Variables!$B$3),'Rates from Ireland Fedex Priort'!E206)</f>
        <v>No service</v>
      </c>
      <c r="F207" s="10" t="str">
        <f>IF(ISNUMBER('Rates from Ireland Fedex Priort'!F206),_xlfn.CEILING.MATH('Rates from Ireland Fedex Priort'!F206,1)+IF($A207="EU",Variables!$B$6,Variables!$B$3),'Rates from Ireland Fedex Priort'!F206)</f>
        <v>No service</v>
      </c>
      <c r="G207" s="10" t="str">
        <f>IF(ISNUMBER('Rates from Ireland Fedex Priort'!G206),_xlfn.CEILING.MATH('Rates from Ireland Fedex Priort'!G206,1)+IF($A207="EU",Variables!$B$6,Variables!$B$3),'Rates from Ireland Fedex Priort'!G206)</f>
        <v>No service</v>
      </c>
      <c r="H207" s="10" t="str">
        <f>IF(ISNUMBER('Rates from Ireland Fedex Priort'!H206),_xlfn.CEILING.MATH('Rates from Ireland Fedex Priort'!H206,1)+IF($A207="EU",Variables!$B$6,Variables!$B$3),'Rates from Ireland Fedex Priort'!H206)</f>
        <v>No service</v>
      </c>
      <c r="I207" s="10" t="str">
        <f>IF(ISNUMBER('Rates from Ireland Fedex Priort'!I206),_xlfn.CEILING.MATH('Rates from Ireland Fedex Priort'!I206,1)+IF($A207="EU",Variables!$B$6,Variables!$B$3),'Rates from Ireland Fedex Priort'!I206)</f>
        <v>No service</v>
      </c>
      <c r="J207" s="10" t="str">
        <f>IF(ISNUMBER('Rates from Ireland Fedex Priort'!J206),_xlfn.CEILING.MATH('Rates from Ireland Fedex Priort'!J206,1)+IF($A207="EU",Variables!$B$6,Variables!$B$3),'Rates from Ireland Fedex Priort'!J206)</f>
        <v>No service</v>
      </c>
      <c r="K207" s="10" t="str">
        <f>IF(ISNUMBER('Rates from Ireland Fedex Priort'!K206),_xlfn.CEILING.MATH('Rates from Ireland Fedex Priort'!K206,1)+IF($A207="EU",Variables!$B$6,Variables!$B$3),'Rates from Ireland Fedex Priort'!K206)</f>
        <v>No service</v>
      </c>
      <c r="L207" s="10" t="str">
        <f>IF(ISNUMBER('Rates from Ireland Fedex Priort'!L206),_xlfn.CEILING.MATH('Rates from Ireland Fedex Priort'!L206,1)+IF($A207="EU",Variables!$B$6,Variables!$B$3),'Rates from Ireland Fedex Priort'!L206)</f>
        <v>No service</v>
      </c>
      <c r="M207" s="10" t="str">
        <f>IF(ISNUMBER('Rates from Ireland Fedex Priort'!M206),_xlfn.CEILING.MATH('Rates from Ireland Fedex Priort'!M206,1)+IF($A207="EU",Variables!$B$6,Variables!$B$3),'Rates from Ireland Fedex Priort'!M206)</f>
        <v>No service</v>
      </c>
      <c r="N207" s="10" t="str">
        <f>IF(ISNUMBER('Rates from Ireland Fedex Priort'!N206),_xlfn.CEILING.MATH('Rates from Ireland Fedex Priort'!N206,1)+IF($A207="EU",Variables!$B$6,Variables!$B$3),'Rates from Ireland Fedex Priort'!N206)</f>
        <v>No service</v>
      </c>
      <c r="O207" s="11"/>
      <c r="P207" s="11"/>
      <c r="Q207" s="11"/>
      <c r="R207" s="11"/>
      <c r="S207" s="3" t="s">
        <v>26</v>
      </c>
      <c r="T207" s="38" t="s">
        <v>27</v>
      </c>
    </row>
    <row r="208" spans="1:20" ht="15.75" customHeight="1" x14ac:dyDescent="0.3">
      <c r="A208" s="39" t="str">
        <f>IF('Rates from Ireland Fedex Priort'!A207="","",'Rates from Ireland Fedex Priort'!A207)</f>
        <v>EU</v>
      </c>
      <c r="B208" s="8" t="str">
        <f>IF('Rates from Ireland Fedex Priort'!B207="","",'Rates from Ireland Fedex Priort'!B207)</f>
        <v>Ireland</v>
      </c>
      <c r="C208" s="9" t="str">
        <f>IF('Rates from Ireland Fedex Priort'!C207="","",'Rates from Ireland Fedex Priort'!C207)</f>
        <v>South Africa</v>
      </c>
      <c r="D208" s="10">
        <f>IF(ISNUMBER('Rates from Ireland Fedex Priort'!D207),_xlfn.CEILING.MATH('Rates from Ireland Fedex Priort'!D207,1)+IF($A208="EU",Variables!$B$5,Variables!$B$2),'Rates from Ireland Fedex Priort'!D207)</f>
        <v>71</v>
      </c>
      <c r="E208" s="10">
        <f>IF(ISNUMBER('Rates from Ireland Fedex Priort'!E207),_xlfn.CEILING.MATH('Rates from Ireland Fedex Priort'!E207,1)+IF($A208="EU",Variables!$B$6,Variables!$B$3),'Rates from Ireland Fedex Priort'!E207)</f>
        <v>77</v>
      </c>
      <c r="F208" s="10">
        <f>IF(ISNUMBER('Rates from Ireland Fedex Priort'!F207),_xlfn.CEILING.MATH('Rates from Ireland Fedex Priort'!F207,1)+IF($A208="EU",Variables!$B$6,Variables!$B$3),'Rates from Ireland Fedex Priort'!F207)</f>
        <v>80</v>
      </c>
      <c r="G208" s="10">
        <f>IF(ISNUMBER('Rates from Ireland Fedex Priort'!G207),_xlfn.CEILING.MATH('Rates from Ireland Fedex Priort'!G207,1)+IF($A208="EU",Variables!$B$6,Variables!$B$3),'Rates from Ireland Fedex Priort'!G207)</f>
        <v>96</v>
      </c>
      <c r="H208" s="10">
        <f>IF(ISNUMBER('Rates from Ireland Fedex Priort'!H207),_xlfn.CEILING.MATH('Rates from Ireland Fedex Priort'!H207,1)+IF($A208="EU",Variables!$B$6,Variables!$B$3),'Rates from Ireland Fedex Priort'!H207)</f>
        <v>117</v>
      </c>
      <c r="I208" s="10">
        <f>IF(ISNUMBER('Rates from Ireland Fedex Priort'!I207),_xlfn.CEILING.MATH('Rates from Ireland Fedex Priort'!I207,1)+IF($A208="EU",Variables!$B$6,Variables!$B$3),'Rates from Ireland Fedex Priort'!I207)</f>
        <v>219</v>
      </c>
      <c r="J208" s="10" t="str">
        <f>IF(ISNUMBER('Rates from Ireland Fedex Priort'!J207),_xlfn.CEILING.MATH('Rates from Ireland Fedex Priort'!J207,1)+IF($A208="EU",Variables!$B$6,Variables!$B$3),'Rates from Ireland Fedex Priort'!J207)</f>
        <v>No service</v>
      </c>
      <c r="K208" s="10" t="str">
        <f>IF(ISNUMBER('Rates from Ireland Fedex Priort'!K207),_xlfn.CEILING.MATH('Rates from Ireland Fedex Priort'!K207,1)+IF($A208="EU",Variables!$B$6,Variables!$B$3),'Rates from Ireland Fedex Priort'!K207)</f>
        <v>No service</v>
      </c>
      <c r="L208" s="10" t="str">
        <f>IF(ISNUMBER('Rates from Ireland Fedex Priort'!L207),_xlfn.CEILING.MATH('Rates from Ireland Fedex Priort'!L207,1)+IF($A208="EU",Variables!$B$6,Variables!$B$3),'Rates from Ireland Fedex Priort'!L207)</f>
        <v>No service</v>
      </c>
      <c r="M208" s="10" t="str">
        <f>IF(ISNUMBER('Rates from Ireland Fedex Priort'!M207),_xlfn.CEILING.MATH('Rates from Ireland Fedex Priort'!M207,1)+IF($A208="EU",Variables!$B$6,Variables!$B$3),'Rates from Ireland Fedex Priort'!M207)</f>
        <v>No service</v>
      </c>
      <c r="N208" s="10" t="str">
        <f>IF(ISNUMBER('Rates from Ireland Fedex Priort'!N207),_xlfn.CEILING.MATH('Rates from Ireland Fedex Priort'!N207,1)+IF($A208="EU",Variables!$B$6,Variables!$B$3),'Rates from Ireland Fedex Priort'!N207)</f>
        <v>No service</v>
      </c>
      <c r="O208" s="11" t="s">
        <v>23</v>
      </c>
      <c r="P208" s="11" t="s">
        <v>69</v>
      </c>
      <c r="Q208" s="12">
        <v>80</v>
      </c>
      <c r="R208" s="24" t="s">
        <v>25</v>
      </c>
      <c r="S208" s="3" t="s">
        <v>26</v>
      </c>
      <c r="T208" s="38" t="s">
        <v>27</v>
      </c>
    </row>
    <row r="209" spans="1:20" ht="15.75" customHeight="1" x14ac:dyDescent="0.3">
      <c r="A209" s="39" t="str">
        <f>IF('Rates from Ireland Fedex Priort'!A208="","",'Rates from Ireland Fedex Priort'!A208)</f>
        <v>EU</v>
      </c>
      <c r="B209" s="8" t="str">
        <f>IF('Rates from Ireland Fedex Priort'!B208="","",'Rates from Ireland Fedex Priort'!B208)</f>
        <v>Ireland</v>
      </c>
      <c r="C209" s="9" t="str">
        <f>IF('Rates from Ireland Fedex Priort'!C208="","",'Rates from Ireland Fedex Priort'!C208)</f>
        <v>South Korea</v>
      </c>
      <c r="D209" s="10">
        <f>IF(ISNUMBER('Rates from Ireland Fedex Priort'!D208),_xlfn.CEILING.MATH('Rates from Ireland Fedex Priort'!D208,1)+IF($A209="EU",Variables!$B$5,Variables!$B$2),'Rates from Ireland Fedex Priort'!D208)</f>
        <v>69</v>
      </c>
      <c r="E209" s="10">
        <f>IF(ISNUMBER('Rates from Ireland Fedex Priort'!E208),_xlfn.CEILING.MATH('Rates from Ireland Fedex Priort'!E208,1)+IF($A209="EU",Variables!$B$6,Variables!$B$3),'Rates from Ireland Fedex Priort'!E208)</f>
        <v>74</v>
      </c>
      <c r="F209" s="10">
        <f>IF(ISNUMBER('Rates from Ireland Fedex Priort'!F208),_xlfn.CEILING.MATH('Rates from Ireland Fedex Priort'!F208,1)+IF($A209="EU",Variables!$B$6,Variables!$B$3),'Rates from Ireland Fedex Priort'!F208)</f>
        <v>79</v>
      </c>
      <c r="G209" s="10">
        <f>IF(ISNUMBER('Rates from Ireland Fedex Priort'!G208),_xlfn.CEILING.MATH('Rates from Ireland Fedex Priort'!G208,1)+IF($A209="EU",Variables!$B$6,Variables!$B$3),'Rates from Ireland Fedex Priort'!G208)</f>
        <v>95</v>
      </c>
      <c r="H209" s="10">
        <f>IF(ISNUMBER('Rates from Ireland Fedex Priort'!H208),_xlfn.CEILING.MATH('Rates from Ireland Fedex Priort'!H208,1)+IF($A209="EU",Variables!$B$6,Variables!$B$3),'Rates from Ireland Fedex Priort'!H208)</f>
        <v>119</v>
      </c>
      <c r="I209" s="10">
        <f>IF(ISNUMBER('Rates from Ireland Fedex Priort'!I208),_xlfn.CEILING.MATH('Rates from Ireland Fedex Priort'!I208,1)+IF($A209="EU",Variables!$B$6,Variables!$B$3),'Rates from Ireland Fedex Priort'!I208)</f>
        <v>179</v>
      </c>
      <c r="J209" s="10" t="str">
        <f>IF(ISNUMBER('Rates from Ireland Fedex Priort'!J208),_xlfn.CEILING.MATH('Rates from Ireland Fedex Priort'!J208,1)+IF($A209="EU",Variables!$B$6,Variables!$B$3),'Rates from Ireland Fedex Priort'!J208)</f>
        <v>No service</v>
      </c>
      <c r="K209" s="10" t="str">
        <f>IF(ISNUMBER('Rates from Ireland Fedex Priort'!K208),_xlfn.CEILING.MATH('Rates from Ireland Fedex Priort'!K208,1)+IF($A209="EU",Variables!$B$6,Variables!$B$3),'Rates from Ireland Fedex Priort'!K208)</f>
        <v>No service</v>
      </c>
      <c r="L209" s="10" t="str">
        <f>IF(ISNUMBER('Rates from Ireland Fedex Priort'!L208),_xlfn.CEILING.MATH('Rates from Ireland Fedex Priort'!L208,1)+IF($A209="EU",Variables!$B$6,Variables!$B$3),'Rates from Ireland Fedex Priort'!L208)</f>
        <v>No service</v>
      </c>
      <c r="M209" s="10" t="str">
        <f>IF(ISNUMBER('Rates from Ireland Fedex Priort'!M208),_xlfn.CEILING.MATH('Rates from Ireland Fedex Priort'!M208,1)+IF($A209="EU",Variables!$B$6,Variables!$B$3),'Rates from Ireland Fedex Priort'!M208)</f>
        <v>No service</v>
      </c>
      <c r="N209" s="10" t="str">
        <f>IF(ISNUMBER('Rates from Ireland Fedex Priort'!N208),_xlfn.CEILING.MATH('Rates from Ireland Fedex Priort'!N208,1)+IF($A209="EU",Variables!$B$6,Variables!$B$3),'Rates from Ireland Fedex Priort'!N208)</f>
        <v>No service</v>
      </c>
      <c r="O209" s="11" t="s">
        <v>41</v>
      </c>
      <c r="P209" s="11" t="s">
        <v>143</v>
      </c>
      <c r="Q209" s="12">
        <v>80</v>
      </c>
      <c r="R209" s="24" t="s">
        <v>25</v>
      </c>
      <c r="S209" s="3" t="s">
        <v>26</v>
      </c>
      <c r="T209" s="38" t="s">
        <v>27</v>
      </c>
    </row>
    <row r="210" spans="1:20" ht="15.75" customHeight="1" x14ac:dyDescent="0.3">
      <c r="A210" s="39" t="str">
        <f>IF('Rates from Ireland Fedex Priort'!A209="","",'Rates from Ireland Fedex Priort'!A209)</f>
        <v>EU</v>
      </c>
      <c r="B210" s="8" t="str">
        <f>IF('Rates from Ireland Fedex Priort'!B209="","",'Rates from Ireland Fedex Priort'!B209)</f>
        <v>Ireland</v>
      </c>
      <c r="C210" s="9" t="str">
        <f>IF('Rates from Ireland Fedex Priort'!C209="","",'Rates from Ireland Fedex Priort'!C209)</f>
        <v>South Sudan</v>
      </c>
      <c r="D210" s="10" t="str">
        <f>IF(ISNUMBER('Rates from Ireland Fedex Priort'!D209),_xlfn.CEILING.MATH('Rates from Ireland Fedex Priort'!D209,1)+IF($A210="EU",Variables!$B$5,Variables!$B$2),'Rates from Ireland Fedex Priort'!D209)</f>
        <v>No service</v>
      </c>
      <c r="E210" s="10" t="str">
        <f>IF(ISNUMBER('Rates from Ireland Fedex Priort'!E209),_xlfn.CEILING.MATH('Rates from Ireland Fedex Priort'!E209,1)+IF($A210="EU",Variables!$B$6,Variables!$B$3),'Rates from Ireland Fedex Priort'!E209)</f>
        <v>No service</v>
      </c>
      <c r="F210" s="10" t="str">
        <f>IF(ISNUMBER('Rates from Ireland Fedex Priort'!F209),_xlfn.CEILING.MATH('Rates from Ireland Fedex Priort'!F209,1)+IF($A210="EU",Variables!$B$6,Variables!$B$3),'Rates from Ireland Fedex Priort'!F209)</f>
        <v>No service</v>
      </c>
      <c r="G210" s="10" t="str">
        <f>IF(ISNUMBER('Rates from Ireland Fedex Priort'!G209),_xlfn.CEILING.MATH('Rates from Ireland Fedex Priort'!G209,1)+IF($A210="EU",Variables!$B$6,Variables!$B$3),'Rates from Ireland Fedex Priort'!G209)</f>
        <v>No service</v>
      </c>
      <c r="H210" s="10" t="str">
        <f>IF(ISNUMBER('Rates from Ireland Fedex Priort'!H209),_xlfn.CEILING.MATH('Rates from Ireland Fedex Priort'!H209,1)+IF($A210="EU",Variables!$B$6,Variables!$B$3),'Rates from Ireland Fedex Priort'!H209)</f>
        <v>No service</v>
      </c>
      <c r="I210" s="10" t="str">
        <f>IF(ISNUMBER('Rates from Ireland Fedex Priort'!I209),_xlfn.CEILING.MATH('Rates from Ireland Fedex Priort'!I209,1)+IF($A210="EU",Variables!$B$6,Variables!$B$3),'Rates from Ireland Fedex Priort'!I209)</f>
        <v>No service</v>
      </c>
      <c r="J210" s="10" t="str">
        <f>IF(ISNUMBER('Rates from Ireland Fedex Priort'!J209),_xlfn.CEILING.MATH('Rates from Ireland Fedex Priort'!J209,1)+IF($A210="EU",Variables!$B$6,Variables!$B$3),'Rates from Ireland Fedex Priort'!J209)</f>
        <v>No service</v>
      </c>
      <c r="K210" s="10" t="str">
        <f>IF(ISNUMBER('Rates from Ireland Fedex Priort'!K209),_xlfn.CEILING.MATH('Rates from Ireland Fedex Priort'!K209,1)+IF($A210="EU",Variables!$B$6,Variables!$B$3),'Rates from Ireland Fedex Priort'!K209)</f>
        <v>No service</v>
      </c>
      <c r="L210" s="10" t="str">
        <f>IF(ISNUMBER('Rates from Ireland Fedex Priort'!L209),_xlfn.CEILING.MATH('Rates from Ireland Fedex Priort'!L209,1)+IF($A210="EU",Variables!$B$6,Variables!$B$3),'Rates from Ireland Fedex Priort'!L209)</f>
        <v>No service</v>
      </c>
      <c r="M210" s="10" t="str">
        <f>IF(ISNUMBER('Rates from Ireland Fedex Priort'!M209),_xlfn.CEILING.MATH('Rates from Ireland Fedex Priort'!M209,1)+IF($A210="EU",Variables!$B$6,Variables!$B$3),'Rates from Ireland Fedex Priort'!M209)</f>
        <v>No service</v>
      </c>
      <c r="N210" s="10" t="str">
        <f>IF(ISNUMBER('Rates from Ireland Fedex Priort'!N209),_xlfn.CEILING.MATH('Rates from Ireland Fedex Priort'!N209,1)+IF($A210="EU",Variables!$B$6,Variables!$B$3),'Rates from Ireland Fedex Priort'!N209)</f>
        <v>No service</v>
      </c>
      <c r="O210" s="11"/>
      <c r="P210" s="11"/>
      <c r="Q210" s="11"/>
      <c r="R210" s="11"/>
      <c r="S210" s="3" t="s">
        <v>26</v>
      </c>
      <c r="T210" s="38" t="s">
        <v>27</v>
      </c>
    </row>
    <row r="211" spans="1:20" ht="15.75" customHeight="1" x14ac:dyDescent="0.3">
      <c r="A211" s="39" t="str">
        <f>IF('Rates from Ireland Fedex Priort'!A210="","",'Rates from Ireland Fedex Priort'!A210)</f>
        <v>EU</v>
      </c>
      <c r="B211" s="8" t="str">
        <f>IF('Rates from Ireland Fedex Priort'!B210="","",'Rates from Ireland Fedex Priort'!B210)</f>
        <v>Ireland</v>
      </c>
      <c r="C211" s="9" t="str">
        <f>IF('Rates from Ireland Fedex Priort'!C210="","",'Rates from Ireland Fedex Priort'!C210)</f>
        <v>Spain Mainland</v>
      </c>
      <c r="D211" s="10">
        <f>IF(ISNUMBER('Rates from Ireland Fedex Priort'!D210),_xlfn.CEILING.MATH('Rates from Ireland Fedex Priort'!D210,1)+IF($A211="EU",Variables!$B$5,Variables!$B$2),'Rates from Ireland Fedex Priort'!D210)</f>
        <v>63</v>
      </c>
      <c r="E211" s="10">
        <f>IF(ISNUMBER('Rates from Ireland Fedex Priort'!E210),_xlfn.CEILING.MATH('Rates from Ireland Fedex Priort'!E210,1)+IF($A211="EU",Variables!$B$6,Variables!$B$3),'Rates from Ireland Fedex Priort'!E210)</f>
        <v>65</v>
      </c>
      <c r="F211" s="10">
        <f>IF(ISNUMBER('Rates from Ireland Fedex Priort'!F210),_xlfn.CEILING.MATH('Rates from Ireland Fedex Priort'!F210,1)+IF($A211="EU",Variables!$B$6,Variables!$B$3),'Rates from Ireland Fedex Priort'!F210)</f>
        <v>65</v>
      </c>
      <c r="G211" s="10">
        <f>IF(ISNUMBER('Rates from Ireland Fedex Priort'!G210),_xlfn.CEILING.MATH('Rates from Ireland Fedex Priort'!G210,1)+IF($A211="EU",Variables!$B$6,Variables!$B$3),'Rates from Ireland Fedex Priort'!G210)</f>
        <v>67</v>
      </c>
      <c r="H211" s="10">
        <f>IF(ISNUMBER('Rates from Ireland Fedex Priort'!H210),_xlfn.CEILING.MATH('Rates from Ireland Fedex Priort'!H210,1)+IF($A211="EU",Variables!$B$6,Variables!$B$3),'Rates from Ireland Fedex Priort'!H210)</f>
        <v>71</v>
      </c>
      <c r="I211" s="10">
        <f>IF(ISNUMBER('Rates from Ireland Fedex Priort'!I210),_xlfn.CEILING.MATH('Rates from Ireland Fedex Priort'!I210,1)+IF($A211="EU",Variables!$B$6,Variables!$B$3),'Rates from Ireland Fedex Priort'!I210)</f>
        <v>78</v>
      </c>
      <c r="J211" s="10">
        <f>IF(ISNUMBER('Rates from Ireland Fedex Priort'!J210),_xlfn.CEILING.MATH('Rates from Ireland Fedex Priort'!J210,1)+IF($A211="EU",Variables!$B$6,Variables!$B$3),'Rates from Ireland Fedex Priort'!J210)</f>
        <v>88</v>
      </c>
      <c r="K211" s="10">
        <f>IF(ISNUMBER('Rates from Ireland Fedex Priort'!K210),_xlfn.CEILING.MATH('Rates from Ireland Fedex Priort'!K210,1)+IF($A211="EU",Variables!$B$6,Variables!$B$3),'Rates from Ireland Fedex Priort'!K210)</f>
        <v>93</v>
      </c>
      <c r="L211" s="10">
        <f>IF(ISNUMBER('Rates from Ireland Fedex Priort'!L210),_xlfn.CEILING.MATH('Rates from Ireland Fedex Priort'!L210,1)+IF($A211="EU",Variables!$B$6,Variables!$B$3),'Rates from Ireland Fedex Priort'!L210)</f>
        <v>118</v>
      </c>
      <c r="M211" s="10">
        <f>IF(ISNUMBER('Rates from Ireland Fedex Priort'!M210),_xlfn.CEILING.MATH('Rates from Ireland Fedex Priort'!M210,1)+IF($A211="EU",Variables!$B$6,Variables!$B$3),'Rates from Ireland Fedex Priort'!M210)</f>
        <v>125</v>
      </c>
      <c r="N211" s="10">
        <f>IF(ISNUMBER('Rates from Ireland Fedex Priort'!N210),_xlfn.CEILING.MATH('Rates from Ireland Fedex Priort'!N210,1)+IF($A211="EU",Variables!$B$6,Variables!$B$3),'Rates from Ireland Fedex Priort'!N210)</f>
        <v>127</v>
      </c>
      <c r="O211" s="15" t="s">
        <v>29</v>
      </c>
      <c r="P211" s="15" t="s">
        <v>23</v>
      </c>
      <c r="Q211" s="16">
        <v>80</v>
      </c>
      <c r="R211" s="15" t="s">
        <v>25</v>
      </c>
      <c r="S211" s="17" t="s">
        <v>26</v>
      </c>
      <c r="T211" s="40" t="s">
        <v>27</v>
      </c>
    </row>
    <row r="212" spans="1:20" ht="15.75" customHeight="1" x14ac:dyDescent="0.3">
      <c r="A212" s="39" t="str">
        <f>IF('Rates from Ireland Fedex Priort'!A211="","",'Rates from Ireland Fedex Priort'!A211)</f>
        <v>EU</v>
      </c>
      <c r="B212" s="8" t="str">
        <f>IF('Rates from Ireland Fedex Priort'!B211="","",'Rates from Ireland Fedex Priort'!B211)</f>
        <v>Ireland</v>
      </c>
      <c r="C212" s="9" t="str">
        <f>IF('Rates from Ireland Fedex Priort'!C211="","",'Rates from Ireland Fedex Priort'!C211)</f>
        <v>Spain Mallorca, Menorca</v>
      </c>
      <c r="D212" s="10">
        <f>IF(ISNUMBER('Rates from Ireland Fedex Priort'!D211),_xlfn.CEILING.MATH('Rates from Ireland Fedex Priort'!D211,1)+IF($A212="EU",Variables!$B$5,Variables!$B$2),'Rates from Ireland Fedex Priort'!D211)</f>
        <v>98</v>
      </c>
      <c r="E212" s="10">
        <f>IF(ISNUMBER('Rates from Ireland Fedex Priort'!E211),_xlfn.CEILING.MATH('Rates from Ireland Fedex Priort'!E211,1)+IF($A212="EU",Variables!$B$6,Variables!$B$3),'Rates from Ireland Fedex Priort'!E211)</f>
        <v>104</v>
      </c>
      <c r="F212" s="10">
        <f>IF(ISNUMBER('Rates from Ireland Fedex Priort'!F211),_xlfn.CEILING.MATH('Rates from Ireland Fedex Priort'!F211,1)+IF($A212="EU",Variables!$B$6,Variables!$B$3),'Rates from Ireland Fedex Priort'!F211)</f>
        <v>104</v>
      </c>
      <c r="G212" s="10">
        <f>IF(ISNUMBER('Rates from Ireland Fedex Priort'!G211),_xlfn.CEILING.MATH('Rates from Ireland Fedex Priort'!G211,1)+IF($A212="EU",Variables!$B$6,Variables!$B$3),'Rates from Ireland Fedex Priort'!G211)</f>
        <v>107</v>
      </c>
      <c r="H212" s="10">
        <f>IF(ISNUMBER('Rates from Ireland Fedex Priort'!H211),_xlfn.CEILING.MATH('Rates from Ireland Fedex Priort'!H211,1)+IF($A212="EU",Variables!$B$6,Variables!$B$3),'Rates from Ireland Fedex Priort'!H211)</f>
        <v>115</v>
      </c>
      <c r="I212" s="10">
        <f>IF(ISNUMBER('Rates from Ireland Fedex Priort'!I211),_xlfn.CEILING.MATH('Rates from Ireland Fedex Priort'!I211,1)+IF($A212="EU",Variables!$B$6,Variables!$B$3),'Rates from Ireland Fedex Priort'!I211)</f>
        <v>121</v>
      </c>
      <c r="J212" s="10">
        <f>IF(ISNUMBER('Rates from Ireland Fedex Priort'!J211),_xlfn.CEILING.MATH('Rates from Ireland Fedex Priort'!J211,1)+IF($A212="EU",Variables!$B$6,Variables!$B$3),'Rates from Ireland Fedex Priort'!J211)</f>
        <v>137</v>
      </c>
      <c r="K212" s="10">
        <f>IF(ISNUMBER('Rates from Ireland Fedex Priort'!K211),_xlfn.CEILING.MATH('Rates from Ireland Fedex Priort'!K211,1)+IF($A212="EU",Variables!$B$6,Variables!$B$3),'Rates from Ireland Fedex Priort'!K211)</f>
        <v>142</v>
      </c>
      <c r="L212" s="10">
        <f>IF(ISNUMBER('Rates from Ireland Fedex Priort'!L211),_xlfn.CEILING.MATH('Rates from Ireland Fedex Priort'!L211,1)+IF($A212="EU",Variables!$B$6,Variables!$B$3),'Rates from Ireland Fedex Priort'!L211)</f>
        <v>140</v>
      </c>
      <c r="M212" s="10">
        <f>IF(ISNUMBER('Rates from Ireland Fedex Priort'!M211),_xlfn.CEILING.MATH('Rates from Ireland Fedex Priort'!M211,1)+IF($A212="EU",Variables!$B$6,Variables!$B$3),'Rates from Ireland Fedex Priort'!M211)</f>
        <v>162</v>
      </c>
      <c r="N212" s="10">
        <f>IF(ISNUMBER('Rates from Ireland Fedex Priort'!N211),_xlfn.CEILING.MATH('Rates from Ireland Fedex Priort'!N211,1)+IF($A212="EU",Variables!$B$6,Variables!$B$3),'Rates from Ireland Fedex Priort'!N211)</f>
        <v>170</v>
      </c>
      <c r="O212" s="15" t="s">
        <v>61</v>
      </c>
      <c r="P212" s="15" t="s">
        <v>126</v>
      </c>
      <c r="Q212" s="16">
        <v>80</v>
      </c>
      <c r="R212" s="15" t="s">
        <v>25</v>
      </c>
      <c r="S212" s="17" t="s">
        <v>26</v>
      </c>
      <c r="T212" s="40" t="s">
        <v>27</v>
      </c>
    </row>
    <row r="213" spans="1:20" ht="15.75" customHeight="1" x14ac:dyDescent="0.3">
      <c r="A213" s="39" t="str">
        <f>IF('Rates from Ireland Fedex Priort'!A212="","",'Rates from Ireland Fedex Priort'!A212)</f>
        <v>EU</v>
      </c>
      <c r="B213" s="8" t="str">
        <f>IF('Rates from Ireland Fedex Priort'!B212="","",'Rates from Ireland Fedex Priort'!B212)</f>
        <v>Ireland</v>
      </c>
      <c r="C213" s="9" t="str">
        <f>IF('Rates from Ireland Fedex Priort'!C212="","",'Rates from Ireland Fedex Priort'!C212)</f>
        <v>Spain Canary Islands</v>
      </c>
      <c r="D213" s="10">
        <f>IF(ISNUMBER('Rates from Ireland Fedex Priort'!D212),_xlfn.CEILING.MATH('Rates from Ireland Fedex Priort'!D212,1)+IF($A213="EU",Variables!$B$5,Variables!$B$2),'Rates from Ireland Fedex Priort'!D212)</f>
        <v>98</v>
      </c>
      <c r="E213" s="10">
        <f>IF(ISNUMBER('Rates from Ireland Fedex Priort'!E212),_xlfn.CEILING.MATH('Rates from Ireland Fedex Priort'!E212,1)+IF($A213="EU",Variables!$B$6,Variables!$B$3),'Rates from Ireland Fedex Priort'!E212)</f>
        <v>117</v>
      </c>
      <c r="F213" s="10">
        <f>IF(ISNUMBER('Rates from Ireland Fedex Priort'!F212),_xlfn.CEILING.MATH('Rates from Ireland Fedex Priort'!F212,1)+IF($A213="EU",Variables!$B$6,Variables!$B$3),'Rates from Ireland Fedex Priort'!F212)</f>
        <v>118</v>
      </c>
      <c r="G213" s="10">
        <f>IF(ISNUMBER('Rates from Ireland Fedex Priort'!G212),_xlfn.CEILING.MATH('Rates from Ireland Fedex Priort'!G212,1)+IF($A213="EU",Variables!$B$6,Variables!$B$3),'Rates from Ireland Fedex Priort'!G212)</f>
        <v>120</v>
      </c>
      <c r="H213" s="10">
        <f>IF(ISNUMBER('Rates from Ireland Fedex Priort'!H212),_xlfn.CEILING.MATH('Rates from Ireland Fedex Priort'!H212,1)+IF($A213="EU",Variables!$B$6,Variables!$B$3),'Rates from Ireland Fedex Priort'!H212)</f>
        <v>129</v>
      </c>
      <c r="I213" s="10">
        <f>IF(ISNUMBER('Rates from Ireland Fedex Priort'!I212),_xlfn.CEILING.MATH('Rates from Ireland Fedex Priort'!I212,1)+IF($A213="EU",Variables!$B$6,Variables!$B$3),'Rates from Ireland Fedex Priort'!I212)</f>
        <v>134</v>
      </c>
      <c r="J213" s="10">
        <f>IF(ISNUMBER('Rates from Ireland Fedex Priort'!J212),_xlfn.CEILING.MATH('Rates from Ireland Fedex Priort'!J212,1)+IF($A213="EU",Variables!$B$6,Variables!$B$3),'Rates from Ireland Fedex Priort'!J212)</f>
        <v>150</v>
      </c>
      <c r="K213" s="10">
        <f>IF(ISNUMBER('Rates from Ireland Fedex Priort'!K212),_xlfn.CEILING.MATH('Rates from Ireland Fedex Priort'!K212,1)+IF($A213="EU",Variables!$B$6,Variables!$B$3),'Rates from Ireland Fedex Priort'!K212)</f>
        <v>155</v>
      </c>
      <c r="L213" s="10">
        <f>IF(ISNUMBER('Rates from Ireland Fedex Priort'!L212),_xlfn.CEILING.MATH('Rates from Ireland Fedex Priort'!L212,1)+IF($A213="EU",Variables!$B$6,Variables!$B$3),'Rates from Ireland Fedex Priort'!L212)</f>
        <v>154</v>
      </c>
      <c r="M213" s="10">
        <f>IF(ISNUMBER('Rates from Ireland Fedex Priort'!M212),_xlfn.CEILING.MATH('Rates from Ireland Fedex Priort'!M212,1)+IF($A213="EU",Variables!$B$6,Variables!$B$3),'Rates from Ireland Fedex Priort'!M212)</f>
        <v>175</v>
      </c>
      <c r="N213" s="10">
        <f>IF(ISNUMBER('Rates from Ireland Fedex Priort'!N212),_xlfn.CEILING.MATH('Rates from Ireland Fedex Priort'!N212,1)+IF($A213="EU",Variables!$B$6,Variables!$B$3),'Rates from Ireland Fedex Priort'!N212)</f>
        <v>181</v>
      </c>
      <c r="O213" s="15" t="s">
        <v>61</v>
      </c>
      <c r="P213" s="15" t="s">
        <v>126</v>
      </c>
      <c r="Q213" s="16">
        <v>80</v>
      </c>
      <c r="R213" s="15" t="s">
        <v>25</v>
      </c>
      <c r="S213" s="17" t="s">
        <v>26</v>
      </c>
      <c r="T213" s="40" t="s">
        <v>27</v>
      </c>
    </row>
    <row r="214" spans="1:20" ht="15.75" customHeight="1" x14ac:dyDescent="0.3">
      <c r="A214" s="39" t="str">
        <f>IF('Rates from Ireland Fedex Priort'!A213="","",'Rates from Ireland Fedex Priort'!A213)</f>
        <v>EU</v>
      </c>
      <c r="B214" s="8" t="str">
        <f>IF('Rates from Ireland Fedex Priort'!B213="","",'Rates from Ireland Fedex Priort'!B213)</f>
        <v>Ireland</v>
      </c>
      <c r="C214" s="9" t="str">
        <f>IF('Rates from Ireland Fedex Priort'!C213="","",'Rates from Ireland Fedex Priort'!C213)</f>
        <v>Sri Lanka</v>
      </c>
      <c r="D214" s="10">
        <f>IF(ISNUMBER('Rates from Ireland Fedex Priort'!D213),_xlfn.CEILING.MATH('Rates from Ireland Fedex Priort'!D213,1)+IF($A214="EU",Variables!$B$5,Variables!$B$2),'Rates from Ireland Fedex Priort'!D213)</f>
        <v>69</v>
      </c>
      <c r="E214" s="10">
        <f>IF(ISNUMBER('Rates from Ireland Fedex Priort'!E213),_xlfn.CEILING.MATH('Rates from Ireland Fedex Priort'!E213,1)+IF($A214="EU",Variables!$B$6,Variables!$B$3),'Rates from Ireland Fedex Priort'!E213)</f>
        <v>74</v>
      </c>
      <c r="F214" s="10">
        <f>IF(ISNUMBER('Rates from Ireland Fedex Priort'!F213),_xlfn.CEILING.MATH('Rates from Ireland Fedex Priort'!F213,1)+IF($A214="EU",Variables!$B$6,Variables!$B$3),'Rates from Ireland Fedex Priort'!F213)</f>
        <v>79</v>
      </c>
      <c r="G214" s="10">
        <f>IF(ISNUMBER('Rates from Ireland Fedex Priort'!G213),_xlfn.CEILING.MATH('Rates from Ireland Fedex Priort'!G213,1)+IF($A214="EU",Variables!$B$6,Variables!$B$3),'Rates from Ireland Fedex Priort'!G213)</f>
        <v>95</v>
      </c>
      <c r="H214" s="10">
        <f>IF(ISNUMBER('Rates from Ireland Fedex Priort'!H213),_xlfn.CEILING.MATH('Rates from Ireland Fedex Priort'!H213,1)+IF($A214="EU",Variables!$B$6,Variables!$B$3),'Rates from Ireland Fedex Priort'!H213)</f>
        <v>119</v>
      </c>
      <c r="I214" s="10">
        <f>IF(ISNUMBER('Rates from Ireland Fedex Priort'!I213),_xlfn.CEILING.MATH('Rates from Ireland Fedex Priort'!I213,1)+IF($A214="EU",Variables!$B$6,Variables!$B$3),'Rates from Ireland Fedex Priort'!I213)</f>
        <v>179</v>
      </c>
      <c r="J214" s="10" t="str">
        <f>IF(ISNUMBER('Rates from Ireland Fedex Priort'!J213),_xlfn.CEILING.MATH('Rates from Ireland Fedex Priort'!J213,1)+IF($A214="EU",Variables!$B$6,Variables!$B$3),'Rates from Ireland Fedex Priort'!J213)</f>
        <v>No service</v>
      </c>
      <c r="K214" s="10" t="str">
        <f>IF(ISNUMBER('Rates from Ireland Fedex Priort'!K213),_xlfn.CEILING.MATH('Rates from Ireland Fedex Priort'!K213,1)+IF($A214="EU",Variables!$B$6,Variables!$B$3),'Rates from Ireland Fedex Priort'!K213)</f>
        <v>No service</v>
      </c>
      <c r="L214" s="10" t="str">
        <f>IF(ISNUMBER('Rates from Ireland Fedex Priort'!L213),_xlfn.CEILING.MATH('Rates from Ireland Fedex Priort'!L213,1)+IF($A214="EU",Variables!$B$6,Variables!$B$3),'Rates from Ireland Fedex Priort'!L213)</f>
        <v>No service</v>
      </c>
      <c r="M214" s="10" t="str">
        <f>IF(ISNUMBER('Rates from Ireland Fedex Priort'!M213),_xlfn.CEILING.MATH('Rates from Ireland Fedex Priort'!M213,1)+IF($A214="EU",Variables!$B$6,Variables!$B$3),'Rates from Ireland Fedex Priort'!M213)</f>
        <v>No service</v>
      </c>
      <c r="N214" s="10" t="str">
        <f>IF(ISNUMBER('Rates from Ireland Fedex Priort'!N213),_xlfn.CEILING.MATH('Rates from Ireland Fedex Priort'!N213,1)+IF($A214="EU",Variables!$B$6,Variables!$B$3),'Rates from Ireland Fedex Priort'!N213)</f>
        <v>No service</v>
      </c>
      <c r="O214" s="11" t="s">
        <v>41</v>
      </c>
      <c r="P214" s="11" t="s">
        <v>143</v>
      </c>
      <c r="Q214" s="12">
        <v>80</v>
      </c>
      <c r="R214" s="11" t="s">
        <v>25</v>
      </c>
      <c r="S214" s="3" t="s">
        <v>26</v>
      </c>
      <c r="T214" s="38" t="s">
        <v>27</v>
      </c>
    </row>
    <row r="215" spans="1:20" ht="15.75" customHeight="1" x14ac:dyDescent="0.3">
      <c r="A215" s="39" t="str">
        <f>IF('Rates from Ireland Fedex Priort'!A214="","",'Rates from Ireland Fedex Priort'!A214)</f>
        <v>EU</v>
      </c>
      <c r="B215" s="8" t="str">
        <f>IF('Rates from Ireland Fedex Priort'!B214="","",'Rates from Ireland Fedex Priort'!B214)</f>
        <v>Ireland</v>
      </c>
      <c r="C215" s="9" t="str">
        <f>IF('Rates from Ireland Fedex Priort'!C214="","",'Rates from Ireland Fedex Priort'!C214)</f>
        <v>Sudan</v>
      </c>
      <c r="D215" s="10" t="str">
        <f>IF(ISNUMBER('Rates from Ireland Fedex Priort'!D214),_xlfn.CEILING.MATH('Rates from Ireland Fedex Priort'!D214,1)+IF($A215="EU",Variables!$B$5,Variables!$B$2),'Rates from Ireland Fedex Priort'!D214)</f>
        <v>No service</v>
      </c>
      <c r="E215" s="10" t="str">
        <f>IF(ISNUMBER('Rates from Ireland Fedex Priort'!E214),_xlfn.CEILING.MATH('Rates from Ireland Fedex Priort'!E214,1)+IF($A215="EU",Variables!$B$6,Variables!$B$3),'Rates from Ireland Fedex Priort'!E214)</f>
        <v>No service</v>
      </c>
      <c r="F215" s="10" t="str">
        <f>IF(ISNUMBER('Rates from Ireland Fedex Priort'!F214),_xlfn.CEILING.MATH('Rates from Ireland Fedex Priort'!F214,1)+IF($A215="EU",Variables!$B$6,Variables!$B$3),'Rates from Ireland Fedex Priort'!F214)</f>
        <v>No service</v>
      </c>
      <c r="G215" s="10" t="str">
        <f>IF(ISNUMBER('Rates from Ireland Fedex Priort'!G214),_xlfn.CEILING.MATH('Rates from Ireland Fedex Priort'!G214,1)+IF($A215="EU",Variables!$B$6,Variables!$B$3),'Rates from Ireland Fedex Priort'!G214)</f>
        <v>No service</v>
      </c>
      <c r="H215" s="10" t="str">
        <f>IF(ISNUMBER('Rates from Ireland Fedex Priort'!H214),_xlfn.CEILING.MATH('Rates from Ireland Fedex Priort'!H214,1)+IF($A215="EU",Variables!$B$6,Variables!$B$3),'Rates from Ireland Fedex Priort'!H214)</f>
        <v>No service</v>
      </c>
      <c r="I215" s="10" t="str">
        <f>IF(ISNUMBER('Rates from Ireland Fedex Priort'!I214),_xlfn.CEILING.MATH('Rates from Ireland Fedex Priort'!I214,1)+IF($A215="EU",Variables!$B$6,Variables!$B$3),'Rates from Ireland Fedex Priort'!I214)</f>
        <v>No service</v>
      </c>
      <c r="J215" s="10" t="str">
        <f>IF(ISNUMBER('Rates from Ireland Fedex Priort'!J214),_xlfn.CEILING.MATH('Rates from Ireland Fedex Priort'!J214,1)+IF($A215="EU",Variables!$B$6,Variables!$B$3),'Rates from Ireland Fedex Priort'!J214)</f>
        <v>No service</v>
      </c>
      <c r="K215" s="10" t="str">
        <f>IF(ISNUMBER('Rates from Ireland Fedex Priort'!K214),_xlfn.CEILING.MATH('Rates from Ireland Fedex Priort'!K214,1)+IF($A215="EU",Variables!$B$6,Variables!$B$3),'Rates from Ireland Fedex Priort'!K214)</f>
        <v>No service</v>
      </c>
      <c r="L215" s="10" t="str">
        <f>IF(ISNUMBER('Rates from Ireland Fedex Priort'!L214),_xlfn.CEILING.MATH('Rates from Ireland Fedex Priort'!L214,1)+IF($A215="EU",Variables!$B$6,Variables!$B$3),'Rates from Ireland Fedex Priort'!L214)</f>
        <v>No service</v>
      </c>
      <c r="M215" s="10" t="str">
        <f>IF(ISNUMBER('Rates from Ireland Fedex Priort'!M214),_xlfn.CEILING.MATH('Rates from Ireland Fedex Priort'!M214,1)+IF($A215="EU",Variables!$B$6,Variables!$B$3),'Rates from Ireland Fedex Priort'!M214)</f>
        <v>No service</v>
      </c>
      <c r="N215" s="10" t="str">
        <f>IF(ISNUMBER('Rates from Ireland Fedex Priort'!N214),_xlfn.CEILING.MATH('Rates from Ireland Fedex Priort'!N214,1)+IF($A215="EU",Variables!$B$6,Variables!$B$3),'Rates from Ireland Fedex Priort'!N214)</f>
        <v>No service</v>
      </c>
      <c r="O215" s="11"/>
      <c r="P215" s="11"/>
      <c r="Q215" s="11"/>
      <c r="R215" s="11"/>
      <c r="S215" s="3" t="s">
        <v>26</v>
      </c>
      <c r="T215" s="38" t="s">
        <v>27</v>
      </c>
    </row>
    <row r="216" spans="1:20" ht="15.75" customHeight="1" x14ac:dyDescent="0.3">
      <c r="A216" s="39" t="str">
        <f>IF('Rates from Ireland Fedex Priort'!A215="","",'Rates from Ireland Fedex Priort'!A215)</f>
        <v>EU</v>
      </c>
      <c r="B216" s="8" t="str">
        <f>IF('Rates from Ireland Fedex Priort'!B215="","",'Rates from Ireland Fedex Priort'!B215)</f>
        <v>Ireland</v>
      </c>
      <c r="C216" s="9" t="str">
        <f>IF('Rates from Ireland Fedex Priort'!C215="","",'Rates from Ireland Fedex Priort'!C215)</f>
        <v>Suriname</v>
      </c>
      <c r="D216" s="10">
        <f>IF(ISNUMBER('Rates from Ireland Fedex Priort'!D215),_xlfn.CEILING.MATH('Rates from Ireland Fedex Priort'!D215,1)+IF($A216="EU",Variables!$B$5,Variables!$B$2),'Rates from Ireland Fedex Priort'!D215)</f>
        <v>71</v>
      </c>
      <c r="E216" s="10">
        <f>IF(ISNUMBER('Rates from Ireland Fedex Priort'!E215),_xlfn.CEILING.MATH('Rates from Ireland Fedex Priort'!E215,1)+IF($A216="EU",Variables!$B$6,Variables!$B$3),'Rates from Ireland Fedex Priort'!E215)</f>
        <v>77</v>
      </c>
      <c r="F216" s="10">
        <f>IF(ISNUMBER('Rates from Ireland Fedex Priort'!F215),_xlfn.CEILING.MATH('Rates from Ireland Fedex Priort'!F215,1)+IF($A216="EU",Variables!$B$6,Variables!$B$3),'Rates from Ireland Fedex Priort'!F215)</f>
        <v>81</v>
      </c>
      <c r="G216" s="10">
        <f>IF(ISNUMBER('Rates from Ireland Fedex Priort'!G215),_xlfn.CEILING.MATH('Rates from Ireland Fedex Priort'!G215,1)+IF($A216="EU",Variables!$B$6,Variables!$B$3),'Rates from Ireland Fedex Priort'!G215)</f>
        <v>96</v>
      </c>
      <c r="H216" s="10">
        <f>IF(ISNUMBER('Rates from Ireland Fedex Priort'!H215),_xlfn.CEILING.MATH('Rates from Ireland Fedex Priort'!H215,1)+IF($A216="EU",Variables!$B$6,Variables!$B$3),'Rates from Ireland Fedex Priort'!H215)</f>
        <v>117</v>
      </c>
      <c r="I216" s="10">
        <f>IF(ISNUMBER('Rates from Ireland Fedex Priort'!I215),_xlfn.CEILING.MATH('Rates from Ireland Fedex Priort'!I215,1)+IF($A216="EU",Variables!$B$6,Variables!$B$3),'Rates from Ireland Fedex Priort'!I215)</f>
        <v>219</v>
      </c>
      <c r="J216" s="10" t="str">
        <f>IF(ISNUMBER('Rates from Ireland Fedex Priort'!J215),_xlfn.CEILING.MATH('Rates from Ireland Fedex Priort'!J215,1)+IF($A216="EU",Variables!$B$6,Variables!$B$3),'Rates from Ireland Fedex Priort'!J215)</f>
        <v>No service</v>
      </c>
      <c r="K216" s="10" t="str">
        <f>IF(ISNUMBER('Rates from Ireland Fedex Priort'!K215),_xlfn.CEILING.MATH('Rates from Ireland Fedex Priort'!K215,1)+IF($A216="EU",Variables!$B$6,Variables!$B$3),'Rates from Ireland Fedex Priort'!K215)</f>
        <v>No service</v>
      </c>
      <c r="L216" s="10" t="str">
        <f>IF(ISNUMBER('Rates from Ireland Fedex Priort'!L215),_xlfn.CEILING.MATH('Rates from Ireland Fedex Priort'!L215,1)+IF($A216="EU",Variables!$B$6,Variables!$B$3),'Rates from Ireland Fedex Priort'!L215)</f>
        <v>No service</v>
      </c>
      <c r="M216" s="10" t="str">
        <f>IF(ISNUMBER('Rates from Ireland Fedex Priort'!M215),_xlfn.CEILING.MATH('Rates from Ireland Fedex Priort'!M215,1)+IF($A216="EU",Variables!$B$6,Variables!$B$3),'Rates from Ireland Fedex Priort'!M215)</f>
        <v>No service</v>
      </c>
      <c r="N216" s="10" t="str">
        <f>IF(ISNUMBER('Rates from Ireland Fedex Priort'!N215),_xlfn.CEILING.MATH('Rates from Ireland Fedex Priort'!N215,1)+IF($A216="EU",Variables!$B$6,Variables!$B$3),'Rates from Ireland Fedex Priort'!N215)</f>
        <v>No service</v>
      </c>
      <c r="O216" s="11" t="s">
        <v>23</v>
      </c>
      <c r="P216" s="11" t="s">
        <v>24</v>
      </c>
      <c r="Q216" s="12">
        <v>80</v>
      </c>
      <c r="R216" s="11" t="s">
        <v>25</v>
      </c>
      <c r="S216" s="3" t="s">
        <v>26</v>
      </c>
      <c r="T216" s="38" t="s">
        <v>27</v>
      </c>
    </row>
    <row r="217" spans="1:20" ht="15.75" customHeight="1" x14ac:dyDescent="0.3">
      <c r="A217" s="39" t="str">
        <f>IF('Rates from Ireland Fedex Priort'!A216="","",'Rates from Ireland Fedex Priort'!A216)</f>
        <v>EU</v>
      </c>
      <c r="B217" s="8" t="str">
        <f>IF('Rates from Ireland Fedex Priort'!B216="","",'Rates from Ireland Fedex Priort'!B216)</f>
        <v>Ireland</v>
      </c>
      <c r="C217" s="9" t="str">
        <f>IF('Rates from Ireland Fedex Priort'!C216="","",'Rates from Ireland Fedex Priort'!C216)</f>
        <v>Svalbard and Jan Mayen</v>
      </c>
      <c r="D217" s="10" t="str">
        <f>IF(ISNUMBER('Rates from Ireland Fedex Priort'!D216),_xlfn.CEILING.MATH('Rates from Ireland Fedex Priort'!D216,1)+IF($A217="EU",Variables!$B$5,Variables!$B$2),'Rates from Ireland Fedex Priort'!D216)</f>
        <v>No service</v>
      </c>
      <c r="E217" s="10" t="str">
        <f>IF(ISNUMBER('Rates from Ireland Fedex Priort'!E216),_xlfn.CEILING.MATH('Rates from Ireland Fedex Priort'!E216,1)+IF($A217="EU",Variables!$B$6,Variables!$B$3),'Rates from Ireland Fedex Priort'!E216)</f>
        <v>No service</v>
      </c>
      <c r="F217" s="10" t="str">
        <f>IF(ISNUMBER('Rates from Ireland Fedex Priort'!F216),_xlfn.CEILING.MATH('Rates from Ireland Fedex Priort'!F216,1)+IF($A217="EU",Variables!$B$6,Variables!$B$3),'Rates from Ireland Fedex Priort'!F216)</f>
        <v>No service</v>
      </c>
      <c r="G217" s="10" t="str">
        <f>IF(ISNUMBER('Rates from Ireland Fedex Priort'!G216),_xlfn.CEILING.MATH('Rates from Ireland Fedex Priort'!G216,1)+IF($A217="EU",Variables!$B$6,Variables!$B$3),'Rates from Ireland Fedex Priort'!G216)</f>
        <v>No service</v>
      </c>
      <c r="H217" s="10" t="str">
        <f>IF(ISNUMBER('Rates from Ireland Fedex Priort'!H216),_xlfn.CEILING.MATH('Rates from Ireland Fedex Priort'!H216,1)+IF($A217="EU",Variables!$B$6,Variables!$B$3),'Rates from Ireland Fedex Priort'!H216)</f>
        <v>No service</v>
      </c>
      <c r="I217" s="10" t="str">
        <f>IF(ISNUMBER('Rates from Ireland Fedex Priort'!I216),_xlfn.CEILING.MATH('Rates from Ireland Fedex Priort'!I216,1)+IF($A217="EU",Variables!$B$6,Variables!$B$3),'Rates from Ireland Fedex Priort'!I216)</f>
        <v>No service</v>
      </c>
      <c r="J217" s="10" t="str">
        <f>IF(ISNUMBER('Rates from Ireland Fedex Priort'!J216),_xlfn.CEILING.MATH('Rates from Ireland Fedex Priort'!J216,1)+IF($A217="EU",Variables!$B$6,Variables!$B$3),'Rates from Ireland Fedex Priort'!J216)</f>
        <v>No service</v>
      </c>
      <c r="K217" s="10" t="str">
        <f>IF(ISNUMBER('Rates from Ireland Fedex Priort'!K216),_xlfn.CEILING.MATH('Rates from Ireland Fedex Priort'!K216,1)+IF($A217="EU",Variables!$B$6,Variables!$B$3),'Rates from Ireland Fedex Priort'!K216)</f>
        <v>No service</v>
      </c>
      <c r="L217" s="10" t="str">
        <f>IF(ISNUMBER('Rates from Ireland Fedex Priort'!L216),_xlfn.CEILING.MATH('Rates from Ireland Fedex Priort'!L216,1)+IF($A217="EU",Variables!$B$6,Variables!$B$3),'Rates from Ireland Fedex Priort'!L216)</f>
        <v>No service</v>
      </c>
      <c r="M217" s="10" t="str">
        <f>IF(ISNUMBER('Rates from Ireland Fedex Priort'!M216),_xlfn.CEILING.MATH('Rates from Ireland Fedex Priort'!M216,1)+IF($A217="EU",Variables!$B$6,Variables!$B$3),'Rates from Ireland Fedex Priort'!M216)</f>
        <v>No service</v>
      </c>
      <c r="N217" s="10" t="str">
        <f>IF(ISNUMBER('Rates from Ireland Fedex Priort'!N216),_xlfn.CEILING.MATH('Rates from Ireland Fedex Priort'!N216,1)+IF($A217="EU",Variables!$B$6,Variables!$B$3),'Rates from Ireland Fedex Priort'!N216)</f>
        <v>No service</v>
      </c>
      <c r="O217" s="11"/>
      <c r="P217" s="11"/>
      <c r="Q217" s="11"/>
      <c r="R217" s="11"/>
      <c r="S217" s="3" t="s">
        <v>26</v>
      </c>
      <c r="T217" s="38" t="s">
        <v>27</v>
      </c>
    </row>
    <row r="218" spans="1:20" ht="15.75" customHeight="1" x14ac:dyDescent="0.3">
      <c r="A218" s="39" t="str">
        <f>IF('Rates from Ireland Fedex Priort'!A217="","",'Rates from Ireland Fedex Priort'!A217)</f>
        <v>EU</v>
      </c>
      <c r="B218" s="8" t="str">
        <f>IF('Rates from Ireland Fedex Priort'!B217="","",'Rates from Ireland Fedex Priort'!B217)</f>
        <v>Ireland</v>
      </c>
      <c r="C218" s="9" t="str">
        <f>IF('Rates from Ireland Fedex Priort'!C217="","",'Rates from Ireland Fedex Priort'!C217)</f>
        <v>Sweden</v>
      </c>
      <c r="D218" s="10">
        <f>IF(ISNUMBER('Rates from Ireland Fedex Priort'!D217),_xlfn.CEILING.MATH('Rates from Ireland Fedex Priort'!D217,1)+IF($A218="EU",Variables!$B$5,Variables!$B$2),'Rates from Ireland Fedex Priort'!D217)</f>
        <v>63</v>
      </c>
      <c r="E218" s="10">
        <f>IF(ISNUMBER('Rates from Ireland Fedex Priort'!E217),_xlfn.CEILING.MATH('Rates from Ireland Fedex Priort'!E217,1)+IF($A218="EU",Variables!$B$6,Variables!$B$3),'Rates from Ireland Fedex Priort'!E217)</f>
        <v>65</v>
      </c>
      <c r="F218" s="10">
        <f>IF(ISNUMBER('Rates from Ireland Fedex Priort'!F217),_xlfn.CEILING.MATH('Rates from Ireland Fedex Priort'!F217,1)+IF($A218="EU",Variables!$B$6,Variables!$B$3),'Rates from Ireland Fedex Priort'!F217)</f>
        <v>65</v>
      </c>
      <c r="G218" s="10">
        <f>IF(ISNUMBER('Rates from Ireland Fedex Priort'!G217),_xlfn.CEILING.MATH('Rates from Ireland Fedex Priort'!G217,1)+IF($A218="EU",Variables!$B$6,Variables!$B$3),'Rates from Ireland Fedex Priort'!G217)</f>
        <v>68</v>
      </c>
      <c r="H218" s="10">
        <f>IF(ISNUMBER('Rates from Ireland Fedex Priort'!H217),_xlfn.CEILING.MATH('Rates from Ireland Fedex Priort'!H217,1)+IF($A218="EU",Variables!$B$6,Variables!$B$3),'Rates from Ireland Fedex Priort'!H217)</f>
        <v>74</v>
      </c>
      <c r="I218" s="10">
        <f>IF(ISNUMBER('Rates from Ireland Fedex Priort'!I217),_xlfn.CEILING.MATH('Rates from Ireland Fedex Priort'!I217,1)+IF($A218="EU",Variables!$B$6,Variables!$B$3),'Rates from Ireland Fedex Priort'!I217)</f>
        <v>81</v>
      </c>
      <c r="J218" s="10" t="str">
        <f>IF(ISNUMBER('Rates from Ireland Fedex Priort'!J217),_xlfn.CEILING.MATH('Rates from Ireland Fedex Priort'!J217,1)+IF($A218="EU",Variables!$B$6,Variables!$B$3),'Rates from Ireland Fedex Priort'!J217)</f>
        <v>No service</v>
      </c>
      <c r="K218" s="10" t="str">
        <f>IF(ISNUMBER('Rates from Ireland Fedex Priort'!K217),_xlfn.CEILING.MATH('Rates from Ireland Fedex Priort'!K217,1)+IF($A218="EU",Variables!$B$6,Variables!$B$3),'Rates from Ireland Fedex Priort'!K217)</f>
        <v>No service</v>
      </c>
      <c r="L218" s="10" t="str">
        <f>IF(ISNUMBER('Rates from Ireland Fedex Priort'!L217),_xlfn.CEILING.MATH('Rates from Ireland Fedex Priort'!L217,1)+IF($A218="EU",Variables!$B$6,Variables!$B$3),'Rates from Ireland Fedex Priort'!L217)</f>
        <v>No service</v>
      </c>
      <c r="M218" s="10" t="str">
        <f>IF(ISNUMBER('Rates from Ireland Fedex Priort'!M217),_xlfn.CEILING.MATH('Rates from Ireland Fedex Priort'!M217,1)+IF($A218="EU",Variables!$B$6,Variables!$B$3),'Rates from Ireland Fedex Priort'!M217)</f>
        <v>No service</v>
      </c>
      <c r="N218" s="10" t="str">
        <f>IF(ISNUMBER('Rates from Ireland Fedex Priort'!N217),_xlfn.CEILING.MATH('Rates from Ireland Fedex Priort'!N217,1)+IF($A218="EU",Variables!$B$6,Variables!$B$3),'Rates from Ireland Fedex Priort'!N217)</f>
        <v>No service</v>
      </c>
      <c r="O218" s="11" t="s">
        <v>29</v>
      </c>
      <c r="P218" s="11" t="s">
        <v>33</v>
      </c>
      <c r="Q218" s="12">
        <v>80</v>
      </c>
      <c r="R218" s="11" t="s">
        <v>25</v>
      </c>
      <c r="S218" s="3" t="s">
        <v>26</v>
      </c>
      <c r="T218" s="38" t="s">
        <v>27</v>
      </c>
    </row>
    <row r="219" spans="1:20" ht="15.75" customHeight="1" x14ac:dyDescent="0.3">
      <c r="A219" s="39" t="str">
        <f>IF('Rates from Ireland Fedex Priort'!A218="","",'Rates from Ireland Fedex Priort'!A218)</f>
        <v>EU</v>
      </c>
      <c r="B219" s="8" t="str">
        <f>IF('Rates from Ireland Fedex Priort'!B218="","",'Rates from Ireland Fedex Priort'!B218)</f>
        <v>Ireland</v>
      </c>
      <c r="C219" s="9" t="str">
        <f>IF('Rates from Ireland Fedex Priort'!C218="","",'Rates from Ireland Fedex Priort'!C218)</f>
        <v>Switzerland</v>
      </c>
      <c r="D219" s="10">
        <f>IF(ISNUMBER('Rates from Ireland Fedex Priort'!D218),_xlfn.CEILING.MATH('Rates from Ireland Fedex Priort'!D218,1)+IF($A219="EU",Variables!$B$5,Variables!$B$2),'Rates from Ireland Fedex Priort'!D218)</f>
        <v>64</v>
      </c>
      <c r="E219" s="10">
        <f>IF(ISNUMBER('Rates from Ireland Fedex Priort'!E218),_xlfn.CEILING.MATH('Rates from Ireland Fedex Priort'!E218,1)+IF($A219="EU",Variables!$B$6,Variables!$B$3),'Rates from Ireland Fedex Priort'!E218)</f>
        <v>100</v>
      </c>
      <c r="F219" s="10">
        <f>IF(ISNUMBER('Rates from Ireland Fedex Priort'!F218),_xlfn.CEILING.MATH('Rates from Ireland Fedex Priort'!F218,1)+IF($A219="EU",Variables!$B$6,Variables!$B$3),'Rates from Ireland Fedex Priort'!F218)</f>
        <v>100</v>
      </c>
      <c r="G219" s="10">
        <f>IF(ISNUMBER('Rates from Ireland Fedex Priort'!G218),_xlfn.CEILING.MATH('Rates from Ireland Fedex Priort'!G218,1)+IF($A219="EU",Variables!$B$6,Variables!$B$3),'Rates from Ireland Fedex Priort'!G218)</f>
        <v>105</v>
      </c>
      <c r="H219" s="10">
        <f>IF(ISNUMBER('Rates from Ireland Fedex Priort'!H218),_xlfn.CEILING.MATH('Rates from Ireland Fedex Priort'!H218,1)+IF($A219="EU",Variables!$B$6,Variables!$B$3),'Rates from Ireland Fedex Priort'!H218)</f>
        <v>117</v>
      </c>
      <c r="I219" s="10">
        <f>IF(ISNUMBER('Rates from Ireland Fedex Priort'!I218),_xlfn.CEILING.MATH('Rates from Ireland Fedex Priort'!I218,1)+IF($A219="EU",Variables!$B$6,Variables!$B$3),'Rates from Ireland Fedex Priort'!I218)</f>
        <v>124</v>
      </c>
      <c r="J219" s="10">
        <f>IF(ISNUMBER('Rates from Ireland Fedex Priort'!J218),_xlfn.CEILING.MATH('Rates from Ireland Fedex Priort'!J218,1)+IF($A219="EU",Variables!$B$6,Variables!$B$3),'Rates from Ireland Fedex Priort'!J218)</f>
        <v>133</v>
      </c>
      <c r="K219" s="10">
        <f>IF(ISNUMBER('Rates from Ireland Fedex Priort'!K218),_xlfn.CEILING.MATH('Rates from Ireland Fedex Priort'!K218,1)+IF($A219="EU",Variables!$B$6,Variables!$B$3),'Rates from Ireland Fedex Priort'!K218)</f>
        <v>142</v>
      </c>
      <c r="L219" s="10">
        <f>IF(ISNUMBER('Rates from Ireland Fedex Priort'!L218),_xlfn.CEILING.MATH('Rates from Ireland Fedex Priort'!L218,1)+IF($A219="EU",Variables!$B$6,Variables!$B$3),'Rates from Ireland Fedex Priort'!L218)</f>
        <v>142</v>
      </c>
      <c r="M219" s="10">
        <f>IF(ISNUMBER('Rates from Ireland Fedex Priort'!M218),_xlfn.CEILING.MATH('Rates from Ireland Fedex Priort'!M218,1)+IF($A219="EU",Variables!$B$6,Variables!$B$3),'Rates from Ireland Fedex Priort'!M218)</f>
        <v>158</v>
      </c>
      <c r="N219" s="10">
        <f>IF(ISNUMBER('Rates from Ireland Fedex Priort'!N218),_xlfn.CEILING.MATH('Rates from Ireland Fedex Priort'!N218,1)+IF($A219="EU",Variables!$B$6,Variables!$B$3),'Rates from Ireland Fedex Priort'!N218)</f>
        <v>175</v>
      </c>
      <c r="O219" s="15" t="s">
        <v>29</v>
      </c>
      <c r="P219" s="15" t="s">
        <v>69</v>
      </c>
      <c r="Q219" s="16">
        <v>80</v>
      </c>
      <c r="R219" s="15" t="s">
        <v>25</v>
      </c>
      <c r="S219" s="17" t="s">
        <v>26</v>
      </c>
      <c r="T219" s="40" t="s">
        <v>27</v>
      </c>
    </row>
    <row r="220" spans="1:20" ht="15.75" customHeight="1" x14ac:dyDescent="0.3">
      <c r="A220" s="39" t="str">
        <f>IF('Rates from Ireland Fedex Priort'!A219="","",'Rates from Ireland Fedex Priort'!A219)</f>
        <v>EU</v>
      </c>
      <c r="B220" s="8" t="str">
        <f>IF('Rates from Ireland Fedex Priort'!B219="","",'Rates from Ireland Fedex Priort'!B219)</f>
        <v>Ireland</v>
      </c>
      <c r="C220" s="9" t="str">
        <f>IF('Rates from Ireland Fedex Priort'!C219="","",'Rates from Ireland Fedex Priort'!C219)</f>
        <v>Syria</v>
      </c>
      <c r="D220" s="10" t="str">
        <f>IF(ISNUMBER('Rates from Ireland Fedex Priort'!D219),_xlfn.CEILING.MATH('Rates from Ireland Fedex Priort'!D219,1)+IF($A220="EU",Variables!$B$5,Variables!$B$2),'Rates from Ireland Fedex Priort'!D219)</f>
        <v>No service</v>
      </c>
      <c r="E220" s="10" t="str">
        <f>IF(ISNUMBER('Rates from Ireland Fedex Priort'!E219),_xlfn.CEILING.MATH('Rates from Ireland Fedex Priort'!E219,1)+IF($A220="EU",Variables!$B$6,Variables!$B$3),'Rates from Ireland Fedex Priort'!E219)</f>
        <v>No service</v>
      </c>
      <c r="F220" s="10" t="str">
        <f>IF(ISNUMBER('Rates from Ireland Fedex Priort'!F219),_xlfn.CEILING.MATH('Rates from Ireland Fedex Priort'!F219,1)+IF($A220="EU",Variables!$B$6,Variables!$B$3),'Rates from Ireland Fedex Priort'!F219)</f>
        <v>No service</v>
      </c>
      <c r="G220" s="10" t="str">
        <f>IF(ISNUMBER('Rates from Ireland Fedex Priort'!G219),_xlfn.CEILING.MATH('Rates from Ireland Fedex Priort'!G219,1)+IF($A220="EU",Variables!$B$6,Variables!$B$3),'Rates from Ireland Fedex Priort'!G219)</f>
        <v>No service</v>
      </c>
      <c r="H220" s="10" t="str">
        <f>IF(ISNUMBER('Rates from Ireland Fedex Priort'!H219),_xlfn.CEILING.MATH('Rates from Ireland Fedex Priort'!H219,1)+IF($A220="EU",Variables!$B$6,Variables!$B$3),'Rates from Ireland Fedex Priort'!H219)</f>
        <v>No service</v>
      </c>
      <c r="I220" s="10" t="str">
        <f>IF(ISNUMBER('Rates from Ireland Fedex Priort'!I219),_xlfn.CEILING.MATH('Rates from Ireland Fedex Priort'!I219,1)+IF($A220="EU",Variables!$B$6,Variables!$B$3),'Rates from Ireland Fedex Priort'!I219)</f>
        <v>No service</v>
      </c>
      <c r="J220" s="10" t="str">
        <f>IF(ISNUMBER('Rates from Ireland Fedex Priort'!J219),_xlfn.CEILING.MATH('Rates from Ireland Fedex Priort'!J219,1)+IF($A220="EU",Variables!$B$6,Variables!$B$3),'Rates from Ireland Fedex Priort'!J219)</f>
        <v>No service</v>
      </c>
      <c r="K220" s="10" t="str">
        <f>IF(ISNUMBER('Rates from Ireland Fedex Priort'!K219),_xlfn.CEILING.MATH('Rates from Ireland Fedex Priort'!K219,1)+IF($A220="EU",Variables!$B$6,Variables!$B$3),'Rates from Ireland Fedex Priort'!K219)</f>
        <v>No service</v>
      </c>
      <c r="L220" s="10" t="str">
        <f>IF(ISNUMBER('Rates from Ireland Fedex Priort'!L219),_xlfn.CEILING.MATH('Rates from Ireland Fedex Priort'!L219,1)+IF($A220="EU",Variables!$B$6,Variables!$B$3),'Rates from Ireland Fedex Priort'!L219)</f>
        <v>No service</v>
      </c>
      <c r="M220" s="10" t="str">
        <f>IF(ISNUMBER('Rates from Ireland Fedex Priort'!M219),_xlfn.CEILING.MATH('Rates from Ireland Fedex Priort'!M219,1)+IF($A220="EU",Variables!$B$6,Variables!$B$3),'Rates from Ireland Fedex Priort'!M219)</f>
        <v>No service</v>
      </c>
      <c r="N220" s="10" t="str">
        <f>IF(ISNUMBER('Rates from Ireland Fedex Priort'!N219),_xlfn.CEILING.MATH('Rates from Ireland Fedex Priort'!N219,1)+IF($A220="EU",Variables!$B$6,Variables!$B$3),'Rates from Ireland Fedex Priort'!N219)</f>
        <v>No service</v>
      </c>
      <c r="O220" s="11"/>
      <c r="P220" s="11"/>
      <c r="Q220" s="11"/>
      <c r="R220" s="11"/>
      <c r="S220" s="3" t="s">
        <v>26</v>
      </c>
      <c r="T220" s="38" t="s">
        <v>27</v>
      </c>
    </row>
    <row r="221" spans="1:20" ht="15.75" customHeight="1" x14ac:dyDescent="0.3">
      <c r="A221" s="39" t="str">
        <f>IF('Rates from Ireland Fedex Priort'!A220="","",'Rates from Ireland Fedex Priort'!A220)</f>
        <v>EU</v>
      </c>
      <c r="B221" s="8" t="str">
        <f>IF('Rates from Ireland Fedex Priort'!B220="","",'Rates from Ireland Fedex Priort'!B220)</f>
        <v>Ireland</v>
      </c>
      <c r="C221" s="9" t="str">
        <f>IF('Rates from Ireland Fedex Priort'!C220="","",'Rates from Ireland Fedex Priort'!C220)</f>
        <v>Taiwan</v>
      </c>
      <c r="D221" s="10">
        <f>IF(ISNUMBER('Rates from Ireland Fedex Priort'!D220),_xlfn.CEILING.MATH('Rates from Ireland Fedex Priort'!D220,1)+IF($A221="EU",Variables!$B$5,Variables!$B$2),'Rates from Ireland Fedex Priort'!D220)</f>
        <v>69</v>
      </c>
      <c r="E221" s="10">
        <f>IF(ISNUMBER('Rates from Ireland Fedex Priort'!E220),_xlfn.CEILING.MATH('Rates from Ireland Fedex Priort'!E220,1)+IF($A221="EU",Variables!$B$6,Variables!$B$3),'Rates from Ireland Fedex Priort'!E220)</f>
        <v>74</v>
      </c>
      <c r="F221" s="10">
        <f>IF(ISNUMBER('Rates from Ireland Fedex Priort'!F220),_xlfn.CEILING.MATH('Rates from Ireland Fedex Priort'!F220,1)+IF($A221="EU",Variables!$B$6,Variables!$B$3),'Rates from Ireland Fedex Priort'!F220)</f>
        <v>79</v>
      </c>
      <c r="G221" s="10">
        <f>IF(ISNUMBER('Rates from Ireland Fedex Priort'!G220),_xlfn.CEILING.MATH('Rates from Ireland Fedex Priort'!G220,1)+IF($A221="EU",Variables!$B$6,Variables!$B$3),'Rates from Ireland Fedex Priort'!G220)</f>
        <v>95</v>
      </c>
      <c r="H221" s="10">
        <f>IF(ISNUMBER('Rates from Ireland Fedex Priort'!H220),_xlfn.CEILING.MATH('Rates from Ireland Fedex Priort'!H220,1)+IF($A221="EU",Variables!$B$6,Variables!$B$3),'Rates from Ireland Fedex Priort'!H220)</f>
        <v>119</v>
      </c>
      <c r="I221" s="10">
        <f>IF(ISNUMBER('Rates from Ireland Fedex Priort'!I220),_xlfn.CEILING.MATH('Rates from Ireland Fedex Priort'!I220,1)+IF($A221="EU",Variables!$B$6,Variables!$B$3),'Rates from Ireland Fedex Priort'!I220)</f>
        <v>179</v>
      </c>
      <c r="J221" s="10" t="str">
        <f>IF(ISNUMBER('Rates from Ireland Fedex Priort'!J220),_xlfn.CEILING.MATH('Rates from Ireland Fedex Priort'!J220,1)+IF($A221="EU",Variables!$B$6,Variables!$B$3),'Rates from Ireland Fedex Priort'!J220)</f>
        <v>No service</v>
      </c>
      <c r="K221" s="10" t="str">
        <f>IF(ISNUMBER('Rates from Ireland Fedex Priort'!K220),_xlfn.CEILING.MATH('Rates from Ireland Fedex Priort'!K220,1)+IF($A221="EU",Variables!$B$6,Variables!$B$3),'Rates from Ireland Fedex Priort'!K220)</f>
        <v>No service</v>
      </c>
      <c r="L221" s="10" t="str">
        <f>IF(ISNUMBER('Rates from Ireland Fedex Priort'!L220),_xlfn.CEILING.MATH('Rates from Ireland Fedex Priort'!L220,1)+IF($A221="EU",Variables!$B$6,Variables!$B$3),'Rates from Ireland Fedex Priort'!L220)</f>
        <v>No service</v>
      </c>
      <c r="M221" s="10" t="str">
        <f>IF(ISNUMBER('Rates from Ireland Fedex Priort'!M220),_xlfn.CEILING.MATH('Rates from Ireland Fedex Priort'!M220,1)+IF($A221="EU",Variables!$B$6,Variables!$B$3),'Rates from Ireland Fedex Priort'!M220)</f>
        <v>No service</v>
      </c>
      <c r="N221" s="10">
        <f>IF(ISNUMBER('Rates from Ireland Fedex Priort'!N220),_xlfn.CEILING.MATH('Rates from Ireland Fedex Priort'!N220,1)+IF($A221="EU",Variables!$B$6,Variables!$B$3),'Rates from Ireland Fedex Priort'!N220)</f>
        <v>333</v>
      </c>
      <c r="O221" s="11" t="s">
        <v>41</v>
      </c>
      <c r="P221" s="11" t="s">
        <v>143</v>
      </c>
      <c r="Q221" s="12">
        <v>80</v>
      </c>
      <c r="R221" s="11"/>
      <c r="S221" s="3" t="s">
        <v>26</v>
      </c>
      <c r="T221" s="38" t="s">
        <v>27</v>
      </c>
    </row>
    <row r="222" spans="1:20" ht="15.75" customHeight="1" x14ac:dyDescent="0.3">
      <c r="A222" s="39" t="str">
        <f>IF('Rates from Ireland Fedex Priort'!A221="","",'Rates from Ireland Fedex Priort'!A221)</f>
        <v>EU</v>
      </c>
      <c r="B222" s="8" t="str">
        <f>IF('Rates from Ireland Fedex Priort'!B221="","",'Rates from Ireland Fedex Priort'!B221)</f>
        <v>Ireland</v>
      </c>
      <c r="C222" s="9" t="str">
        <f>IF('Rates from Ireland Fedex Priort'!C221="","",'Rates from Ireland Fedex Priort'!C221)</f>
        <v>Tajikistan</v>
      </c>
      <c r="D222" s="10" t="str">
        <f>IF(ISNUMBER('Rates from Ireland Fedex Priort'!D221),_xlfn.CEILING.MATH('Rates from Ireland Fedex Priort'!D221,1)+IF($A222="EU",Variables!$B$5,Variables!$B$2),'Rates from Ireland Fedex Priort'!D221)</f>
        <v>No service</v>
      </c>
      <c r="E222" s="10" t="str">
        <f>IF(ISNUMBER('Rates from Ireland Fedex Priort'!E221),_xlfn.CEILING.MATH('Rates from Ireland Fedex Priort'!E221,1)+IF($A222="EU",Variables!$B$6,Variables!$B$3),'Rates from Ireland Fedex Priort'!E221)</f>
        <v>No service</v>
      </c>
      <c r="F222" s="10" t="str">
        <f>IF(ISNUMBER('Rates from Ireland Fedex Priort'!F221),_xlfn.CEILING.MATH('Rates from Ireland Fedex Priort'!F221,1)+IF($A222="EU",Variables!$B$6,Variables!$B$3),'Rates from Ireland Fedex Priort'!F221)</f>
        <v>No service</v>
      </c>
      <c r="G222" s="10" t="str">
        <f>IF(ISNUMBER('Rates from Ireland Fedex Priort'!G221),_xlfn.CEILING.MATH('Rates from Ireland Fedex Priort'!G221,1)+IF($A222="EU",Variables!$B$6,Variables!$B$3),'Rates from Ireland Fedex Priort'!G221)</f>
        <v>No service</v>
      </c>
      <c r="H222" s="10" t="str">
        <f>IF(ISNUMBER('Rates from Ireland Fedex Priort'!H221),_xlfn.CEILING.MATH('Rates from Ireland Fedex Priort'!H221,1)+IF($A222="EU",Variables!$B$6,Variables!$B$3),'Rates from Ireland Fedex Priort'!H221)</f>
        <v>No service</v>
      </c>
      <c r="I222" s="10" t="str">
        <f>IF(ISNUMBER('Rates from Ireland Fedex Priort'!I221),_xlfn.CEILING.MATH('Rates from Ireland Fedex Priort'!I221,1)+IF($A222="EU",Variables!$B$6,Variables!$B$3),'Rates from Ireland Fedex Priort'!I221)</f>
        <v>No service</v>
      </c>
      <c r="J222" s="10" t="str">
        <f>IF(ISNUMBER('Rates from Ireland Fedex Priort'!J221),_xlfn.CEILING.MATH('Rates from Ireland Fedex Priort'!J221,1)+IF($A222="EU",Variables!$B$6,Variables!$B$3),'Rates from Ireland Fedex Priort'!J221)</f>
        <v>No service</v>
      </c>
      <c r="K222" s="10" t="str">
        <f>IF(ISNUMBER('Rates from Ireland Fedex Priort'!K221),_xlfn.CEILING.MATH('Rates from Ireland Fedex Priort'!K221,1)+IF($A222="EU",Variables!$B$6,Variables!$B$3),'Rates from Ireland Fedex Priort'!K221)</f>
        <v>No service</v>
      </c>
      <c r="L222" s="10" t="str">
        <f>IF(ISNUMBER('Rates from Ireland Fedex Priort'!L221),_xlfn.CEILING.MATH('Rates from Ireland Fedex Priort'!L221,1)+IF($A222="EU",Variables!$B$6,Variables!$B$3),'Rates from Ireland Fedex Priort'!L221)</f>
        <v>No service</v>
      </c>
      <c r="M222" s="10" t="str">
        <f>IF(ISNUMBER('Rates from Ireland Fedex Priort'!M221),_xlfn.CEILING.MATH('Rates from Ireland Fedex Priort'!M221,1)+IF($A222="EU",Variables!$B$6,Variables!$B$3),'Rates from Ireland Fedex Priort'!M221)</f>
        <v>No service</v>
      </c>
      <c r="N222" s="10" t="str">
        <f>IF(ISNUMBER('Rates from Ireland Fedex Priort'!N221),_xlfn.CEILING.MATH('Rates from Ireland Fedex Priort'!N221,1)+IF($A222="EU",Variables!$B$6,Variables!$B$3),'Rates from Ireland Fedex Priort'!N221)</f>
        <v>No service</v>
      </c>
      <c r="O222" s="11"/>
      <c r="P222" s="11"/>
      <c r="Q222" s="11"/>
      <c r="R222" s="11"/>
      <c r="S222" s="3" t="s">
        <v>26</v>
      </c>
      <c r="T222" s="38" t="s">
        <v>27</v>
      </c>
    </row>
    <row r="223" spans="1:20" ht="15.75" customHeight="1" x14ac:dyDescent="0.3">
      <c r="A223" s="39" t="str">
        <f>IF('Rates from Ireland Fedex Priort'!A222="","",'Rates from Ireland Fedex Priort'!A222)</f>
        <v>EU</v>
      </c>
      <c r="B223" s="8" t="str">
        <f>IF('Rates from Ireland Fedex Priort'!B222="","",'Rates from Ireland Fedex Priort'!B222)</f>
        <v>Ireland</v>
      </c>
      <c r="C223" s="9" t="str">
        <f>IF('Rates from Ireland Fedex Priort'!C222="","",'Rates from Ireland Fedex Priort'!C222)</f>
        <v>Tanzania</v>
      </c>
      <c r="D223" s="10">
        <f>IF(ISNUMBER('Rates from Ireland Fedex Priort'!D222),_xlfn.CEILING.MATH('Rates from Ireland Fedex Priort'!D222,1)+IF($A223="EU",Variables!$B$5,Variables!$B$2),'Rates from Ireland Fedex Priort'!D222)</f>
        <v>75</v>
      </c>
      <c r="E223" s="10">
        <f>IF(ISNUMBER('Rates from Ireland Fedex Priort'!E222),_xlfn.CEILING.MATH('Rates from Ireland Fedex Priort'!E222,1)+IF($A223="EU",Variables!$B$6,Variables!$B$3),'Rates from Ireland Fedex Priort'!E222)</f>
        <v>83</v>
      </c>
      <c r="F223" s="10">
        <f>IF(ISNUMBER('Rates from Ireland Fedex Priort'!F222),_xlfn.CEILING.MATH('Rates from Ireland Fedex Priort'!F222,1)+IF($A223="EU",Variables!$B$6,Variables!$B$3),'Rates from Ireland Fedex Priort'!F222)</f>
        <v>88</v>
      </c>
      <c r="G223" s="10">
        <f>IF(ISNUMBER('Rates from Ireland Fedex Priort'!G222),_xlfn.CEILING.MATH('Rates from Ireland Fedex Priort'!G222,1)+IF($A223="EU",Variables!$B$6,Variables!$B$3),'Rates from Ireland Fedex Priort'!G222)</f>
        <v>106</v>
      </c>
      <c r="H223" s="10">
        <f>IF(ISNUMBER('Rates from Ireland Fedex Priort'!H222),_xlfn.CEILING.MATH('Rates from Ireland Fedex Priort'!H222,1)+IF($A223="EU",Variables!$B$6,Variables!$B$3),'Rates from Ireland Fedex Priort'!H222)</f>
        <v>134</v>
      </c>
      <c r="I223" s="10">
        <f>IF(ISNUMBER('Rates from Ireland Fedex Priort'!I222),_xlfn.CEILING.MATH('Rates from Ireland Fedex Priort'!I222,1)+IF($A223="EU",Variables!$B$6,Variables!$B$3),'Rates from Ireland Fedex Priort'!I222)</f>
        <v>242</v>
      </c>
      <c r="J223" s="10" t="str">
        <f>IF(ISNUMBER('Rates from Ireland Fedex Priort'!J222),_xlfn.CEILING.MATH('Rates from Ireland Fedex Priort'!J222,1)+IF($A223="EU",Variables!$B$6,Variables!$B$3),'Rates from Ireland Fedex Priort'!J222)</f>
        <v>No service</v>
      </c>
      <c r="K223" s="10" t="str">
        <f>IF(ISNUMBER('Rates from Ireland Fedex Priort'!K222),_xlfn.CEILING.MATH('Rates from Ireland Fedex Priort'!K222,1)+IF($A223="EU",Variables!$B$6,Variables!$B$3),'Rates from Ireland Fedex Priort'!K222)</f>
        <v>No service</v>
      </c>
      <c r="L223" s="10" t="str">
        <f>IF(ISNUMBER('Rates from Ireland Fedex Priort'!L222),_xlfn.CEILING.MATH('Rates from Ireland Fedex Priort'!L222,1)+IF($A223="EU",Variables!$B$6,Variables!$B$3),'Rates from Ireland Fedex Priort'!L222)</f>
        <v>No service</v>
      </c>
      <c r="M223" s="10" t="str">
        <f>IF(ISNUMBER('Rates from Ireland Fedex Priort'!M222),_xlfn.CEILING.MATH('Rates from Ireland Fedex Priort'!M222,1)+IF($A223="EU",Variables!$B$6,Variables!$B$3),'Rates from Ireland Fedex Priort'!M222)</f>
        <v>No service</v>
      </c>
      <c r="N223" s="10">
        <f>IF(ISNUMBER('Rates from Ireland Fedex Priort'!N222),_xlfn.CEILING.MATH('Rates from Ireland Fedex Priort'!N222,1)+IF($A223="EU",Variables!$B$6,Variables!$B$3),'Rates from Ireland Fedex Priort'!N222)</f>
        <v>454</v>
      </c>
      <c r="O223" s="11" t="s">
        <v>271</v>
      </c>
      <c r="P223" s="11" t="s">
        <v>271</v>
      </c>
      <c r="Q223" s="12">
        <v>80</v>
      </c>
      <c r="R223" s="11"/>
      <c r="S223" s="3" t="s">
        <v>26</v>
      </c>
      <c r="T223" s="38" t="s">
        <v>27</v>
      </c>
    </row>
    <row r="224" spans="1:20" ht="15.75" customHeight="1" x14ac:dyDescent="0.3">
      <c r="A224" s="39" t="str">
        <f>IF('Rates from Ireland Fedex Priort'!A223="","",'Rates from Ireland Fedex Priort'!A223)</f>
        <v>EU</v>
      </c>
      <c r="B224" s="8" t="str">
        <f>IF('Rates from Ireland Fedex Priort'!B223="","",'Rates from Ireland Fedex Priort'!B223)</f>
        <v>Ireland</v>
      </c>
      <c r="C224" s="9" t="str">
        <f>IF('Rates from Ireland Fedex Priort'!C223="","",'Rates from Ireland Fedex Priort'!C223)</f>
        <v>Thailand</v>
      </c>
      <c r="D224" s="10" t="str">
        <f>IF(ISNUMBER('Rates from Ireland Fedex Priort'!D223),_xlfn.CEILING.MATH('Rates from Ireland Fedex Priort'!D223,1)+IF($A224="EU",Variables!$B$5,Variables!$B$2),'Rates from Ireland Fedex Priort'!D223)</f>
        <v>No service</v>
      </c>
      <c r="E224" s="10" t="str">
        <f>IF(ISNUMBER('Rates from Ireland Fedex Priort'!E223),_xlfn.CEILING.MATH('Rates from Ireland Fedex Priort'!E223,1)+IF($A224="EU",Variables!$B$6,Variables!$B$3),'Rates from Ireland Fedex Priort'!E223)</f>
        <v>No service</v>
      </c>
      <c r="F224" s="10" t="str">
        <f>IF(ISNUMBER('Rates from Ireland Fedex Priort'!F223),_xlfn.CEILING.MATH('Rates from Ireland Fedex Priort'!F223,1)+IF($A224="EU",Variables!$B$6,Variables!$B$3),'Rates from Ireland Fedex Priort'!F223)</f>
        <v>No service</v>
      </c>
      <c r="G224" s="10" t="str">
        <f>IF(ISNUMBER('Rates from Ireland Fedex Priort'!G223),_xlfn.CEILING.MATH('Rates from Ireland Fedex Priort'!G223,1)+IF($A224="EU",Variables!$B$6,Variables!$B$3),'Rates from Ireland Fedex Priort'!G223)</f>
        <v>No service</v>
      </c>
      <c r="H224" s="10" t="str">
        <f>IF(ISNUMBER('Rates from Ireland Fedex Priort'!H223),_xlfn.CEILING.MATH('Rates from Ireland Fedex Priort'!H223,1)+IF($A224="EU",Variables!$B$6,Variables!$B$3),'Rates from Ireland Fedex Priort'!H223)</f>
        <v>No service</v>
      </c>
      <c r="I224" s="10" t="str">
        <f>IF(ISNUMBER('Rates from Ireland Fedex Priort'!I223),_xlfn.CEILING.MATH('Rates from Ireland Fedex Priort'!I223,1)+IF($A224="EU",Variables!$B$6,Variables!$B$3),'Rates from Ireland Fedex Priort'!I223)</f>
        <v>No service</v>
      </c>
      <c r="J224" s="10" t="str">
        <f>IF(ISNUMBER('Rates from Ireland Fedex Priort'!J223),_xlfn.CEILING.MATH('Rates from Ireland Fedex Priort'!J223,1)+IF($A224="EU",Variables!$B$6,Variables!$B$3),'Rates from Ireland Fedex Priort'!J223)</f>
        <v>No service</v>
      </c>
      <c r="K224" s="10" t="str">
        <f>IF(ISNUMBER('Rates from Ireland Fedex Priort'!K223),_xlfn.CEILING.MATH('Rates from Ireland Fedex Priort'!K223,1)+IF($A224="EU",Variables!$B$6,Variables!$B$3),'Rates from Ireland Fedex Priort'!K223)</f>
        <v>No service</v>
      </c>
      <c r="L224" s="10" t="str">
        <f>IF(ISNUMBER('Rates from Ireland Fedex Priort'!L223),_xlfn.CEILING.MATH('Rates from Ireland Fedex Priort'!L223,1)+IF($A224="EU",Variables!$B$6,Variables!$B$3),'Rates from Ireland Fedex Priort'!L223)</f>
        <v>No service</v>
      </c>
      <c r="M224" s="10" t="str">
        <f>IF(ISNUMBER('Rates from Ireland Fedex Priort'!M223),_xlfn.CEILING.MATH('Rates from Ireland Fedex Priort'!M223,1)+IF($A224="EU",Variables!$B$6,Variables!$B$3),'Rates from Ireland Fedex Priort'!M223)</f>
        <v>No service</v>
      </c>
      <c r="N224" s="10" t="str">
        <f>IF(ISNUMBER('Rates from Ireland Fedex Priort'!N223),_xlfn.CEILING.MATH('Rates from Ireland Fedex Priort'!N223,1)+IF($A224="EU",Variables!$B$6,Variables!$B$3),'Rates from Ireland Fedex Priort'!N223)</f>
        <v>No service</v>
      </c>
      <c r="O224" s="11"/>
      <c r="P224" s="11"/>
      <c r="Q224" s="11"/>
      <c r="R224" s="11"/>
      <c r="S224" s="3" t="s">
        <v>26</v>
      </c>
      <c r="T224" s="38" t="s">
        <v>27</v>
      </c>
    </row>
    <row r="225" spans="1:20" ht="15.75" customHeight="1" x14ac:dyDescent="0.3">
      <c r="A225" s="39" t="str">
        <f>IF('Rates from Ireland Fedex Priort'!A224="","",'Rates from Ireland Fedex Priort'!A224)</f>
        <v>EU</v>
      </c>
      <c r="B225" s="8" t="str">
        <f>IF('Rates from Ireland Fedex Priort'!B224="","",'Rates from Ireland Fedex Priort'!B224)</f>
        <v>Ireland</v>
      </c>
      <c r="C225" s="9" t="str">
        <f>IF('Rates from Ireland Fedex Priort'!C224="","",'Rates from Ireland Fedex Priort'!C224)</f>
        <v>Togo</v>
      </c>
      <c r="D225" s="10">
        <f>IF(ISNUMBER('Rates from Ireland Fedex Priort'!D224),_xlfn.CEILING.MATH('Rates from Ireland Fedex Priort'!D224,1)+IF($A225="EU",Variables!$B$5,Variables!$B$2),'Rates from Ireland Fedex Priort'!D224)</f>
        <v>75</v>
      </c>
      <c r="E225" s="10">
        <f>IF(ISNUMBER('Rates from Ireland Fedex Priort'!E224),_xlfn.CEILING.MATH('Rates from Ireland Fedex Priort'!E224,1)+IF($A225="EU",Variables!$B$6,Variables!$B$3),'Rates from Ireland Fedex Priort'!E224)</f>
        <v>83</v>
      </c>
      <c r="F225" s="10">
        <f>IF(ISNUMBER('Rates from Ireland Fedex Priort'!F224),_xlfn.CEILING.MATH('Rates from Ireland Fedex Priort'!F224,1)+IF($A225="EU",Variables!$B$6,Variables!$B$3),'Rates from Ireland Fedex Priort'!F224)</f>
        <v>88</v>
      </c>
      <c r="G225" s="10">
        <f>IF(ISNUMBER('Rates from Ireland Fedex Priort'!G224),_xlfn.CEILING.MATH('Rates from Ireland Fedex Priort'!G224,1)+IF($A225="EU",Variables!$B$6,Variables!$B$3),'Rates from Ireland Fedex Priort'!G224)</f>
        <v>106</v>
      </c>
      <c r="H225" s="10">
        <f>IF(ISNUMBER('Rates from Ireland Fedex Priort'!H224),_xlfn.CEILING.MATH('Rates from Ireland Fedex Priort'!H224,1)+IF($A225="EU",Variables!$B$6,Variables!$B$3),'Rates from Ireland Fedex Priort'!H224)</f>
        <v>134</v>
      </c>
      <c r="I225" s="10">
        <f>IF(ISNUMBER('Rates from Ireland Fedex Priort'!I224),_xlfn.CEILING.MATH('Rates from Ireland Fedex Priort'!I224,1)+IF($A225="EU",Variables!$B$6,Variables!$B$3),'Rates from Ireland Fedex Priort'!I224)</f>
        <v>242</v>
      </c>
      <c r="J225" s="10" t="str">
        <f>IF(ISNUMBER('Rates from Ireland Fedex Priort'!J224),_xlfn.CEILING.MATH('Rates from Ireland Fedex Priort'!J224,1)+IF($A225="EU",Variables!$B$6,Variables!$B$3),'Rates from Ireland Fedex Priort'!J224)</f>
        <v>No service</v>
      </c>
      <c r="K225" s="10" t="str">
        <f>IF(ISNUMBER('Rates from Ireland Fedex Priort'!K224),_xlfn.CEILING.MATH('Rates from Ireland Fedex Priort'!K224,1)+IF($A225="EU",Variables!$B$6,Variables!$B$3),'Rates from Ireland Fedex Priort'!K224)</f>
        <v>No service</v>
      </c>
      <c r="L225" s="10" t="str">
        <f>IF(ISNUMBER('Rates from Ireland Fedex Priort'!L224),_xlfn.CEILING.MATH('Rates from Ireland Fedex Priort'!L224,1)+IF($A225="EU",Variables!$B$6,Variables!$B$3),'Rates from Ireland Fedex Priort'!L224)</f>
        <v>No service</v>
      </c>
      <c r="M225" s="10" t="str">
        <f>IF(ISNUMBER('Rates from Ireland Fedex Priort'!M224),_xlfn.CEILING.MATH('Rates from Ireland Fedex Priort'!M224,1)+IF($A225="EU",Variables!$B$6,Variables!$B$3),'Rates from Ireland Fedex Priort'!M224)</f>
        <v>No service</v>
      </c>
      <c r="N225" s="10">
        <f>IF(ISNUMBER('Rates from Ireland Fedex Priort'!N224),_xlfn.CEILING.MATH('Rates from Ireland Fedex Priort'!N224,1)+IF($A225="EU",Variables!$B$6,Variables!$B$3),'Rates from Ireland Fedex Priort'!N224)</f>
        <v>454</v>
      </c>
      <c r="O225" s="11" t="s">
        <v>271</v>
      </c>
      <c r="P225" s="11" t="s">
        <v>271</v>
      </c>
      <c r="Q225" s="12">
        <v>80</v>
      </c>
      <c r="R225" s="11"/>
      <c r="S225" s="3" t="s">
        <v>26</v>
      </c>
      <c r="T225" s="38" t="s">
        <v>27</v>
      </c>
    </row>
    <row r="226" spans="1:20" ht="15.75" customHeight="1" x14ac:dyDescent="0.3">
      <c r="A226" s="39" t="str">
        <f>IF('Rates from Ireland Fedex Priort'!A225="","",'Rates from Ireland Fedex Priort'!A225)</f>
        <v>EU</v>
      </c>
      <c r="B226" s="8" t="str">
        <f>IF('Rates from Ireland Fedex Priort'!B225="","",'Rates from Ireland Fedex Priort'!B225)</f>
        <v>Ireland</v>
      </c>
      <c r="C226" s="9" t="str">
        <f>IF('Rates from Ireland Fedex Priort'!C225="","",'Rates from Ireland Fedex Priort'!C225)</f>
        <v xml:space="preserve">Tokelau </v>
      </c>
      <c r="D226" s="10" t="str">
        <f>IF(ISNUMBER('Rates from Ireland Fedex Priort'!D225),_xlfn.CEILING.MATH('Rates from Ireland Fedex Priort'!D225,1)+IF($A226="EU",Variables!$B$5,Variables!$B$2),'Rates from Ireland Fedex Priort'!D225)</f>
        <v>No service</v>
      </c>
      <c r="E226" s="10" t="str">
        <f>IF(ISNUMBER('Rates from Ireland Fedex Priort'!E225),_xlfn.CEILING.MATH('Rates from Ireland Fedex Priort'!E225,1)+IF($A226="EU",Variables!$B$6,Variables!$B$3),'Rates from Ireland Fedex Priort'!E225)</f>
        <v>No service</v>
      </c>
      <c r="F226" s="10" t="str">
        <f>IF(ISNUMBER('Rates from Ireland Fedex Priort'!F225),_xlfn.CEILING.MATH('Rates from Ireland Fedex Priort'!F225,1)+IF($A226="EU",Variables!$B$6,Variables!$B$3),'Rates from Ireland Fedex Priort'!F225)</f>
        <v>No service</v>
      </c>
      <c r="G226" s="10" t="str">
        <f>IF(ISNUMBER('Rates from Ireland Fedex Priort'!G225),_xlfn.CEILING.MATH('Rates from Ireland Fedex Priort'!G225,1)+IF($A226="EU",Variables!$B$6,Variables!$B$3),'Rates from Ireland Fedex Priort'!G225)</f>
        <v>No service</v>
      </c>
      <c r="H226" s="10" t="str">
        <f>IF(ISNUMBER('Rates from Ireland Fedex Priort'!H225),_xlfn.CEILING.MATH('Rates from Ireland Fedex Priort'!H225,1)+IF($A226="EU",Variables!$B$6,Variables!$B$3),'Rates from Ireland Fedex Priort'!H225)</f>
        <v>No service</v>
      </c>
      <c r="I226" s="10" t="str">
        <f>IF(ISNUMBER('Rates from Ireland Fedex Priort'!I225),_xlfn.CEILING.MATH('Rates from Ireland Fedex Priort'!I225,1)+IF($A226="EU",Variables!$B$6,Variables!$B$3),'Rates from Ireland Fedex Priort'!I225)</f>
        <v>No service</v>
      </c>
      <c r="J226" s="10" t="str">
        <f>IF(ISNUMBER('Rates from Ireland Fedex Priort'!J225),_xlfn.CEILING.MATH('Rates from Ireland Fedex Priort'!J225,1)+IF($A226="EU",Variables!$B$6,Variables!$B$3),'Rates from Ireland Fedex Priort'!J225)</f>
        <v>No service</v>
      </c>
      <c r="K226" s="10" t="str">
        <f>IF(ISNUMBER('Rates from Ireland Fedex Priort'!K225),_xlfn.CEILING.MATH('Rates from Ireland Fedex Priort'!K225,1)+IF($A226="EU",Variables!$B$6,Variables!$B$3),'Rates from Ireland Fedex Priort'!K225)</f>
        <v>No service</v>
      </c>
      <c r="L226" s="10" t="str">
        <f>IF(ISNUMBER('Rates from Ireland Fedex Priort'!L225),_xlfn.CEILING.MATH('Rates from Ireland Fedex Priort'!L225,1)+IF($A226="EU",Variables!$B$6,Variables!$B$3),'Rates from Ireland Fedex Priort'!L225)</f>
        <v>No service</v>
      </c>
      <c r="M226" s="10" t="str">
        <f>IF(ISNUMBER('Rates from Ireland Fedex Priort'!M225),_xlfn.CEILING.MATH('Rates from Ireland Fedex Priort'!M225,1)+IF($A226="EU",Variables!$B$6,Variables!$B$3),'Rates from Ireland Fedex Priort'!M225)</f>
        <v>No service</v>
      </c>
      <c r="N226" s="10" t="str">
        <f>IF(ISNUMBER('Rates from Ireland Fedex Priort'!N225),_xlfn.CEILING.MATH('Rates from Ireland Fedex Priort'!N225,1)+IF($A226="EU",Variables!$B$6,Variables!$B$3),'Rates from Ireland Fedex Priort'!N225)</f>
        <v>No service</v>
      </c>
      <c r="O226" s="11"/>
      <c r="P226" s="11"/>
      <c r="Q226" s="11"/>
      <c r="R226" s="11"/>
      <c r="S226" s="3" t="s">
        <v>26</v>
      </c>
      <c r="T226" s="38" t="s">
        <v>27</v>
      </c>
    </row>
    <row r="227" spans="1:20" ht="15.75" customHeight="1" x14ac:dyDescent="0.3">
      <c r="A227" s="39" t="str">
        <f>IF('Rates from Ireland Fedex Priort'!A226="","",'Rates from Ireland Fedex Priort'!A226)</f>
        <v>EU</v>
      </c>
      <c r="B227" s="8" t="str">
        <f>IF('Rates from Ireland Fedex Priort'!B226="","",'Rates from Ireland Fedex Priort'!B226)</f>
        <v>Ireland</v>
      </c>
      <c r="C227" s="9" t="str">
        <f>IF('Rates from Ireland Fedex Priort'!C226="","",'Rates from Ireland Fedex Priort'!C226)</f>
        <v>Tonga</v>
      </c>
      <c r="D227" s="10">
        <f>IF(ISNUMBER('Rates from Ireland Fedex Priort'!D226),_xlfn.CEILING.MATH('Rates from Ireland Fedex Priort'!D226,1)+IF($A227="EU",Variables!$B$5,Variables!$B$2),'Rates from Ireland Fedex Priort'!D226)</f>
        <v>75</v>
      </c>
      <c r="E227" s="10">
        <f>IF(ISNUMBER('Rates from Ireland Fedex Priort'!E226),_xlfn.CEILING.MATH('Rates from Ireland Fedex Priort'!E226,1)+IF($A227="EU",Variables!$B$6,Variables!$B$3),'Rates from Ireland Fedex Priort'!E226)</f>
        <v>83</v>
      </c>
      <c r="F227" s="10">
        <f>IF(ISNUMBER('Rates from Ireland Fedex Priort'!F226),_xlfn.CEILING.MATH('Rates from Ireland Fedex Priort'!F226,1)+IF($A227="EU",Variables!$B$6,Variables!$B$3),'Rates from Ireland Fedex Priort'!F226)</f>
        <v>88</v>
      </c>
      <c r="G227" s="10">
        <f>IF(ISNUMBER('Rates from Ireland Fedex Priort'!G226),_xlfn.CEILING.MATH('Rates from Ireland Fedex Priort'!G226,1)+IF($A227="EU",Variables!$B$6,Variables!$B$3),'Rates from Ireland Fedex Priort'!G226)</f>
        <v>106</v>
      </c>
      <c r="H227" s="10">
        <f>IF(ISNUMBER('Rates from Ireland Fedex Priort'!H226),_xlfn.CEILING.MATH('Rates from Ireland Fedex Priort'!H226,1)+IF($A227="EU",Variables!$B$6,Variables!$B$3),'Rates from Ireland Fedex Priort'!H226)</f>
        <v>134</v>
      </c>
      <c r="I227" s="10">
        <f>IF(ISNUMBER('Rates from Ireland Fedex Priort'!I226),_xlfn.CEILING.MATH('Rates from Ireland Fedex Priort'!I226,1)+IF($A227="EU",Variables!$B$6,Variables!$B$3),'Rates from Ireland Fedex Priort'!I226)</f>
        <v>242</v>
      </c>
      <c r="J227" s="10" t="str">
        <f>IF(ISNUMBER('Rates from Ireland Fedex Priort'!J226),_xlfn.CEILING.MATH('Rates from Ireland Fedex Priort'!J226,1)+IF($A227="EU",Variables!$B$6,Variables!$B$3),'Rates from Ireland Fedex Priort'!J226)</f>
        <v>No service</v>
      </c>
      <c r="K227" s="10" t="str">
        <f>IF(ISNUMBER('Rates from Ireland Fedex Priort'!K226),_xlfn.CEILING.MATH('Rates from Ireland Fedex Priort'!K226,1)+IF($A227="EU",Variables!$B$6,Variables!$B$3),'Rates from Ireland Fedex Priort'!K226)</f>
        <v>No service</v>
      </c>
      <c r="L227" s="10" t="str">
        <f>IF(ISNUMBER('Rates from Ireland Fedex Priort'!L226),_xlfn.CEILING.MATH('Rates from Ireland Fedex Priort'!L226,1)+IF($A227="EU",Variables!$B$6,Variables!$B$3),'Rates from Ireland Fedex Priort'!L226)</f>
        <v>No service</v>
      </c>
      <c r="M227" s="10" t="str">
        <f>IF(ISNUMBER('Rates from Ireland Fedex Priort'!M226),_xlfn.CEILING.MATH('Rates from Ireland Fedex Priort'!M226,1)+IF($A227="EU",Variables!$B$6,Variables!$B$3),'Rates from Ireland Fedex Priort'!M226)</f>
        <v>No service</v>
      </c>
      <c r="N227" s="10">
        <f>IF(ISNUMBER('Rates from Ireland Fedex Priort'!N226),_xlfn.CEILING.MATH('Rates from Ireland Fedex Priort'!N226,1)+IF($A227="EU",Variables!$B$6,Variables!$B$3),'Rates from Ireland Fedex Priort'!N226)</f>
        <v>454</v>
      </c>
      <c r="O227" s="11" t="s">
        <v>271</v>
      </c>
      <c r="P227" s="11" t="s">
        <v>271</v>
      </c>
      <c r="Q227" s="12">
        <v>80</v>
      </c>
      <c r="R227" s="11" t="s">
        <v>25</v>
      </c>
      <c r="S227" s="3" t="s">
        <v>26</v>
      </c>
      <c r="T227" s="38" t="s">
        <v>27</v>
      </c>
    </row>
    <row r="228" spans="1:20" ht="15.75" customHeight="1" x14ac:dyDescent="0.3">
      <c r="A228" s="39" t="str">
        <f>IF('Rates from Ireland Fedex Priort'!A227="","",'Rates from Ireland Fedex Priort'!A227)</f>
        <v>EU</v>
      </c>
      <c r="B228" s="8" t="str">
        <f>IF('Rates from Ireland Fedex Priort'!B227="","",'Rates from Ireland Fedex Priort'!B227)</f>
        <v>Ireland</v>
      </c>
      <c r="C228" s="9" t="str">
        <f>IF('Rates from Ireland Fedex Priort'!C227="","",'Rates from Ireland Fedex Priort'!C227)</f>
        <v>Transnistria</v>
      </c>
      <c r="D228" s="10">
        <f>IF(ISNUMBER('Rates from Ireland Fedex Priort'!D227),_xlfn.CEILING.MATH('Rates from Ireland Fedex Priort'!D227,1)+IF($A228="EU",Variables!$B$5,Variables!$B$2),'Rates from Ireland Fedex Priort'!D227)</f>
        <v>76</v>
      </c>
      <c r="E228" s="10">
        <f>IF(ISNUMBER('Rates from Ireland Fedex Priort'!E227),_xlfn.CEILING.MATH('Rates from Ireland Fedex Priort'!E227,1)+IF($A228="EU",Variables!$B$6,Variables!$B$3),'Rates from Ireland Fedex Priort'!E227)</f>
        <v>86</v>
      </c>
      <c r="F228" s="10">
        <f>IF(ISNUMBER('Rates from Ireland Fedex Priort'!F227),_xlfn.CEILING.MATH('Rates from Ireland Fedex Priort'!F227,1)+IF($A228="EU",Variables!$B$6,Variables!$B$3),'Rates from Ireland Fedex Priort'!F227)</f>
        <v>85</v>
      </c>
      <c r="G228" s="10">
        <f>IF(ISNUMBER('Rates from Ireland Fedex Priort'!G227),_xlfn.CEILING.MATH('Rates from Ireland Fedex Priort'!G227,1)+IF($A228="EU",Variables!$B$6,Variables!$B$3),'Rates from Ireland Fedex Priort'!G227)</f>
        <v>94</v>
      </c>
      <c r="H228" s="10">
        <f>IF(ISNUMBER('Rates from Ireland Fedex Priort'!H227),_xlfn.CEILING.MATH('Rates from Ireland Fedex Priort'!H227,1)+IF($A228="EU",Variables!$B$6,Variables!$B$3),'Rates from Ireland Fedex Priort'!H227)</f>
        <v>97</v>
      </c>
      <c r="I228" s="10">
        <f>IF(ISNUMBER('Rates from Ireland Fedex Priort'!I227),_xlfn.CEILING.MATH('Rates from Ireland Fedex Priort'!I227,1)+IF($A228="EU",Variables!$B$6,Variables!$B$3),'Rates from Ireland Fedex Priort'!I227)</f>
        <v>107</v>
      </c>
      <c r="J228" s="10" t="str">
        <f>IF(ISNUMBER('Rates from Ireland Fedex Priort'!J227),_xlfn.CEILING.MATH('Rates from Ireland Fedex Priort'!J227,1)+IF($A228="EU",Variables!$B$6,Variables!$B$3),'Rates from Ireland Fedex Priort'!J227)</f>
        <v>No service</v>
      </c>
      <c r="K228" s="10" t="str">
        <f>IF(ISNUMBER('Rates from Ireland Fedex Priort'!K227),_xlfn.CEILING.MATH('Rates from Ireland Fedex Priort'!K227,1)+IF($A228="EU",Variables!$B$6,Variables!$B$3),'Rates from Ireland Fedex Priort'!K227)</f>
        <v>No service</v>
      </c>
      <c r="L228" s="10" t="str">
        <f>IF(ISNUMBER('Rates from Ireland Fedex Priort'!L227),_xlfn.CEILING.MATH('Rates from Ireland Fedex Priort'!L227,1)+IF($A228="EU",Variables!$B$6,Variables!$B$3),'Rates from Ireland Fedex Priort'!L227)</f>
        <v>No service</v>
      </c>
      <c r="M228" s="10" t="str">
        <f>IF(ISNUMBER('Rates from Ireland Fedex Priort'!M227),_xlfn.CEILING.MATH('Rates from Ireland Fedex Priort'!M227,1)+IF($A228="EU",Variables!$B$6,Variables!$B$3),'Rates from Ireland Fedex Priort'!M227)</f>
        <v>No service</v>
      </c>
      <c r="N228" s="10">
        <f>IF(ISNUMBER('Rates from Ireland Fedex Priort'!N227),_xlfn.CEILING.MATH('Rates from Ireland Fedex Priort'!N227,1)+IF($A228="EU",Variables!$B$6,Variables!$B$3),'Rates from Ireland Fedex Priort'!N227)</f>
        <v>164</v>
      </c>
      <c r="O228" s="11" t="s">
        <v>61</v>
      </c>
      <c r="P228" s="11" t="s">
        <v>187</v>
      </c>
      <c r="Q228" s="12">
        <v>80</v>
      </c>
      <c r="R228" s="11" t="s">
        <v>25</v>
      </c>
      <c r="S228" s="3" t="s">
        <v>26</v>
      </c>
      <c r="T228" s="38" t="s">
        <v>27</v>
      </c>
    </row>
    <row r="229" spans="1:20" ht="15.75" customHeight="1" x14ac:dyDescent="0.3">
      <c r="A229" s="39" t="str">
        <f>IF('Rates from Ireland Fedex Priort'!A228="","",'Rates from Ireland Fedex Priort'!A228)</f>
        <v>EU</v>
      </c>
      <c r="B229" s="8" t="str">
        <f>IF('Rates from Ireland Fedex Priort'!B228="","",'Rates from Ireland Fedex Priort'!B228)</f>
        <v>Ireland</v>
      </c>
      <c r="C229" s="9" t="str">
        <f>IF('Rates from Ireland Fedex Priort'!C228="","",'Rates from Ireland Fedex Priort'!C228)</f>
        <v>Trinidad and Tobago</v>
      </c>
      <c r="D229" s="10">
        <f>IF(ISNUMBER('Rates from Ireland Fedex Priort'!D228),_xlfn.CEILING.MATH('Rates from Ireland Fedex Priort'!D228,1)+IF($A229="EU",Variables!$B$5,Variables!$B$2),'Rates from Ireland Fedex Priort'!D228)</f>
        <v>71</v>
      </c>
      <c r="E229" s="10">
        <f>IF(ISNUMBER('Rates from Ireland Fedex Priort'!E228),_xlfn.CEILING.MATH('Rates from Ireland Fedex Priort'!E228,1)+IF($A229="EU",Variables!$B$6,Variables!$B$3),'Rates from Ireland Fedex Priort'!E228)</f>
        <v>77</v>
      </c>
      <c r="F229" s="10">
        <f>IF(ISNUMBER('Rates from Ireland Fedex Priort'!F228),_xlfn.CEILING.MATH('Rates from Ireland Fedex Priort'!F228,1)+IF($A229="EU",Variables!$B$6,Variables!$B$3),'Rates from Ireland Fedex Priort'!F228)</f>
        <v>81</v>
      </c>
      <c r="G229" s="10">
        <f>IF(ISNUMBER('Rates from Ireland Fedex Priort'!G228),_xlfn.CEILING.MATH('Rates from Ireland Fedex Priort'!G228,1)+IF($A229="EU",Variables!$B$6,Variables!$B$3),'Rates from Ireland Fedex Priort'!G228)</f>
        <v>96</v>
      </c>
      <c r="H229" s="10">
        <f>IF(ISNUMBER('Rates from Ireland Fedex Priort'!H228),_xlfn.CEILING.MATH('Rates from Ireland Fedex Priort'!H228,1)+IF($A229="EU",Variables!$B$6,Variables!$B$3),'Rates from Ireland Fedex Priort'!H228)</f>
        <v>117</v>
      </c>
      <c r="I229" s="10">
        <f>IF(ISNUMBER('Rates from Ireland Fedex Priort'!I228),_xlfn.CEILING.MATH('Rates from Ireland Fedex Priort'!I228,1)+IF($A229="EU",Variables!$B$6,Variables!$B$3),'Rates from Ireland Fedex Priort'!I228)</f>
        <v>219</v>
      </c>
      <c r="J229" s="10" t="str">
        <f>IF(ISNUMBER('Rates from Ireland Fedex Priort'!J228),_xlfn.CEILING.MATH('Rates from Ireland Fedex Priort'!J228,1)+IF($A229="EU",Variables!$B$6,Variables!$B$3),'Rates from Ireland Fedex Priort'!J228)</f>
        <v>No service</v>
      </c>
      <c r="K229" s="10" t="str">
        <f>IF(ISNUMBER('Rates from Ireland Fedex Priort'!K228),_xlfn.CEILING.MATH('Rates from Ireland Fedex Priort'!K228,1)+IF($A229="EU",Variables!$B$6,Variables!$B$3),'Rates from Ireland Fedex Priort'!K228)</f>
        <v>No service</v>
      </c>
      <c r="L229" s="10" t="str">
        <f>IF(ISNUMBER('Rates from Ireland Fedex Priort'!L228),_xlfn.CEILING.MATH('Rates from Ireland Fedex Priort'!L228,1)+IF($A229="EU",Variables!$B$6,Variables!$B$3),'Rates from Ireland Fedex Priort'!L228)</f>
        <v>No service</v>
      </c>
      <c r="M229" s="10" t="str">
        <f>IF(ISNUMBER('Rates from Ireland Fedex Priort'!M228),_xlfn.CEILING.MATH('Rates from Ireland Fedex Priort'!M228,1)+IF($A229="EU",Variables!$B$6,Variables!$B$3),'Rates from Ireland Fedex Priort'!M228)</f>
        <v>No service</v>
      </c>
      <c r="N229" s="10">
        <f>IF(ISNUMBER('Rates from Ireland Fedex Priort'!N228),_xlfn.CEILING.MATH('Rates from Ireland Fedex Priort'!N228,1)+IF($A229="EU",Variables!$B$6,Variables!$B$3),'Rates from Ireland Fedex Priort'!N228)</f>
        <v>422</v>
      </c>
      <c r="O229" s="11" t="s">
        <v>23</v>
      </c>
      <c r="P229" s="11" t="s">
        <v>24</v>
      </c>
      <c r="Q229" s="12">
        <v>80</v>
      </c>
      <c r="R229" s="11" t="s">
        <v>25</v>
      </c>
      <c r="S229" s="3" t="s">
        <v>26</v>
      </c>
      <c r="T229" s="38" t="s">
        <v>27</v>
      </c>
    </row>
    <row r="230" spans="1:20" ht="15.75" customHeight="1" x14ac:dyDescent="0.3">
      <c r="A230" s="39" t="str">
        <f>IF('Rates from Ireland Fedex Priort'!A229="","",'Rates from Ireland Fedex Priort'!A229)</f>
        <v>EU</v>
      </c>
      <c r="B230" s="8" t="str">
        <f>IF('Rates from Ireland Fedex Priort'!B229="","",'Rates from Ireland Fedex Priort'!B229)</f>
        <v>Ireland</v>
      </c>
      <c r="C230" s="9" t="str">
        <f>IF('Rates from Ireland Fedex Priort'!C229="","",'Rates from Ireland Fedex Priort'!C229)</f>
        <v>Tunisia</v>
      </c>
      <c r="D230" s="10">
        <f>IF(ISNUMBER('Rates from Ireland Fedex Priort'!D229),_xlfn.CEILING.MATH('Rates from Ireland Fedex Priort'!D229,1)+IF($A230="EU",Variables!$B$5,Variables!$B$2),'Rates from Ireland Fedex Priort'!D229)</f>
        <v>67</v>
      </c>
      <c r="E230" s="10">
        <f>IF(ISNUMBER('Rates from Ireland Fedex Priort'!E229),_xlfn.CEILING.MATH('Rates from Ireland Fedex Priort'!E229,1)+IF($A230="EU",Variables!$B$6,Variables!$B$3),'Rates from Ireland Fedex Priort'!E229)</f>
        <v>69</v>
      </c>
      <c r="F230" s="10">
        <f>IF(ISNUMBER('Rates from Ireland Fedex Priort'!F229),_xlfn.CEILING.MATH('Rates from Ireland Fedex Priort'!F229,1)+IF($A230="EU",Variables!$B$6,Variables!$B$3),'Rates from Ireland Fedex Priort'!F229)</f>
        <v>72</v>
      </c>
      <c r="G230" s="10">
        <f>IF(ISNUMBER('Rates from Ireland Fedex Priort'!G229),_xlfn.CEILING.MATH('Rates from Ireland Fedex Priort'!G229,1)+IF($A230="EU",Variables!$B$6,Variables!$B$3),'Rates from Ireland Fedex Priort'!G229)</f>
        <v>88</v>
      </c>
      <c r="H230" s="10">
        <f>IF(ISNUMBER('Rates from Ireland Fedex Priort'!H229),_xlfn.CEILING.MATH('Rates from Ireland Fedex Priort'!H229,1)+IF($A230="EU",Variables!$B$6,Variables!$B$3),'Rates from Ireland Fedex Priort'!H229)</f>
        <v>111</v>
      </c>
      <c r="I230" s="10">
        <f>IF(ISNUMBER('Rates from Ireland Fedex Priort'!I229),_xlfn.CEILING.MATH('Rates from Ireland Fedex Priort'!I229,1)+IF($A230="EU",Variables!$B$6,Variables!$B$3),'Rates from Ireland Fedex Priort'!I229)</f>
        <v>174</v>
      </c>
      <c r="J230" s="10" t="str">
        <f>IF(ISNUMBER('Rates from Ireland Fedex Priort'!J229),_xlfn.CEILING.MATH('Rates from Ireland Fedex Priort'!J229,1)+IF($A230="EU",Variables!$B$6,Variables!$B$3),'Rates from Ireland Fedex Priort'!J229)</f>
        <v>No service</v>
      </c>
      <c r="K230" s="10" t="str">
        <f>IF(ISNUMBER('Rates from Ireland Fedex Priort'!K229),_xlfn.CEILING.MATH('Rates from Ireland Fedex Priort'!K229,1)+IF($A230="EU",Variables!$B$6,Variables!$B$3),'Rates from Ireland Fedex Priort'!K229)</f>
        <v>No service</v>
      </c>
      <c r="L230" s="10" t="str">
        <f>IF(ISNUMBER('Rates from Ireland Fedex Priort'!L229),_xlfn.CEILING.MATH('Rates from Ireland Fedex Priort'!L229,1)+IF($A230="EU",Variables!$B$6,Variables!$B$3),'Rates from Ireland Fedex Priort'!L229)</f>
        <v>No service</v>
      </c>
      <c r="M230" s="10" t="str">
        <f>IF(ISNUMBER('Rates from Ireland Fedex Priort'!M229),_xlfn.CEILING.MATH('Rates from Ireland Fedex Priort'!M229,1)+IF($A230="EU",Variables!$B$6,Variables!$B$3),'Rates from Ireland Fedex Priort'!M229)</f>
        <v>No service</v>
      </c>
      <c r="N230" s="10">
        <f>IF(ISNUMBER('Rates from Ireland Fedex Priort'!N229),_xlfn.CEILING.MATH('Rates from Ireland Fedex Priort'!N229,1)+IF($A230="EU",Variables!$B$6,Variables!$B$3),'Rates from Ireland Fedex Priort'!N229)</f>
        <v>309</v>
      </c>
      <c r="O230" s="11" t="s">
        <v>23</v>
      </c>
      <c r="P230" s="11" t="s">
        <v>24</v>
      </c>
      <c r="Q230" s="12">
        <v>80</v>
      </c>
      <c r="R230" s="11" t="s">
        <v>25</v>
      </c>
      <c r="S230" s="3" t="s">
        <v>26</v>
      </c>
      <c r="T230" s="38" t="s">
        <v>27</v>
      </c>
    </row>
    <row r="231" spans="1:20" ht="15.75" customHeight="1" x14ac:dyDescent="0.3">
      <c r="A231" s="39" t="str">
        <f>IF('Rates from Ireland Fedex Priort'!A230="","",'Rates from Ireland Fedex Priort'!A230)</f>
        <v>EU</v>
      </c>
      <c r="B231" s="8" t="str">
        <f>IF('Rates from Ireland Fedex Priort'!B230="","",'Rates from Ireland Fedex Priort'!B230)</f>
        <v>Ireland</v>
      </c>
      <c r="C231" s="9" t="str">
        <f>IF('Rates from Ireland Fedex Priort'!C230="","",'Rates from Ireland Fedex Priort'!C230)</f>
        <v>Turkey</v>
      </c>
      <c r="D231" s="10">
        <f>IF(ISNUMBER('Rates from Ireland Fedex Priort'!D230),_xlfn.CEILING.MATH('Rates from Ireland Fedex Priort'!D230,1)+IF($A231="EU",Variables!$B$5,Variables!$B$2),'Rates from Ireland Fedex Priort'!D230)</f>
        <v>78</v>
      </c>
      <c r="E231" s="10">
        <f>IF(ISNUMBER('Rates from Ireland Fedex Priort'!E230),_xlfn.CEILING.MATH('Rates from Ireland Fedex Priort'!E230,1)+IF($A231="EU",Variables!$B$6,Variables!$B$3),'Rates from Ireland Fedex Priort'!E230)</f>
        <v>86</v>
      </c>
      <c r="F231" s="10">
        <f>IF(ISNUMBER('Rates from Ireland Fedex Priort'!F230),_xlfn.CEILING.MATH('Rates from Ireland Fedex Priort'!F230,1)+IF($A231="EU",Variables!$B$6,Variables!$B$3),'Rates from Ireland Fedex Priort'!F230)</f>
        <v>85</v>
      </c>
      <c r="G231" s="10">
        <f>IF(ISNUMBER('Rates from Ireland Fedex Priort'!G230),_xlfn.CEILING.MATH('Rates from Ireland Fedex Priort'!G230,1)+IF($A231="EU",Variables!$B$6,Variables!$B$3),'Rates from Ireland Fedex Priort'!G230)</f>
        <v>94</v>
      </c>
      <c r="H231" s="10">
        <f>IF(ISNUMBER('Rates from Ireland Fedex Priort'!H230),_xlfn.CEILING.MATH('Rates from Ireland Fedex Priort'!H230,1)+IF($A231="EU",Variables!$B$6,Variables!$B$3),'Rates from Ireland Fedex Priort'!H230)</f>
        <v>97</v>
      </c>
      <c r="I231" s="10">
        <f>IF(ISNUMBER('Rates from Ireland Fedex Priort'!I230),_xlfn.CEILING.MATH('Rates from Ireland Fedex Priort'!I230,1)+IF($A231="EU",Variables!$B$6,Variables!$B$3),'Rates from Ireland Fedex Priort'!I230)</f>
        <v>107</v>
      </c>
      <c r="J231" s="10" t="str">
        <f>IF(ISNUMBER('Rates from Ireland Fedex Priort'!J230),_xlfn.CEILING.MATH('Rates from Ireland Fedex Priort'!J230,1)+IF($A231="EU",Variables!$B$6,Variables!$B$3),'Rates from Ireland Fedex Priort'!J230)</f>
        <v>No service</v>
      </c>
      <c r="K231" s="10" t="str">
        <f>IF(ISNUMBER('Rates from Ireland Fedex Priort'!K230),_xlfn.CEILING.MATH('Rates from Ireland Fedex Priort'!K230,1)+IF($A231="EU",Variables!$B$6,Variables!$B$3),'Rates from Ireland Fedex Priort'!K230)</f>
        <v>No service</v>
      </c>
      <c r="L231" s="10" t="str">
        <f>IF(ISNUMBER('Rates from Ireland Fedex Priort'!L230),_xlfn.CEILING.MATH('Rates from Ireland Fedex Priort'!L230,1)+IF($A231="EU",Variables!$B$6,Variables!$B$3),'Rates from Ireland Fedex Priort'!L230)</f>
        <v>No service</v>
      </c>
      <c r="M231" s="10" t="str">
        <f>IF(ISNUMBER('Rates from Ireland Fedex Priort'!M230),_xlfn.CEILING.MATH('Rates from Ireland Fedex Priort'!M230,1)+IF($A231="EU",Variables!$B$6,Variables!$B$3),'Rates from Ireland Fedex Priort'!M230)</f>
        <v>No service</v>
      </c>
      <c r="N231" s="10">
        <f>IF(ISNUMBER('Rates from Ireland Fedex Priort'!N230),_xlfn.CEILING.MATH('Rates from Ireland Fedex Priort'!N230,1)+IF($A231="EU",Variables!$B$6,Variables!$B$3),'Rates from Ireland Fedex Priort'!N230)</f>
        <v>164</v>
      </c>
      <c r="O231" s="11" t="s">
        <v>61</v>
      </c>
      <c r="P231" s="11" t="s">
        <v>187</v>
      </c>
      <c r="Q231" s="12">
        <v>80</v>
      </c>
      <c r="R231" s="11" t="s">
        <v>25</v>
      </c>
      <c r="S231" s="3" t="s">
        <v>26</v>
      </c>
      <c r="T231" s="38" t="s">
        <v>27</v>
      </c>
    </row>
    <row r="232" spans="1:20" ht="15.75" customHeight="1" x14ac:dyDescent="0.3">
      <c r="A232" s="39" t="str">
        <f>IF('Rates from Ireland Fedex Priort'!A231="","",'Rates from Ireland Fedex Priort'!A231)</f>
        <v>EU</v>
      </c>
      <c r="B232" s="8" t="str">
        <f>IF('Rates from Ireland Fedex Priort'!B231="","",'Rates from Ireland Fedex Priort'!B231)</f>
        <v>Ireland</v>
      </c>
      <c r="C232" s="9" t="str">
        <f>IF('Rates from Ireland Fedex Priort'!C231="","",'Rates from Ireland Fedex Priort'!C231)</f>
        <v>Turkmenistan</v>
      </c>
      <c r="D232" s="10" t="str">
        <f>IF(ISNUMBER('Rates from Ireland Fedex Priort'!D231),_xlfn.CEILING.MATH('Rates from Ireland Fedex Priort'!D231,1)+IF($A232="EU",Variables!$B$5,Variables!$B$2),'Rates from Ireland Fedex Priort'!D231)</f>
        <v>No service</v>
      </c>
      <c r="E232" s="10" t="str">
        <f>IF(ISNUMBER('Rates from Ireland Fedex Priort'!E231),_xlfn.CEILING.MATH('Rates from Ireland Fedex Priort'!E231,1)+IF($A232="EU",Variables!$B$6,Variables!$B$3),'Rates from Ireland Fedex Priort'!E231)</f>
        <v>No service</v>
      </c>
      <c r="F232" s="10" t="str">
        <f>IF(ISNUMBER('Rates from Ireland Fedex Priort'!F231),_xlfn.CEILING.MATH('Rates from Ireland Fedex Priort'!F231,1)+IF($A232="EU",Variables!$B$6,Variables!$B$3),'Rates from Ireland Fedex Priort'!F231)</f>
        <v>No service</v>
      </c>
      <c r="G232" s="10" t="str">
        <f>IF(ISNUMBER('Rates from Ireland Fedex Priort'!G231),_xlfn.CEILING.MATH('Rates from Ireland Fedex Priort'!G231,1)+IF($A232="EU",Variables!$B$6,Variables!$B$3),'Rates from Ireland Fedex Priort'!G231)</f>
        <v>No service</v>
      </c>
      <c r="H232" s="10" t="str">
        <f>IF(ISNUMBER('Rates from Ireland Fedex Priort'!H231),_xlfn.CEILING.MATH('Rates from Ireland Fedex Priort'!H231,1)+IF($A232="EU",Variables!$B$6,Variables!$B$3),'Rates from Ireland Fedex Priort'!H231)</f>
        <v>No service</v>
      </c>
      <c r="I232" s="10" t="str">
        <f>IF(ISNUMBER('Rates from Ireland Fedex Priort'!I231),_xlfn.CEILING.MATH('Rates from Ireland Fedex Priort'!I231,1)+IF($A232="EU",Variables!$B$6,Variables!$B$3),'Rates from Ireland Fedex Priort'!I231)</f>
        <v>No service</v>
      </c>
      <c r="J232" s="10" t="str">
        <f>IF(ISNUMBER('Rates from Ireland Fedex Priort'!J231),_xlfn.CEILING.MATH('Rates from Ireland Fedex Priort'!J231,1)+IF($A232="EU",Variables!$B$6,Variables!$B$3),'Rates from Ireland Fedex Priort'!J231)</f>
        <v>No service</v>
      </c>
      <c r="K232" s="10" t="str">
        <f>IF(ISNUMBER('Rates from Ireland Fedex Priort'!K231),_xlfn.CEILING.MATH('Rates from Ireland Fedex Priort'!K231,1)+IF($A232="EU",Variables!$B$6,Variables!$B$3),'Rates from Ireland Fedex Priort'!K231)</f>
        <v>No service</v>
      </c>
      <c r="L232" s="10" t="str">
        <f>IF(ISNUMBER('Rates from Ireland Fedex Priort'!L231),_xlfn.CEILING.MATH('Rates from Ireland Fedex Priort'!L231,1)+IF($A232="EU",Variables!$B$6,Variables!$B$3),'Rates from Ireland Fedex Priort'!L231)</f>
        <v>No service</v>
      </c>
      <c r="M232" s="10" t="str">
        <f>IF(ISNUMBER('Rates from Ireland Fedex Priort'!M231),_xlfn.CEILING.MATH('Rates from Ireland Fedex Priort'!M231,1)+IF($A232="EU",Variables!$B$6,Variables!$B$3),'Rates from Ireland Fedex Priort'!M231)</f>
        <v>No service</v>
      </c>
      <c r="N232" s="10" t="str">
        <f>IF(ISNUMBER('Rates from Ireland Fedex Priort'!N231),_xlfn.CEILING.MATH('Rates from Ireland Fedex Priort'!N231,1)+IF($A232="EU",Variables!$B$6,Variables!$B$3),'Rates from Ireland Fedex Priort'!N231)</f>
        <v>No service</v>
      </c>
      <c r="O232" s="11"/>
      <c r="P232" s="11"/>
      <c r="Q232" s="11"/>
      <c r="R232" s="11"/>
      <c r="S232" s="3" t="s">
        <v>26</v>
      </c>
      <c r="T232" s="38" t="s">
        <v>27</v>
      </c>
    </row>
    <row r="233" spans="1:20" ht="15.75" customHeight="1" x14ac:dyDescent="0.3">
      <c r="A233" s="39" t="str">
        <f>IF('Rates from Ireland Fedex Priort'!A232="","",'Rates from Ireland Fedex Priort'!A232)</f>
        <v>EU</v>
      </c>
      <c r="B233" s="8" t="str">
        <f>IF('Rates from Ireland Fedex Priort'!B232="","",'Rates from Ireland Fedex Priort'!B232)</f>
        <v>Ireland</v>
      </c>
      <c r="C233" s="9" t="str">
        <f>IF('Rates from Ireland Fedex Priort'!C232="","",'Rates from Ireland Fedex Priort'!C232)</f>
        <v xml:space="preserve">Turks and Caicos Islands </v>
      </c>
      <c r="D233" s="10">
        <f>IF(ISNUMBER('Rates from Ireland Fedex Priort'!D232),_xlfn.CEILING.MATH('Rates from Ireland Fedex Priort'!D232,1)+IF($A233="EU",Variables!$B$5,Variables!$B$2),'Rates from Ireland Fedex Priort'!D232)</f>
        <v>71</v>
      </c>
      <c r="E233" s="10">
        <f>IF(ISNUMBER('Rates from Ireland Fedex Priort'!E232),_xlfn.CEILING.MATH('Rates from Ireland Fedex Priort'!E232,1)+IF($A233="EU",Variables!$B$6,Variables!$B$3),'Rates from Ireland Fedex Priort'!E232)</f>
        <v>77</v>
      </c>
      <c r="F233" s="10">
        <f>IF(ISNUMBER('Rates from Ireland Fedex Priort'!F232),_xlfn.CEILING.MATH('Rates from Ireland Fedex Priort'!F232,1)+IF($A233="EU",Variables!$B$6,Variables!$B$3),'Rates from Ireland Fedex Priort'!F232)</f>
        <v>81</v>
      </c>
      <c r="G233" s="10">
        <f>IF(ISNUMBER('Rates from Ireland Fedex Priort'!G232),_xlfn.CEILING.MATH('Rates from Ireland Fedex Priort'!G232,1)+IF($A233="EU",Variables!$B$6,Variables!$B$3),'Rates from Ireland Fedex Priort'!G232)</f>
        <v>96</v>
      </c>
      <c r="H233" s="10">
        <f>IF(ISNUMBER('Rates from Ireland Fedex Priort'!H232),_xlfn.CEILING.MATH('Rates from Ireland Fedex Priort'!H232,1)+IF($A233="EU",Variables!$B$6,Variables!$B$3),'Rates from Ireland Fedex Priort'!H232)</f>
        <v>117</v>
      </c>
      <c r="I233" s="10">
        <f>IF(ISNUMBER('Rates from Ireland Fedex Priort'!I232),_xlfn.CEILING.MATH('Rates from Ireland Fedex Priort'!I232,1)+IF($A233="EU",Variables!$B$6,Variables!$B$3),'Rates from Ireland Fedex Priort'!I232)</f>
        <v>219</v>
      </c>
      <c r="J233" s="10" t="str">
        <f>IF(ISNUMBER('Rates from Ireland Fedex Priort'!J232),_xlfn.CEILING.MATH('Rates from Ireland Fedex Priort'!J232,1)+IF($A233="EU",Variables!$B$6,Variables!$B$3),'Rates from Ireland Fedex Priort'!J232)</f>
        <v>No service</v>
      </c>
      <c r="K233" s="10" t="str">
        <f>IF(ISNUMBER('Rates from Ireland Fedex Priort'!K232),_xlfn.CEILING.MATH('Rates from Ireland Fedex Priort'!K232,1)+IF($A233="EU",Variables!$B$6,Variables!$B$3),'Rates from Ireland Fedex Priort'!K232)</f>
        <v>No service</v>
      </c>
      <c r="L233" s="10" t="str">
        <f>IF(ISNUMBER('Rates from Ireland Fedex Priort'!L232),_xlfn.CEILING.MATH('Rates from Ireland Fedex Priort'!L232,1)+IF($A233="EU",Variables!$B$6,Variables!$B$3),'Rates from Ireland Fedex Priort'!L232)</f>
        <v>No service</v>
      </c>
      <c r="M233" s="10" t="str">
        <f>IF(ISNUMBER('Rates from Ireland Fedex Priort'!M232),_xlfn.CEILING.MATH('Rates from Ireland Fedex Priort'!M232,1)+IF($A233="EU",Variables!$B$6,Variables!$B$3),'Rates from Ireland Fedex Priort'!M232)</f>
        <v>No service</v>
      </c>
      <c r="N233" s="10">
        <f>IF(ISNUMBER('Rates from Ireland Fedex Priort'!N232),_xlfn.CEILING.MATH('Rates from Ireland Fedex Priort'!N232,1)+IF($A233="EU",Variables!$B$6,Variables!$B$3),'Rates from Ireland Fedex Priort'!N232)</f>
        <v>422</v>
      </c>
      <c r="O233" s="11" t="s">
        <v>23</v>
      </c>
      <c r="P233" s="11" t="s">
        <v>24</v>
      </c>
      <c r="Q233" s="12">
        <v>80</v>
      </c>
      <c r="R233" s="11" t="s">
        <v>25</v>
      </c>
      <c r="S233" s="3" t="s">
        <v>26</v>
      </c>
      <c r="T233" s="38" t="s">
        <v>27</v>
      </c>
    </row>
    <row r="234" spans="1:20" ht="15.75" customHeight="1" x14ac:dyDescent="0.3">
      <c r="A234" s="39" t="str">
        <f>IF('Rates from Ireland Fedex Priort'!A233="","",'Rates from Ireland Fedex Priort'!A233)</f>
        <v>EU</v>
      </c>
      <c r="B234" s="8" t="str">
        <f>IF('Rates from Ireland Fedex Priort'!B233="","",'Rates from Ireland Fedex Priort'!B233)</f>
        <v>Ireland</v>
      </c>
      <c r="C234" s="9" t="str">
        <f>IF('Rates from Ireland Fedex Priort'!C233="","",'Rates from Ireland Fedex Priort'!C233)</f>
        <v>Tuvalu</v>
      </c>
      <c r="D234" s="10" t="str">
        <f>IF(ISNUMBER('Rates from Ireland Fedex Priort'!D233),_xlfn.CEILING.MATH('Rates from Ireland Fedex Priort'!D233,1)+IF($A234="EU",Variables!$B$5,Variables!$B$2),'Rates from Ireland Fedex Priort'!D233)</f>
        <v>No service</v>
      </c>
      <c r="E234" s="10" t="str">
        <f>IF(ISNUMBER('Rates from Ireland Fedex Priort'!E233),_xlfn.CEILING.MATH('Rates from Ireland Fedex Priort'!E233,1)+IF($A234="EU",Variables!$B$6,Variables!$B$3),'Rates from Ireland Fedex Priort'!E233)</f>
        <v>No service</v>
      </c>
      <c r="F234" s="10" t="str">
        <f>IF(ISNUMBER('Rates from Ireland Fedex Priort'!F233),_xlfn.CEILING.MATH('Rates from Ireland Fedex Priort'!F233,1)+IF($A234="EU",Variables!$B$6,Variables!$B$3),'Rates from Ireland Fedex Priort'!F233)</f>
        <v>No service</v>
      </c>
      <c r="G234" s="10" t="str">
        <f>IF(ISNUMBER('Rates from Ireland Fedex Priort'!G233),_xlfn.CEILING.MATH('Rates from Ireland Fedex Priort'!G233,1)+IF($A234="EU",Variables!$B$6,Variables!$B$3),'Rates from Ireland Fedex Priort'!G233)</f>
        <v>No service</v>
      </c>
      <c r="H234" s="10" t="str">
        <f>IF(ISNUMBER('Rates from Ireland Fedex Priort'!H233),_xlfn.CEILING.MATH('Rates from Ireland Fedex Priort'!H233,1)+IF($A234="EU",Variables!$B$6,Variables!$B$3),'Rates from Ireland Fedex Priort'!H233)</f>
        <v>No service</v>
      </c>
      <c r="I234" s="10" t="str">
        <f>IF(ISNUMBER('Rates from Ireland Fedex Priort'!I233),_xlfn.CEILING.MATH('Rates from Ireland Fedex Priort'!I233,1)+IF($A234="EU",Variables!$B$6,Variables!$B$3),'Rates from Ireland Fedex Priort'!I233)</f>
        <v>No service</v>
      </c>
      <c r="J234" s="10" t="str">
        <f>IF(ISNUMBER('Rates from Ireland Fedex Priort'!J233),_xlfn.CEILING.MATH('Rates from Ireland Fedex Priort'!J233,1)+IF($A234="EU",Variables!$B$6,Variables!$B$3),'Rates from Ireland Fedex Priort'!J233)</f>
        <v>No service</v>
      </c>
      <c r="K234" s="10" t="str">
        <f>IF(ISNUMBER('Rates from Ireland Fedex Priort'!K233),_xlfn.CEILING.MATH('Rates from Ireland Fedex Priort'!K233,1)+IF($A234="EU",Variables!$B$6,Variables!$B$3),'Rates from Ireland Fedex Priort'!K233)</f>
        <v>No service</v>
      </c>
      <c r="L234" s="10" t="str">
        <f>IF(ISNUMBER('Rates from Ireland Fedex Priort'!L233),_xlfn.CEILING.MATH('Rates from Ireland Fedex Priort'!L233,1)+IF($A234="EU",Variables!$B$6,Variables!$B$3),'Rates from Ireland Fedex Priort'!L233)</f>
        <v>No service</v>
      </c>
      <c r="M234" s="10" t="str">
        <f>IF(ISNUMBER('Rates from Ireland Fedex Priort'!M233),_xlfn.CEILING.MATH('Rates from Ireland Fedex Priort'!M233,1)+IF($A234="EU",Variables!$B$6,Variables!$B$3),'Rates from Ireland Fedex Priort'!M233)</f>
        <v>No service</v>
      </c>
      <c r="N234" s="10" t="str">
        <f>IF(ISNUMBER('Rates from Ireland Fedex Priort'!N233),_xlfn.CEILING.MATH('Rates from Ireland Fedex Priort'!N233,1)+IF($A234="EU",Variables!$B$6,Variables!$B$3),'Rates from Ireland Fedex Priort'!N233)</f>
        <v>No service</v>
      </c>
      <c r="O234" s="11"/>
      <c r="P234" s="11"/>
      <c r="Q234" s="11"/>
      <c r="R234" s="11"/>
      <c r="S234" s="3" t="s">
        <v>26</v>
      </c>
      <c r="T234" s="38" t="s">
        <v>27</v>
      </c>
    </row>
    <row r="235" spans="1:20" ht="15.75" customHeight="1" x14ac:dyDescent="0.3">
      <c r="A235" s="39" t="str">
        <f>IF('Rates from Ireland Fedex Priort'!A234="","",'Rates from Ireland Fedex Priort'!A234)</f>
        <v>EU</v>
      </c>
      <c r="B235" s="8" t="str">
        <f>IF('Rates from Ireland Fedex Priort'!B234="","",'Rates from Ireland Fedex Priort'!B234)</f>
        <v>Ireland</v>
      </c>
      <c r="C235" s="9" t="str">
        <f>IF('Rates from Ireland Fedex Priort'!C234="","",'Rates from Ireland Fedex Priort'!C234)</f>
        <v>U.S. Virgin Islands (US)</v>
      </c>
      <c r="D235" s="10" t="str">
        <f>IF(ISNUMBER('Rates from Ireland Fedex Priort'!D234),_xlfn.CEILING.MATH('Rates from Ireland Fedex Priort'!D234,1)+IF($A235="EU",Variables!$B$5,Variables!$B$2),'Rates from Ireland Fedex Priort'!D234)</f>
        <v>No service</v>
      </c>
      <c r="E235" s="10" t="str">
        <f>IF(ISNUMBER('Rates from Ireland Fedex Priort'!E234),_xlfn.CEILING.MATH('Rates from Ireland Fedex Priort'!E234,1)+IF($A235="EU",Variables!$B$6,Variables!$B$3),'Rates from Ireland Fedex Priort'!E234)</f>
        <v>No service</v>
      </c>
      <c r="F235" s="10" t="str">
        <f>IF(ISNUMBER('Rates from Ireland Fedex Priort'!F234),_xlfn.CEILING.MATH('Rates from Ireland Fedex Priort'!F234,1)+IF($A235="EU",Variables!$B$6,Variables!$B$3),'Rates from Ireland Fedex Priort'!F234)</f>
        <v>No service</v>
      </c>
      <c r="G235" s="10" t="str">
        <f>IF(ISNUMBER('Rates from Ireland Fedex Priort'!G234),_xlfn.CEILING.MATH('Rates from Ireland Fedex Priort'!G234,1)+IF($A235="EU",Variables!$B$6,Variables!$B$3),'Rates from Ireland Fedex Priort'!G234)</f>
        <v>No service</v>
      </c>
      <c r="H235" s="10" t="str">
        <f>IF(ISNUMBER('Rates from Ireland Fedex Priort'!H234),_xlfn.CEILING.MATH('Rates from Ireland Fedex Priort'!H234,1)+IF($A235="EU",Variables!$B$6,Variables!$B$3),'Rates from Ireland Fedex Priort'!H234)</f>
        <v>No service</v>
      </c>
      <c r="I235" s="10" t="str">
        <f>IF(ISNUMBER('Rates from Ireland Fedex Priort'!I234),_xlfn.CEILING.MATH('Rates from Ireland Fedex Priort'!I234,1)+IF($A235="EU",Variables!$B$6,Variables!$B$3),'Rates from Ireland Fedex Priort'!I234)</f>
        <v>No service</v>
      </c>
      <c r="J235" s="10" t="str">
        <f>IF(ISNUMBER('Rates from Ireland Fedex Priort'!J234),_xlfn.CEILING.MATH('Rates from Ireland Fedex Priort'!J234,1)+IF($A235="EU",Variables!$B$6,Variables!$B$3),'Rates from Ireland Fedex Priort'!J234)</f>
        <v>No service</v>
      </c>
      <c r="K235" s="10" t="str">
        <f>IF(ISNUMBER('Rates from Ireland Fedex Priort'!K234),_xlfn.CEILING.MATH('Rates from Ireland Fedex Priort'!K234,1)+IF($A235="EU",Variables!$B$6,Variables!$B$3),'Rates from Ireland Fedex Priort'!K234)</f>
        <v>No service</v>
      </c>
      <c r="L235" s="10" t="str">
        <f>IF(ISNUMBER('Rates from Ireland Fedex Priort'!L234),_xlfn.CEILING.MATH('Rates from Ireland Fedex Priort'!L234,1)+IF($A235="EU",Variables!$B$6,Variables!$B$3),'Rates from Ireland Fedex Priort'!L234)</f>
        <v>No service</v>
      </c>
      <c r="M235" s="10" t="str">
        <f>IF(ISNUMBER('Rates from Ireland Fedex Priort'!M234),_xlfn.CEILING.MATH('Rates from Ireland Fedex Priort'!M234,1)+IF($A235="EU",Variables!$B$6,Variables!$B$3),'Rates from Ireland Fedex Priort'!M234)</f>
        <v>No service</v>
      </c>
      <c r="N235" s="10" t="str">
        <f>IF(ISNUMBER('Rates from Ireland Fedex Priort'!N234),_xlfn.CEILING.MATH('Rates from Ireland Fedex Priort'!N234,1)+IF($A235="EU",Variables!$B$6,Variables!$B$3),'Rates from Ireland Fedex Priort'!N234)</f>
        <v>No service</v>
      </c>
      <c r="O235" s="11"/>
      <c r="P235" s="11"/>
      <c r="Q235" s="11"/>
      <c r="R235" s="11"/>
      <c r="S235" s="3" t="s">
        <v>26</v>
      </c>
      <c r="T235" s="38" t="s">
        <v>27</v>
      </c>
    </row>
    <row r="236" spans="1:20" ht="15.75" customHeight="1" x14ac:dyDescent="0.3">
      <c r="A236" s="39" t="str">
        <f>IF('Rates from Ireland Fedex Priort'!A235="","",'Rates from Ireland Fedex Priort'!A235)</f>
        <v>EU</v>
      </c>
      <c r="B236" s="8" t="str">
        <f>IF('Rates from Ireland Fedex Priort'!B235="","",'Rates from Ireland Fedex Priort'!B235)</f>
        <v>Ireland</v>
      </c>
      <c r="C236" s="9" t="str">
        <f>IF('Rates from Ireland Fedex Priort'!C235="","",'Rates from Ireland Fedex Priort'!C235)</f>
        <v>Uganda</v>
      </c>
      <c r="D236" s="10">
        <f>IF(ISNUMBER('Rates from Ireland Fedex Priort'!D235),_xlfn.CEILING.MATH('Rates from Ireland Fedex Priort'!D235,1)+IF($A236="EU",Variables!$B$5,Variables!$B$2),'Rates from Ireland Fedex Priort'!D235)</f>
        <v>75</v>
      </c>
      <c r="E236" s="10">
        <f>IF(ISNUMBER('Rates from Ireland Fedex Priort'!E235),_xlfn.CEILING.MATH('Rates from Ireland Fedex Priort'!E235,1)+IF($A236="EU",Variables!$B$6,Variables!$B$3),'Rates from Ireland Fedex Priort'!E235)</f>
        <v>83</v>
      </c>
      <c r="F236" s="10">
        <f>IF(ISNUMBER('Rates from Ireland Fedex Priort'!F235),_xlfn.CEILING.MATH('Rates from Ireland Fedex Priort'!F235,1)+IF($A236="EU",Variables!$B$6,Variables!$B$3),'Rates from Ireland Fedex Priort'!F235)</f>
        <v>88</v>
      </c>
      <c r="G236" s="10">
        <f>IF(ISNUMBER('Rates from Ireland Fedex Priort'!G235),_xlfn.CEILING.MATH('Rates from Ireland Fedex Priort'!G235,1)+IF($A236="EU",Variables!$B$6,Variables!$B$3),'Rates from Ireland Fedex Priort'!G235)</f>
        <v>106</v>
      </c>
      <c r="H236" s="10">
        <f>IF(ISNUMBER('Rates from Ireland Fedex Priort'!H235),_xlfn.CEILING.MATH('Rates from Ireland Fedex Priort'!H235,1)+IF($A236="EU",Variables!$B$6,Variables!$B$3),'Rates from Ireland Fedex Priort'!H235)</f>
        <v>134</v>
      </c>
      <c r="I236" s="10">
        <f>IF(ISNUMBER('Rates from Ireland Fedex Priort'!I235),_xlfn.CEILING.MATH('Rates from Ireland Fedex Priort'!I235,1)+IF($A236="EU",Variables!$B$6,Variables!$B$3),'Rates from Ireland Fedex Priort'!I235)</f>
        <v>242</v>
      </c>
      <c r="J236" s="10" t="str">
        <f>IF(ISNUMBER('Rates from Ireland Fedex Priort'!J235),_xlfn.CEILING.MATH('Rates from Ireland Fedex Priort'!J235,1)+IF($A236="EU",Variables!$B$6,Variables!$B$3),'Rates from Ireland Fedex Priort'!J235)</f>
        <v>No service</v>
      </c>
      <c r="K236" s="10" t="str">
        <f>IF(ISNUMBER('Rates from Ireland Fedex Priort'!K235),_xlfn.CEILING.MATH('Rates from Ireland Fedex Priort'!K235,1)+IF($A236="EU",Variables!$B$6,Variables!$B$3),'Rates from Ireland Fedex Priort'!K235)</f>
        <v>No service</v>
      </c>
      <c r="L236" s="10" t="str">
        <f>IF(ISNUMBER('Rates from Ireland Fedex Priort'!L235),_xlfn.CEILING.MATH('Rates from Ireland Fedex Priort'!L235,1)+IF($A236="EU",Variables!$B$6,Variables!$B$3),'Rates from Ireland Fedex Priort'!L235)</f>
        <v>No service</v>
      </c>
      <c r="M236" s="10" t="str">
        <f>IF(ISNUMBER('Rates from Ireland Fedex Priort'!M235),_xlfn.CEILING.MATH('Rates from Ireland Fedex Priort'!M235,1)+IF($A236="EU",Variables!$B$6,Variables!$B$3),'Rates from Ireland Fedex Priort'!M235)</f>
        <v>No service</v>
      </c>
      <c r="N236" s="10">
        <f>IF(ISNUMBER('Rates from Ireland Fedex Priort'!N235),_xlfn.CEILING.MATH('Rates from Ireland Fedex Priort'!N235,1)+IF($A236="EU",Variables!$B$6,Variables!$B$3),'Rates from Ireland Fedex Priort'!N235)</f>
        <v>454</v>
      </c>
      <c r="O236" s="11" t="s">
        <v>271</v>
      </c>
      <c r="P236" s="11" t="s">
        <v>271</v>
      </c>
      <c r="Q236" s="12">
        <v>80</v>
      </c>
      <c r="R236" s="11" t="s">
        <v>25</v>
      </c>
      <c r="S236" s="3" t="s">
        <v>26</v>
      </c>
      <c r="T236" s="38" t="s">
        <v>27</v>
      </c>
    </row>
    <row r="237" spans="1:20" ht="15.75" customHeight="1" x14ac:dyDescent="0.3">
      <c r="A237" s="39" t="str">
        <f>IF('Rates from Ireland Fedex Priort'!A236="","",'Rates from Ireland Fedex Priort'!A236)</f>
        <v>EU</v>
      </c>
      <c r="B237" s="8" t="str">
        <f>IF('Rates from Ireland Fedex Priort'!B236="","",'Rates from Ireland Fedex Priort'!B236)</f>
        <v>Ireland</v>
      </c>
      <c r="C237" s="9" t="str">
        <f>IF('Rates from Ireland Fedex Priort'!C236="","",'Rates from Ireland Fedex Priort'!C236)</f>
        <v>Ukraine</v>
      </c>
      <c r="D237" s="10" t="str">
        <f>IF(ISNUMBER('Rates from Ireland Fedex Priort'!D236),_xlfn.CEILING.MATH('Rates from Ireland Fedex Priort'!D236,1)+IF($A237="EU",Variables!$B$5,Variables!$B$2),'Rates from Ireland Fedex Priort'!D236)</f>
        <v>No service</v>
      </c>
      <c r="E237" s="10" t="str">
        <f>IF(ISNUMBER('Rates from Ireland Fedex Priort'!E236),_xlfn.CEILING.MATH('Rates from Ireland Fedex Priort'!E236,1)+IF($A237="EU",Variables!$B$6,Variables!$B$3),'Rates from Ireland Fedex Priort'!E236)</f>
        <v>No service</v>
      </c>
      <c r="F237" s="10" t="str">
        <f>IF(ISNUMBER('Rates from Ireland Fedex Priort'!F236),_xlfn.CEILING.MATH('Rates from Ireland Fedex Priort'!F236,1)+IF($A237="EU",Variables!$B$6,Variables!$B$3),'Rates from Ireland Fedex Priort'!F236)</f>
        <v>No service</v>
      </c>
      <c r="G237" s="10" t="str">
        <f>IF(ISNUMBER('Rates from Ireland Fedex Priort'!G236),_xlfn.CEILING.MATH('Rates from Ireland Fedex Priort'!G236,1)+IF($A237="EU",Variables!$B$6,Variables!$B$3),'Rates from Ireland Fedex Priort'!G236)</f>
        <v>No service</v>
      </c>
      <c r="H237" s="10" t="str">
        <f>IF(ISNUMBER('Rates from Ireland Fedex Priort'!H236),_xlfn.CEILING.MATH('Rates from Ireland Fedex Priort'!H236,1)+IF($A237="EU",Variables!$B$6,Variables!$B$3),'Rates from Ireland Fedex Priort'!H236)</f>
        <v>No service</v>
      </c>
      <c r="I237" s="10" t="str">
        <f>IF(ISNUMBER('Rates from Ireland Fedex Priort'!I236),_xlfn.CEILING.MATH('Rates from Ireland Fedex Priort'!I236,1)+IF($A237="EU",Variables!$B$6,Variables!$B$3),'Rates from Ireland Fedex Priort'!I236)</f>
        <v>No service</v>
      </c>
      <c r="J237" s="10" t="str">
        <f>IF(ISNUMBER('Rates from Ireland Fedex Priort'!J236),_xlfn.CEILING.MATH('Rates from Ireland Fedex Priort'!J236,1)+IF($A237="EU",Variables!$B$6,Variables!$B$3),'Rates from Ireland Fedex Priort'!J236)</f>
        <v>No service</v>
      </c>
      <c r="K237" s="10" t="str">
        <f>IF(ISNUMBER('Rates from Ireland Fedex Priort'!K236),_xlfn.CEILING.MATH('Rates from Ireland Fedex Priort'!K236,1)+IF($A237="EU",Variables!$B$6,Variables!$B$3),'Rates from Ireland Fedex Priort'!K236)</f>
        <v>No service</v>
      </c>
      <c r="L237" s="10" t="str">
        <f>IF(ISNUMBER('Rates from Ireland Fedex Priort'!L236),_xlfn.CEILING.MATH('Rates from Ireland Fedex Priort'!L236,1)+IF($A237="EU",Variables!$B$6,Variables!$B$3),'Rates from Ireland Fedex Priort'!L236)</f>
        <v>No service</v>
      </c>
      <c r="M237" s="10" t="str">
        <f>IF(ISNUMBER('Rates from Ireland Fedex Priort'!M236),_xlfn.CEILING.MATH('Rates from Ireland Fedex Priort'!M236,1)+IF($A237="EU",Variables!$B$6,Variables!$B$3),'Rates from Ireland Fedex Priort'!M236)</f>
        <v>No service</v>
      </c>
      <c r="N237" s="10" t="str">
        <f>IF(ISNUMBER('Rates from Ireland Fedex Priort'!N236),_xlfn.CEILING.MATH('Rates from Ireland Fedex Priort'!N236,1)+IF($A237="EU",Variables!$B$6,Variables!$B$3),'Rates from Ireland Fedex Priort'!N236)</f>
        <v>No service</v>
      </c>
      <c r="O237" s="11"/>
      <c r="P237" s="11"/>
      <c r="Q237" s="11"/>
      <c r="R237" s="11"/>
      <c r="S237" s="3" t="s">
        <v>26</v>
      </c>
      <c r="T237" s="38" t="s">
        <v>27</v>
      </c>
    </row>
    <row r="238" spans="1:20" ht="15.75" customHeight="1" x14ac:dyDescent="0.3">
      <c r="A238" s="39" t="str">
        <f>IF('Rates from Ireland Fedex Priort'!A237="","",'Rates from Ireland Fedex Priort'!A237)</f>
        <v>EU</v>
      </c>
      <c r="B238" s="8" t="str">
        <f>IF('Rates from Ireland Fedex Priort'!B237="","",'Rates from Ireland Fedex Priort'!B237)</f>
        <v>Ireland</v>
      </c>
      <c r="C238" s="9" t="str">
        <f>IF('Rates from Ireland Fedex Priort'!C237="","",'Rates from Ireland Fedex Priort'!C237)</f>
        <v>United Arab Emirates</v>
      </c>
      <c r="D238" s="10">
        <f>IF(ISNUMBER('Rates from Ireland Fedex Priort'!D237),_xlfn.CEILING.MATH('Rates from Ireland Fedex Priort'!D237,1)+IF($A238="EU",Variables!$B$5,Variables!$B$2),'Rates from Ireland Fedex Priort'!D237)</f>
        <v>67</v>
      </c>
      <c r="E238" s="10">
        <f>IF(ISNUMBER('Rates from Ireland Fedex Priort'!E237),_xlfn.CEILING.MATH('Rates from Ireland Fedex Priort'!E237,1)+IF($A238="EU",Variables!$B$6,Variables!$B$3),'Rates from Ireland Fedex Priort'!E237)</f>
        <v>69</v>
      </c>
      <c r="F238" s="10">
        <f>IF(ISNUMBER('Rates from Ireland Fedex Priort'!F237),_xlfn.CEILING.MATH('Rates from Ireland Fedex Priort'!F237,1)+IF($A238="EU",Variables!$B$6,Variables!$B$3),'Rates from Ireland Fedex Priort'!F237)</f>
        <v>72</v>
      </c>
      <c r="G238" s="10">
        <f>IF(ISNUMBER('Rates from Ireland Fedex Priort'!G237),_xlfn.CEILING.MATH('Rates from Ireland Fedex Priort'!G237,1)+IF($A238="EU",Variables!$B$6,Variables!$B$3),'Rates from Ireland Fedex Priort'!G237)</f>
        <v>86</v>
      </c>
      <c r="H238" s="10">
        <f>IF(ISNUMBER('Rates from Ireland Fedex Priort'!H237),_xlfn.CEILING.MATH('Rates from Ireland Fedex Priort'!H237,1)+IF($A238="EU",Variables!$B$6,Variables!$B$3),'Rates from Ireland Fedex Priort'!H237)</f>
        <v>111</v>
      </c>
      <c r="I238" s="10">
        <f>IF(ISNUMBER('Rates from Ireland Fedex Priort'!I237),_xlfn.CEILING.MATH('Rates from Ireland Fedex Priort'!I237,1)+IF($A238="EU",Variables!$B$6,Variables!$B$3),'Rates from Ireland Fedex Priort'!I237)</f>
        <v>174</v>
      </c>
      <c r="J238" s="10" t="str">
        <f>IF(ISNUMBER('Rates from Ireland Fedex Priort'!J237),_xlfn.CEILING.MATH('Rates from Ireland Fedex Priort'!J237,1)+IF($A238="EU",Variables!$B$6,Variables!$B$3),'Rates from Ireland Fedex Priort'!J237)</f>
        <v>No service</v>
      </c>
      <c r="K238" s="10" t="str">
        <f>IF(ISNUMBER('Rates from Ireland Fedex Priort'!K237),_xlfn.CEILING.MATH('Rates from Ireland Fedex Priort'!K237,1)+IF($A238="EU",Variables!$B$6,Variables!$B$3),'Rates from Ireland Fedex Priort'!K237)</f>
        <v>No service</v>
      </c>
      <c r="L238" s="10" t="str">
        <f>IF(ISNUMBER('Rates from Ireland Fedex Priort'!L237),_xlfn.CEILING.MATH('Rates from Ireland Fedex Priort'!L237,1)+IF($A238="EU",Variables!$B$6,Variables!$B$3),'Rates from Ireland Fedex Priort'!L237)</f>
        <v>No service</v>
      </c>
      <c r="M238" s="10" t="str">
        <f>IF(ISNUMBER('Rates from Ireland Fedex Priort'!M237),_xlfn.CEILING.MATH('Rates from Ireland Fedex Priort'!M237,1)+IF($A238="EU",Variables!$B$6,Variables!$B$3),'Rates from Ireland Fedex Priort'!M237)</f>
        <v>No service</v>
      </c>
      <c r="N238" s="10">
        <f>IF(ISNUMBER('Rates from Ireland Fedex Priort'!N237),_xlfn.CEILING.MATH('Rates from Ireland Fedex Priort'!N237,1)+IF($A238="EU",Variables!$B$6,Variables!$B$3),'Rates from Ireland Fedex Priort'!N237)</f>
        <v>322</v>
      </c>
      <c r="O238" s="11" t="s">
        <v>29</v>
      </c>
      <c r="P238" s="11" t="s">
        <v>30</v>
      </c>
      <c r="Q238" s="12">
        <v>80</v>
      </c>
      <c r="R238" s="11" t="s">
        <v>25</v>
      </c>
      <c r="S238" s="3" t="s">
        <v>26</v>
      </c>
      <c r="T238" s="38" t="s">
        <v>27</v>
      </c>
    </row>
    <row r="239" spans="1:20" ht="15.75" customHeight="1" x14ac:dyDescent="0.3">
      <c r="A239" s="39" t="str">
        <f>IF('Rates from Ireland Fedex Priort'!A238="","",'Rates from Ireland Fedex Priort'!A238)</f>
        <v>EU</v>
      </c>
      <c r="B239" s="8" t="str">
        <f>IF('Rates from Ireland Fedex Priort'!B238="","",'Rates from Ireland Fedex Priort'!B238)</f>
        <v>Ireland</v>
      </c>
      <c r="C239" s="9" t="str">
        <f>IF('Rates from Ireland Fedex Priort'!C238="","",'Rates from Ireland Fedex Priort'!C238)</f>
        <v>United Kingdom</v>
      </c>
      <c r="D239" s="10">
        <f>IF(ISNUMBER('Rates from Ireland Fedex Priort'!D238),_xlfn.CEILING.MATH('Rates from Ireland Fedex Priort'!D238,1)+IF($A239="EU",Variables!$B$5,Variables!$B$2),'Rates from Ireland Fedex Priort'!D238)</f>
        <v>60</v>
      </c>
      <c r="E239" s="10">
        <f>IF(ISNUMBER('Rates from Ireland Fedex Priort'!E238),_xlfn.CEILING.MATH('Rates from Ireland Fedex Priort'!E238,1)+IF($A239="EU",Variables!$B$6,Variables!$B$3),'Rates from Ireland Fedex Priort'!E238)</f>
        <v>64</v>
      </c>
      <c r="F239" s="10">
        <f>IF(ISNUMBER('Rates from Ireland Fedex Priort'!F238),_xlfn.CEILING.MATH('Rates from Ireland Fedex Priort'!F238,1)+IF($A239="EU",Variables!$B$6,Variables!$B$3),'Rates from Ireland Fedex Priort'!F238)</f>
        <v>67</v>
      </c>
      <c r="G239" s="10">
        <f>IF(ISNUMBER('Rates from Ireland Fedex Priort'!G238),_xlfn.CEILING.MATH('Rates from Ireland Fedex Priort'!G238,1)+IF($A239="EU",Variables!$B$6,Variables!$B$3),'Rates from Ireland Fedex Priort'!G238)</f>
        <v>69</v>
      </c>
      <c r="H239" s="10">
        <f>IF(ISNUMBER('Rates from Ireland Fedex Priort'!H238),_xlfn.CEILING.MATH('Rates from Ireland Fedex Priort'!H238,1)+IF($A239="EU",Variables!$B$6,Variables!$B$3),'Rates from Ireland Fedex Priort'!H238)</f>
        <v>72</v>
      </c>
      <c r="I239" s="10">
        <f>IF(ISNUMBER('Rates from Ireland Fedex Priort'!I238),_xlfn.CEILING.MATH('Rates from Ireland Fedex Priort'!I238,1)+IF($A239="EU",Variables!$B$6,Variables!$B$3),'Rates from Ireland Fedex Priort'!I238)</f>
        <v>77</v>
      </c>
      <c r="J239" s="10" t="str">
        <f>IF(ISNUMBER('Rates from Ireland Fedex Priort'!J238),_xlfn.CEILING.MATH('Rates from Ireland Fedex Priort'!J238,1)+IF($A239="EU",Variables!$B$6,Variables!$B$3),'Rates from Ireland Fedex Priort'!J238)</f>
        <v>No service</v>
      </c>
      <c r="K239" s="10" t="str">
        <f>IF(ISNUMBER('Rates from Ireland Fedex Priort'!K238),_xlfn.CEILING.MATH('Rates from Ireland Fedex Priort'!K238,1)+IF($A239="EU",Variables!$B$6,Variables!$B$3),'Rates from Ireland Fedex Priort'!K238)</f>
        <v>No service</v>
      </c>
      <c r="L239" s="10" t="str">
        <f>IF(ISNUMBER('Rates from Ireland Fedex Priort'!L238),_xlfn.CEILING.MATH('Rates from Ireland Fedex Priort'!L238,1)+IF($A239="EU",Variables!$B$6,Variables!$B$3),'Rates from Ireland Fedex Priort'!L238)</f>
        <v>No service</v>
      </c>
      <c r="M239" s="10" t="str">
        <f>IF(ISNUMBER('Rates from Ireland Fedex Priort'!M238),_xlfn.CEILING.MATH('Rates from Ireland Fedex Priort'!M238,1)+IF($A239="EU",Variables!$B$6,Variables!$B$3),'Rates from Ireland Fedex Priort'!M238)</f>
        <v>No service</v>
      </c>
      <c r="N239" s="10">
        <f>IF(ISNUMBER('Rates from Ireland Fedex Priort'!N238),_xlfn.CEILING.MATH('Rates from Ireland Fedex Priort'!N238,1)+IF($A239="EU",Variables!$B$6,Variables!$B$3),'Rates from Ireland Fedex Priort'!N238)</f>
        <v>132</v>
      </c>
      <c r="O239" s="11" t="s">
        <v>29</v>
      </c>
      <c r="P239" s="11" t="s">
        <v>33</v>
      </c>
      <c r="Q239" s="12">
        <v>80</v>
      </c>
      <c r="R239" s="11" t="s">
        <v>25</v>
      </c>
      <c r="S239" s="3" t="s">
        <v>26</v>
      </c>
      <c r="T239" s="38" t="s">
        <v>27</v>
      </c>
    </row>
    <row r="240" spans="1:20" ht="15.75" customHeight="1" x14ac:dyDescent="0.3">
      <c r="A240" s="39" t="str">
        <f>IF('Rates from Ireland Fedex Priort'!A239="","",'Rates from Ireland Fedex Priort'!A239)</f>
        <v>EU</v>
      </c>
      <c r="B240" s="8" t="str">
        <f>IF('Rates from Ireland Fedex Priort'!B239="","",'Rates from Ireland Fedex Priort'!B239)</f>
        <v>Ireland</v>
      </c>
      <c r="C240" s="9" t="str">
        <f>IF('Rates from Ireland Fedex Priort'!C239="","",'Rates from Ireland Fedex Priort'!C239)</f>
        <v>United States</v>
      </c>
      <c r="D240" s="10">
        <f>IF(ISNUMBER('Rates from Ireland Fedex Priort'!D239),_xlfn.CEILING.MATH('Rates from Ireland Fedex Priort'!D239,1)+IF($A240="EU",Variables!$B$5,Variables!$B$2),'Rates from Ireland Fedex Priort'!D239)</f>
        <v>64</v>
      </c>
      <c r="E240" s="10">
        <f>IF(ISNUMBER('Rates from Ireland Fedex Priort'!E239),_xlfn.CEILING.MATH('Rates from Ireland Fedex Priort'!E239,1)+IF($A240="EU",Variables!$B$6,Variables!$B$3),'Rates from Ireland Fedex Priort'!E239)</f>
        <v>74</v>
      </c>
      <c r="F240" s="10">
        <f>IF(ISNUMBER('Rates from Ireland Fedex Priort'!F239),_xlfn.CEILING.MATH('Rates from Ireland Fedex Priort'!F239,1)+IF($A240="EU",Variables!$B$6,Variables!$B$3),'Rates from Ireland Fedex Priort'!F239)</f>
        <v>78</v>
      </c>
      <c r="G240" s="10">
        <f>IF(ISNUMBER('Rates from Ireland Fedex Priort'!G239),_xlfn.CEILING.MATH('Rates from Ireland Fedex Priort'!G239,1)+IF($A240="EU",Variables!$B$6,Variables!$B$3),'Rates from Ireland Fedex Priort'!G239)</f>
        <v>94</v>
      </c>
      <c r="H240" s="10">
        <f>IF(ISNUMBER('Rates from Ireland Fedex Priort'!H239),_xlfn.CEILING.MATH('Rates from Ireland Fedex Priort'!H239,1)+IF($A240="EU",Variables!$B$6,Variables!$B$3),'Rates from Ireland Fedex Priort'!H239)</f>
        <v>114</v>
      </c>
      <c r="I240" s="10">
        <f>IF(ISNUMBER('Rates from Ireland Fedex Priort'!I239),_xlfn.CEILING.MATH('Rates from Ireland Fedex Priort'!I239,1)+IF($A240="EU",Variables!$B$6,Variables!$B$3),'Rates from Ireland Fedex Priort'!I239)</f>
        <v>176</v>
      </c>
      <c r="J240" s="10" t="str">
        <f>IF(ISNUMBER('Rates from Ireland Fedex Priort'!J239),_xlfn.CEILING.MATH('Rates from Ireland Fedex Priort'!J239,1)+IF($A240="EU",Variables!$B$6,Variables!$B$3),'Rates from Ireland Fedex Priort'!J239)</f>
        <v>No service</v>
      </c>
      <c r="K240" s="10" t="str">
        <f>IF(ISNUMBER('Rates from Ireland Fedex Priort'!K239),_xlfn.CEILING.MATH('Rates from Ireland Fedex Priort'!K239,1)+IF($A240="EU",Variables!$B$6,Variables!$B$3),'Rates from Ireland Fedex Priort'!K239)</f>
        <v>No service</v>
      </c>
      <c r="L240" s="10" t="str">
        <f>IF(ISNUMBER('Rates from Ireland Fedex Priort'!L239),_xlfn.CEILING.MATH('Rates from Ireland Fedex Priort'!L239,1)+IF($A240="EU",Variables!$B$6,Variables!$B$3),'Rates from Ireland Fedex Priort'!L239)</f>
        <v>No service</v>
      </c>
      <c r="M240" s="10" t="str">
        <f>IF(ISNUMBER('Rates from Ireland Fedex Priort'!M239),_xlfn.CEILING.MATH('Rates from Ireland Fedex Priort'!M239,1)+IF($A240="EU",Variables!$B$6,Variables!$B$3),'Rates from Ireland Fedex Priort'!M239)</f>
        <v>No service</v>
      </c>
      <c r="N240" s="10">
        <f>IF(ISNUMBER('Rates from Ireland Fedex Priort'!N239),_xlfn.CEILING.MATH('Rates from Ireland Fedex Priort'!N239,1)+IF($A240="EU",Variables!$B$6,Variables!$B$3),'Rates from Ireland Fedex Priort'!N239)</f>
        <v>327</v>
      </c>
      <c r="O240" s="11" t="s">
        <v>29</v>
      </c>
      <c r="P240" s="11" t="s">
        <v>38</v>
      </c>
      <c r="Q240" s="12">
        <v>80</v>
      </c>
      <c r="R240" s="11" t="s">
        <v>25</v>
      </c>
      <c r="S240" s="3" t="s">
        <v>26</v>
      </c>
      <c r="T240" s="38" t="s">
        <v>27</v>
      </c>
    </row>
    <row r="241" spans="1:20" ht="15.75" customHeight="1" x14ac:dyDescent="0.3">
      <c r="A241" s="39" t="str">
        <f>IF('Rates from Ireland Fedex Priort'!A240="","",'Rates from Ireland Fedex Priort'!A240)</f>
        <v>EU</v>
      </c>
      <c r="B241" s="8" t="str">
        <f>IF('Rates from Ireland Fedex Priort'!B240="","",'Rates from Ireland Fedex Priort'!B240)</f>
        <v>Ireland</v>
      </c>
      <c r="C241" s="9" t="str">
        <f>IF('Rates from Ireland Fedex Priort'!C240="","",'Rates from Ireland Fedex Priort'!C240)</f>
        <v>Uruguay</v>
      </c>
      <c r="D241" s="10">
        <f>IF(ISNUMBER('Rates from Ireland Fedex Priort'!D240),_xlfn.CEILING.MATH('Rates from Ireland Fedex Priort'!D240,1)+IF($A241="EU",Variables!$B$5,Variables!$B$2),'Rates from Ireland Fedex Priort'!D240)</f>
        <v>71</v>
      </c>
      <c r="E241" s="10">
        <f>IF(ISNUMBER('Rates from Ireland Fedex Priort'!E240),_xlfn.CEILING.MATH('Rates from Ireland Fedex Priort'!E240,1)+IF($A241="EU",Variables!$B$6,Variables!$B$3),'Rates from Ireland Fedex Priort'!E240)</f>
        <v>77</v>
      </c>
      <c r="F241" s="10">
        <f>IF(ISNUMBER('Rates from Ireland Fedex Priort'!F240),_xlfn.CEILING.MATH('Rates from Ireland Fedex Priort'!F240,1)+IF($A241="EU",Variables!$B$6,Variables!$B$3),'Rates from Ireland Fedex Priort'!F240)</f>
        <v>81</v>
      </c>
      <c r="G241" s="10">
        <f>IF(ISNUMBER('Rates from Ireland Fedex Priort'!G240),_xlfn.CEILING.MATH('Rates from Ireland Fedex Priort'!G240,1)+IF($A241="EU",Variables!$B$6,Variables!$B$3),'Rates from Ireland Fedex Priort'!G240)</f>
        <v>96</v>
      </c>
      <c r="H241" s="10">
        <f>IF(ISNUMBER('Rates from Ireland Fedex Priort'!H240),_xlfn.CEILING.MATH('Rates from Ireland Fedex Priort'!H240,1)+IF($A241="EU",Variables!$B$6,Variables!$B$3),'Rates from Ireland Fedex Priort'!H240)</f>
        <v>117</v>
      </c>
      <c r="I241" s="10">
        <f>IF(ISNUMBER('Rates from Ireland Fedex Priort'!I240),_xlfn.CEILING.MATH('Rates from Ireland Fedex Priort'!I240,1)+IF($A241="EU",Variables!$B$6,Variables!$B$3),'Rates from Ireland Fedex Priort'!I240)</f>
        <v>219</v>
      </c>
      <c r="J241" s="10" t="str">
        <f>IF(ISNUMBER('Rates from Ireland Fedex Priort'!J240),_xlfn.CEILING.MATH('Rates from Ireland Fedex Priort'!J240,1)+IF($A241="EU",Variables!$B$6,Variables!$B$3),'Rates from Ireland Fedex Priort'!J240)</f>
        <v>No service</v>
      </c>
      <c r="K241" s="10" t="str">
        <f>IF(ISNUMBER('Rates from Ireland Fedex Priort'!K240),_xlfn.CEILING.MATH('Rates from Ireland Fedex Priort'!K240,1)+IF($A241="EU",Variables!$B$6,Variables!$B$3),'Rates from Ireland Fedex Priort'!K240)</f>
        <v>No service</v>
      </c>
      <c r="L241" s="10" t="str">
        <f>IF(ISNUMBER('Rates from Ireland Fedex Priort'!L240),_xlfn.CEILING.MATH('Rates from Ireland Fedex Priort'!L240,1)+IF($A241="EU",Variables!$B$6,Variables!$B$3),'Rates from Ireland Fedex Priort'!L240)</f>
        <v>No service</v>
      </c>
      <c r="M241" s="10" t="str">
        <f>IF(ISNUMBER('Rates from Ireland Fedex Priort'!M240),_xlfn.CEILING.MATH('Rates from Ireland Fedex Priort'!M240,1)+IF($A241="EU",Variables!$B$6,Variables!$B$3),'Rates from Ireland Fedex Priort'!M240)</f>
        <v>No service</v>
      </c>
      <c r="N241" s="10">
        <f>IF(ISNUMBER('Rates from Ireland Fedex Priort'!N240),_xlfn.CEILING.MATH('Rates from Ireland Fedex Priort'!N240,1)+IF($A241="EU",Variables!$B$6,Variables!$B$3),'Rates from Ireland Fedex Priort'!N240)</f>
        <v>422</v>
      </c>
      <c r="O241" s="11" t="s">
        <v>23</v>
      </c>
      <c r="P241" s="11" t="s">
        <v>24</v>
      </c>
      <c r="Q241" s="12">
        <v>80</v>
      </c>
      <c r="R241" s="11" t="s">
        <v>25</v>
      </c>
      <c r="S241" s="3" t="s">
        <v>26</v>
      </c>
      <c r="T241" s="38" t="s">
        <v>27</v>
      </c>
    </row>
    <row r="242" spans="1:20" ht="15.75" customHeight="1" x14ac:dyDescent="0.3">
      <c r="A242" s="39" t="str">
        <f>IF('Rates from Ireland Fedex Priort'!A241="","",'Rates from Ireland Fedex Priort'!A241)</f>
        <v>EU</v>
      </c>
      <c r="B242" s="8" t="str">
        <f>IF('Rates from Ireland Fedex Priort'!B241="","",'Rates from Ireland Fedex Priort'!B241)</f>
        <v>Ireland</v>
      </c>
      <c r="C242" s="9" t="str">
        <f>IF('Rates from Ireland Fedex Priort'!C241="","",'Rates from Ireland Fedex Priort'!C241)</f>
        <v>Uzbekistan</v>
      </c>
      <c r="D242" s="10">
        <f>IF(ISNUMBER('Rates from Ireland Fedex Priort'!D241),_xlfn.CEILING.MATH('Rates from Ireland Fedex Priort'!D241,1)+IF($A242="EU",Variables!$B$5,Variables!$B$2),'Rates from Ireland Fedex Priort'!D241)</f>
        <v>75</v>
      </c>
      <c r="E242" s="10">
        <f>IF(ISNUMBER('Rates from Ireland Fedex Priort'!E241),_xlfn.CEILING.MATH('Rates from Ireland Fedex Priort'!E241,1)+IF($A242="EU",Variables!$B$6,Variables!$B$3),'Rates from Ireland Fedex Priort'!E241)</f>
        <v>83</v>
      </c>
      <c r="F242" s="10">
        <f>IF(ISNUMBER('Rates from Ireland Fedex Priort'!F241),_xlfn.CEILING.MATH('Rates from Ireland Fedex Priort'!F241,1)+IF($A242="EU",Variables!$B$6,Variables!$B$3),'Rates from Ireland Fedex Priort'!F241)</f>
        <v>88</v>
      </c>
      <c r="G242" s="10">
        <f>IF(ISNUMBER('Rates from Ireland Fedex Priort'!G241),_xlfn.CEILING.MATH('Rates from Ireland Fedex Priort'!G241,1)+IF($A242="EU",Variables!$B$6,Variables!$B$3),'Rates from Ireland Fedex Priort'!G241)</f>
        <v>106</v>
      </c>
      <c r="H242" s="10">
        <f>IF(ISNUMBER('Rates from Ireland Fedex Priort'!H241),_xlfn.CEILING.MATH('Rates from Ireland Fedex Priort'!H241,1)+IF($A242="EU",Variables!$B$6,Variables!$B$3),'Rates from Ireland Fedex Priort'!H241)</f>
        <v>134</v>
      </c>
      <c r="I242" s="10">
        <f>IF(ISNUMBER('Rates from Ireland Fedex Priort'!I241),_xlfn.CEILING.MATH('Rates from Ireland Fedex Priort'!I241,1)+IF($A242="EU",Variables!$B$6,Variables!$B$3),'Rates from Ireland Fedex Priort'!I241)</f>
        <v>242</v>
      </c>
      <c r="J242" s="10" t="str">
        <f>IF(ISNUMBER('Rates from Ireland Fedex Priort'!J241),_xlfn.CEILING.MATH('Rates from Ireland Fedex Priort'!J241,1)+IF($A242="EU",Variables!$B$6,Variables!$B$3),'Rates from Ireland Fedex Priort'!J241)</f>
        <v>No service</v>
      </c>
      <c r="K242" s="10" t="str">
        <f>IF(ISNUMBER('Rates from Ireland Fedex Priort'!K241),_xlfn.CEILING.MATH('Rates from Ireland Fedex Priort'!K241,1)+IF($A242="EU",Variables!$B$6,Variables!$B$3),'Rates from Ireland Fedex Priort'!K241)</f>
        <v>No service</v>
      </c>
      <c r="L242" s="10" t="str">
        <f>IF(ISNUMBER('Rates from Ireland Fedex Priort'!L241),_xlfn.CEILING.MATH('Rates from Ireland Fedex Priort'!L241,1)+IF($A242="EU",Variables!$B$6,Variables!$B$3),'Rates from Ireland Fedex Priort'!L241)</f>
        <v>No service</v>
      </c>
      <c r="M242" s="10" t="str">
        <f>IF(ISNUMBER('Rates from Ireland Fedex Priort'!M241),_xlfn.CEILING.MATH('Rates from Ireland Fedex Priort'!M241,1)+IF($A242="EU",Variables!$B$6,Variables!$B$3),'Rates from Ireland Fedex Priort'!M241)</f>
        <v>No service</v>
      </c>
      <c r="N242" s="10">
        <f>IF(ISNUMBER('Rates from Ireland Fedex Priort'!N241),_xlfn.CEILING.MATH('Rates from Ireland Fedex Priort'!N241,1)+IF($A242="EU",Variables!$B$6,Variables!$B$3),'Rates from Ireland Fedex Priort'!N241)</f>
        <v>454</v>
      </c>
      <c r="O242" s="11" t="s">
        <v>271</v>
      </c>
      <c r="P242" s="11" t="s">
        <v>271</v>
      </c>
      <c r="Q242" s="12">
        <v>80</v>
      </c>
      <c r="R242" s="11" t="s">
        <v>25</v>
      </c>
      <c r="S242" s="3" t="s">
        <v>26</v>
      </c>
      <c r="T242" s="38" t="s">
        <v>27</v>
      </c>
    </row>
    <row r="243" spans="1:20" ht="15.75" customHeight="1" x14ac:dyDescent="0.3">
      <c r="A243" s="39" t="str">
        <f>IF('Rates from Ireland Fedex Priort'!A242="","",'Rates from Ireland Fedex Priort'!A242)</f>
        <v>EU</v>
      </c>
      <c r="B243" s="8" t="str">
        <f>IF('Rates from Ireland Fedex Priort'!B242="","",'Rates from Ireland Fedex Priort'!B242)</f>
        <v>Ireland</v>
      </c>
      <c r="C243" s="9" t="str">
        <f>IF('Rates from Ireland Fedex Priort'!C242="","",'Rates from Ireland Fedex Priort'!C242)</f>
        <v>Vanuatu</v>
      </c>
      <c r="D243" s="10">
        <f>IF(ISNUMBER('Rates from Ireland Fedex Priort'!D242),_xlfn.CEILING.MATH('Rates from Ireland Fedex Priort'!D242,1)+IF($A243="EU",Variables!$B$5,Variables!$B$2),'Rates from Ireland Fedex Priort'!D242)</f>
        <v>75</v>
      </c>
      <c r="E243" s="10">
        <f>IF(ISNUMBER('Rates from Ireland Fedex Priort'!E242),_xlfn.CEILING.MATH('Rates from Ireland Fedex Priort'!E242,1)+IF($A243="EU",Variables!$B$6,Variables!$B$3),'Rates from Ireland Fedex Priort'!E242)</f>
        <v>83</v>
      </c>
      <c r="F243" s="10">
        <f>IF(ISNUMBER('Rates from Ireland Fedex Priort'!F242),_xlfn.CEILING.MATH('Rates from Ireland Fedex Priort'!F242,1)+IF($A243="EU",Variables!$B$6,Variables!$B$3),'Rates from Ireland Fedex Priort'!F242)</f>
        <v>88</v>
      </c>
      <c r="G243" s="10">
        <f>IF(ISNUMBER('Rates from Ireland Fedex Priort'!G242),_xlfn.CEILING.MATH('Rates from Ireland Fedex Priort'!G242,1)+IF($A243="EU",Variables!$B$6,Variables!$B$3),'Rates from Ireland Fedex Priort'!G242)</f>
        <v>106</v>
      </c>
      <c r="H243" s="10">
        <f>IF(ISNUMBER('Rates from Ireland Fedex Priort'!H242),_xlfn.CEILING.MATH('Rates from Ireland Fedex Priort'!H242,1)+IF($A243="EU",Variables!$B$6,Variables!$B$3),'Rates from Ireland Fedex Priort'!H242)</f>
        <v>134</v>
      </c>
      <c r="I243" s="10">
        <f>IF(ISNUMBER('Rates from Ireland Fedex Priort'!I242),_xlfn.CEILING.MATH('Rates from Ireland Fedex Priort'!I242,1)+IF($A243="EU",Variables!$B$6,Variables!$B$3),'Rates from Ireland Fedex Priort'!I242)</f>
        <v>242</v>
      </c>
      <c r="J243" s="10" t="str">
        <f>IF(ISNUMBER('Rates from Ireland Fedex Priort'!J242),_xlfn.CEILING.MATH('Rates from Ireland Fedex Priort'!J242,1)+IF($A243="EU",Variables!$B$6,Variables!$B$3),'Rates from Ireland Fedex Priort'!J242)</f>
        <v>No service</v>
      </c>
      <c r="K243" s="10" t="str">
        <f>IF(ISNUMBER('Rates from Ireland Fedex Priort'!K242),_xlfn.CEILING.MATH('Rates from Ireland Fedex Priort'!K242,1)+IF($A243="EU",Variables!$B$6,Variables!$B$3),'Rates from Ireland Fedex Priort'!K242)</f>
        <v>No service</v>
      </c>
      <c r="L243" s="10" t="str">
        <f>IF(ISNUMBER('Rates from Ireland Fedex Priort'!L242),_xlfn.CEILING.MATH('Rates from Ireland Fedex Priort'!L242,1)+IF($A243="EU",Variables!$B$6,Variables!$B$3),'Rates from Ireland Fedex Priort'!L242)</f>
        <v>No service</v>
      </c>
      <c r="M243" s="10" t="str">
        <f>IF(ISNUMBER('Rates from Ireland Fedex Priort'!M242),_xlfn.CEILING.MATH('Rates from Ireland Fedex Priort'!M242,1)+IF($A243="EU",Variables!$B$6,Variables!$B$3),'Rates from Ireland Fedex Priort'!M242)</f>
        <v>No service</v>
      </c>
      <c r="N243" s="10">
        <f>IF(ISNUMBER('Rates from Ireland Fedex Priort'!N242),_xlfn.CEILING.MATH('Rates from Ireland Fedex Priort'!N242,1)+IF($A243="EU",Variables!$B$6,Variables!$B$3),'Rates from Ireland Fedex Priort'!N242)</f>
        <v>454</v>
      </c>
      <c r="O243" s="11" t="s">
        <v>271</v>
      </c>
      <c r="P243" s="11" t="s">
        <v>271</v>
      </c>
      <c r="Q243" s="12">
        <v>80</v>
      </c>
      <c r="R243" s="11" t="s">
        <v>25</v>
      </c>
      <c r="S243" s="3" t="s">
        <v>26</v>
      </c>
      <c r="T243" s="38" t="s">
        <v>27</v>
      </c>
    </row>
    <row r="244" spans="1:20" ht="15.75" customHeight="1" x14ac:dyDescent="0.3">
      <c r="A244" s="39" t="str">
        <f>IF('Rates from Ireland Fedex Priort'!A243="","",'Rates from Ireland Fedex Priort'!A243)</f>
        <v>EU</v>
      </c>
      <c r="B244" s="8" t="str">
        <f>IF('Rates from Ireland Fedex Priort'!B243="","",'Rates from Ireland Fedex Priort'!B243)</f>
        <v>Ireland</v>
      </c>
      <c r="C244" s="9" t="str">
        <f>IF('Rates from Ireland Fedex Priort'!C243="","",'Rates from Ireland Fedex Priort'!C243)</f>
        <v>Vatican City</v>
      </c>
      <c r="D244" s="10">
        <f>IF(ISNUMBER('Rates from Ireland Fedex Priort'!D243),_xlfn.CEILING.MATH('Rates from Ireland Fedex Priort'!D243,1)+IF($A244="EU",Variables!$B$5,Variables!$B$2),'Rates from Ireland Fedex Priort'!D243)</f>
        <v>63</v>
      </c>
      <c r="E244" s="10">
        <f>IF(ISNUMBER('Rates from Ireland Fedex Priort'!E243),_xlfn.CEILING.MATH('Rates from Ireland Fedex Priort'!E243,1)+IF($A244="EU",Variables!$B$6,Variables!$B$3),'Rates from Ireland Fedex Priort'!E243)</f>
        <v>65</v>
      </c>
      <c r="F244" s="10">
        <f>IF(ISNUMBER('Rates from Ireland Fedex Priort'!F243),_xlfn.CEILING.MATH('Rates from Ireland Fedex Priort'!F243,1)+IF($A244="EU",Variables!$B$6,Variables!$B$3),'Rates from Ireland Fedex Priort'!F243)</f>
        <v>65</v>
      </c>
      <c r="G244" s="10">
        <f>IF(ISNUMBER('Rates from Ireland Fedex Priort'!G243),_xlfn.CEILING.MATH('Rates from Ireland Fedex Priort'!G243,1)+IF($A244="EU",Variables!$B$6,Variables!$B$3),'Rates from Ireland Fedex Priort'!G243)</f>
        <v>68</v>
      </c>
      <c r="H244" s="10">
        <f>IF(ISNUMBER('Rates from Ireland Fedex Priort'!H243),_xlfn.CEILING.MATH('Rates from Ireland Fedex Priort'!H243,1)+IF($A244="EU",Variables!$B$6,Variables!$B$3),'Rates from Ireland Fedex Priort'!H243)</f>
        <v>74</v>
      </c>
      <c r="I244" s="10">
        <f>IF(ISNUMBER('Rates from Ireland Fedex Priort'!I243),_xlfn.CEILING.MATH('Rates from Ireland Fedex Priort'!I243,1)+IF($A244="EU",Variables!$B$6,Variables!$B$3),'Rates from Ireland Fedex Priort'!I243)</f>
        <v>81</v>
      </c>
      <c r="J244" s="10" t="str">
        <f>IF(ISNUMBER('Rates from Ireland Fedex Priort'!J243),_xlfn.CEILING.MATH('Rates from Ireland Fedex Priort'!J243,1)+IF($A244="EU",Variables!$B$6,Variables!$B$3),'Rates from Ireland Fedex Priort'!J243)</f>
        <v>No service</v>
      </c>
      <c r="K244" s="10" t="str">
        <f>IF(ISNUMBER('Rates from Ireland Fedex Priort'!K243),_xlfn.CEILING.MATH('Rates from Ireland Fedex Priort'!K243,1)+IF($A244="EU",Variables!$B$6,Variables!$B$3),'Rates from Ireland Fedex Priort'!K243)</f>
        <v>No service</v>
      </c>
      <c r="L244" s="10" t="str">
        <f>IF(ISNUMBER('Rates from Ireland Fedex Priort'!L243),_xlfn.CEILING.MATH('Rates from Ireland Fedex Priort'!L243,1)+IF($A244="EU",Variables!$B$6,Variables!$B$3),'Rates from Ireland Fedex Priort'!L243)</f>
        <v>No service</v>
      </c>
      <c r="M244" s="10" t="str">
        <f>IF(ISNUMBER('Rates from Ireland Fedex Priort'!M243),_xlfn.CEILING.MATH('Rates from Ireland Fedex Priort'!M243,1)+IF($A244="EU",Variables!$B$6,Variables!$B$3),'Rates from Ireland Fedex Priort'!M243)</f>
        <v>No service</v>
      </c>
      <c r="N244" s="10">
        <f>IF(ISNUMBER('Rates from Ireland Fedex Priort'!N243),_xlfn.CEILING.MATH('Rates from Ireland Fedex Priort'!N243,1)+IF($A244="EU",Variables!$B$6,Variables!$B$3),'Rates from Ireland Fedex Priort'!N243)</f>
        <v>127</v>
      </c>
      <c r="O244" s="11" t="s">
        <v>29</v>
      </c>
      <c r="P244" s="11" t="s">
        <v>38</v>
      </c>
      <c r="Q244" s="12">
        <v>80</v>
      </c>
      <c r="R244" s="11" t="s">
        <v>25</v>
      </c>
      <c r="S244" s="3" t="s">
        <v>26</v>
      </c>
      <c r="T244" s="38" t="s">
        <v>27</v>
      </c>
    </row>
    <row r="245" spans="1:20" ht="15.75" customHeight="1" x14ac:dyDescent="0.3">
      <c r="A245" s="39" t="str">
        <f>IF('Rates from Ireland Fedex Priort'!A244="","",'Rates from Ireland Fedex Priort'!A244)</f>
        <v>EU</v>
      </c>
      <c r="B245" s="8" t="str">
        <f>IF('Rates from Ireland Fedex Priort'!B244="","",'Rates from Ireland Fedex Priort'!B244)</f>
        <v>Ireland</v>
      </c>
      <c r="C245" s="9" t="str">
        <f>IF('Rates from Ireland Fedex Priort'!C244="","",'Rates from Ireland Fedex Priort'!C244)</f>
        <v>Venezuela</v>
      </c>
      <c r="D245" s="10" t="str">
        <f>IF(ISNUMBER('Rates from Ireland Fedex Priort'!D244),_xlfn.CEILING.MATH('Rates from Ireland Fedex Priort'!D244,1)+IF($A245="EU",Variables!$B$5,Variables!$B$2),'Rates from Ireland Fedex Priort'!D244)</f>
        <v>No service</v>
      </c>
      <c r="E245" s="10" t="str">
        <f>IF(ISNUMBER('Rates from Ireland Fedex Priort'!E244),_xlfn.CEILING.MATH('Rates from Ireland Fedex Priort'!E244,1)+IF($A245="EU",Variables!$B$6,Variables!$B$3),'Rates from Ireland Fedex Priort'!E244)</f>
        <v>No service</v>
      </c>
      <c r="F245" s="10" t="str">
        <f>IF(ISNUMBER('Rates from Ireland Fedex Priort'!F244),_xlfn.CEILING.MATH('Rates from Ireland Fedex Priort'!F244,1)+IF($A245="EU",Variables!$B$6,Variables!$B$3),'Rates from Ireland Fedex Priort'!F244)</f>
        <v>No service</v>
      </c>
      <c r="G245" s="10" t="str">
        <f>IF(ISNUMBER('Rates from Ireland Fedex Priort'!G244),_xlfn.CEILING.MATH('Rates from Ireland Fedex Priort'!G244,1)+IF($A245="EU",Variables!$B$6,Variables!$B$3),'Rates from Ireland Fedex Priort'!G244)</f>
        <v>No service</v>
      </c>
      <c r="H245" s="10" t="str">
        <f>IF(ISNUMBER('Rates from Ireland Fedex Priort'!H244),_xlfn.CEILING.MATH('Rates from Ireland Fedex Priort'!H244,1)+IF($A245="EU",Variables!$B$6,Variables!$B$3),'Rates from Ireland Fedex Priort'!H244)</f>
        <v>No service</v>
      </c>
      <c r="I245" s="10" t="str">
        <f>IF(ISNUMBER('Rates from Ireland Fedex Priort'!I244),_xlfn.CEILING.MATH('Rates from Ireland Fedex Priort'!I244,1)+IF($A245="EU",Variables!$B$6,Variables!$B$3),'Rates from Ireland Fedex Priort'!I244)</f>
        <v>No service</v>
      </c>
      <c r="J245" s="10" t="str">
        <f>IF(ISNUMBER('Rates from Ireland Fedex Priort'!J244),_xlfn.CEILING.MATH('Rates from Ireland Fedex Priort'!J244,1)+IF($A245="EU",Variables!$B$6,Variables!$B$3),'Rates from Ireland Fedex Priort'!J244)</f>
        <v>No service</v>
      </c>
      <c r="K245" s="10" t="str">
        <f>IF(ISNUMBER('Rates from Ireland Fedex Priort'!K244),_xlfn.CEILING.MATH('Rates from Ireland Fedex Priort'!K244,1)+IF($A245="EU",Variables!$B$6,Variables!$B$3),'Rates from Ireland Fedex Priort'!K244)</f>
        <v>No service</v>
      </c>
      <c r="L245" s="10" t="str">
        <f>IF(ISNUMBER('Rates from Ireland Fedex Priort'!L244),_xlfn.CEILING.MATH('Rates from Ireland Fedex Priort'!L244,1)+IF($A245="EU",Variables!$B$6,Variables!$B$3),'Rates from Ireland Fedex Priort'!L244)</f>
        <v>No service</v>
      </c>
      <c r="M245" s="10" t="str">
        <f>IF(ISNUMBER('Rates from Ireland Fedex Priort'!M244),_xlfn.CEILING.MATH('Rates from Ireland Fedex Priort'!M244,1)+IF($A245="EU",Variables!$B$6,Variables!$B$3),'Rates from Ireland Fedex Priort'!M244)</f>
        <v>No service</v>
      </c>
      <c r="N245" s="10" t="str">
        <f>IF(ISNUMBER('Rates from Ireland Fedex Priort'!N244),_xlfn.CEILING.MATH('Rates from Ireland Fedex Priort'!N244,1)+IF($A245="EU",Variables!$B$6,Variables!$B$3),'Rates from Ireland Fedex Priort'!N244)</f>
        <v>No service</v>
      </c>
      <c r="O245" s="11"/>
      <c r="P245" s="11"/>
      <c r="Q245" s="11"/>
      <c r="R245" s="11"/>
      <c r="S245" s="3" t="s">
        <v>26</v>
      </c>
      <c r="T245" s="38" t="s">
        <v>27</v>
      </c>
    </row>
    <row r="246" spans="1:20" ht="15.75" customHeight="1" x14ac:dyDescent="0.3">
      <c r="A246" s="39" t="str">
        <f>IF('Rates from Ireland Fedex Priort'!A245="","",'Rates from Ireland Fedex Priort'!A245)</f>
        <v>EU</v>
      </c>
      <c r="B246" s="8" t="str">
        <f>IF('Rates from Ireland Fedex Priort'!B245="","",'Rates from Ireland Fedex Priort'!B245)</f>
        <v>Ireland</v>
      </c>
      <c r="C246" s="9" t="str">
        <f>IF('Rates from Ireland Fedex Priort'!C245="","",'Rates from Ireland Fedex Priort'!C245)</f>
        <v>Vietnam</v>
      </c>
      <c r="D246" s="10">
        <f>IF(ISNUMBER('Rates from Ireland Fedex Priort'!D245),_xlfn.CEILING.MATH('Rates from Ireland Fedex Priort'!D245,1)+IF($A246="EU",Variables!$B$5,Variables!$B$2),'Rates from Ireland Fedex Priort'!D245)</f>
        <v>69</v>
      </c>
      <c r="E246" s="10">
        <f>IF(ISNUMBER('Rates from Ireland Fedex Priort'!E245),_xlfn.CEILING.MATH('Rates from Ireland Fedex Priort'!E245,1)+IF($A246="EU",Variables!$B$6,Variables!$B$3),'Rates from Ireland Fedex Priort'!E245)</f>
        <v>73</v>
      </c>
      <c r="F246" s="10">
        <f>IF(ISNUMBER('Rates from Ireland Fedex Priort'!F245),_xlfn.CEILING.MATH('Rates from Ireland Fedex Priort'!F245,1)+IF($A246="EU",Variables!$B$6,Variables!$B$3),'Rates from Ireland Fedex Priort'!F245)</f>
        <v>79</v>
      </c>
      <c r="G246" s="10">
        <f>IF(ISNUMBER('Rates from Ireland Fedex Priort'!G245),_xlfn.CEILING.MATH('Rates from Ireland Fedex Priort'!G245,1)+IF($A246="EU",Variables!$B$6,Variables!$B$3),'Rates from Ireland Fedex Priort'!G245)</f>
        <v>95</v>
      </c>
      <c r="H246" s="10">
        <f>IF(ISNUMBER('Rates from Ireland Fedex Priort'!H245),_xlfn.CEILING.MATH('Rates from Ireland Fedex Priort'!H245,1)+IF($A246="EU",Variables!$B$6,Variables!$B$3),'Rates from Ireland Fedex Priort'!H245)</f>
        <v>118</v>
      </c>
      <c r="I246" s="10">
        <f>IF(ISNUMBER('Rates from Ireland Fedex Priort'!I245),_xlfn.CEILING.MATH('Rates from Ireland Fedex Priort'!I245,1)+IF($A246="EU",Variables!$B$6,Variables!$B$3),'Rates from Ireland Fedex Priort'!I245)</f>
        <v>179</v>
      </c>
      <c r="J246" s="10" t="str">
        <f>IF(ISNUMBER('Rates from Ireland Fedex Priort'!J245),_xlfn.CEILING.MATH('Rates from Ireland Fedex Priort'!J245,1)+IF($A246="EU",Variables!$B$6,Variables!$B$3),'Rates from Ireland Fedex Priort'!J245)</f>
        <v>No service</v>
      </c>
      <c r="K246" s="10" t="str">
        <f>IF(ISNUMBER('Rates from Ireland Fedex Priort'!K245),_xlfn.CEILING.MATH('Rates from Ireland Fedex Priort'!K245,1)+IF($A246="EU",Variables!$B$6,Variables!$B$3),'Rates from Ireland Fedex Priort'!K245)</f>
        <v>No service</v>
      </c>
      <c r="L246" s="10" t="str">
        <f>IF(ISNUMBER('Rates from Ireland Fedex Priort'!L245),_xlfn.CEILING.MATH('Rates from Ireland Fedex Priort'!L245,1)+IF($A246="EU",Variables!$B$6,Variables!$B$3),'Rates from Ireland Fedex Priort'!L245)</f>
        <v>No service</v>
      </c>
      <c r="M246" s="10" t="str">
        <f>IF(ISNUMBER('Rates from Ireland Fedex Priort'!M245),_xlfn.CEILING.MATH('Rates from Ireland Fedex Priort'!M245,1)+IF($A246="EU",Variables!$B$6,Variables!$B$3),'Rates from Ireland Fedex Priort'!M245)</f>
        <v>No service</v>
      </c>
      <c r="N246" s="10">
        <f>IF(ISNUMBER('Rates from Ireland Fedex Priort'!N245),_xlfn.CEILING.MATH('Rates from Ireland Fedex Priort'!N245,1)+IF($A246="EU",Variables!$B$6,Variables!$B$3),'Rates from Ireland Fedex Priort'!N245)</f>
        <v>330</v>
      </c>
      <c r="O246" s="11" t="s">
        <v>38</v>
      </c>
      <c r="P246" s="11" t="s">
        <v>24</v>
      </c>
      <c r="Q246" s="12">
        <v>80</v>
      </c>
      <c r="R246" s="11" t="s">
        <v>25</v>
      </c>
      <c r="S246" s="3" t="s">
        <v>26</v>
      </c>
      <c r="T246" s="38" t="s">
        <v>27</v>
      </c>
    </row>
    <row r="247" spans="1:20" ht="15.75" customHeight="1" x14ac:dyDescent="0.3">
      <c r="A247" s="39" t="str">
        <f>IF('Rates from Ireland Fedex Priort'!A246="","",'Rates from Ireland Fedex Priort'!A246)</f>
        <v>EU</v>
      </c>
      <c r="B247" s="8" t="str">
        <f>IF('Rates from Ireland Fedex Priort'!B246="","",'Rates from Ireland Fedex Priort'!B246)</f>
        <v>Ireland</v>
      </c>
      <c r="C247" s="9" t="str">
        <f>IF('Rates from Ireland Fedex Priort'!C246="","",'Rates from Ireland Fedex Priort'!C246)</f>
        <v>Wallis and Futuna (France)</v>
      </c>
      <c r="D247" s="10">
        <f>IF(ISNUMBER('Rates from Ireland Fedex Priort'!D246),_xlfn.CEILING.MATH('Rates from Ireland Fedex Priort'!D246,1)+IF($A247="EU",Variables!$B$5,Variables!$B$2),'Rates from Ireland Fedex Priort'!D246)</f>
        <v>75</v>
      </c>
      <c r="E247" s="10">
        <f>IF(ISNUMBER('Rates from Ireland Fedex Priort'!E246),_xlfn.CEILING.MATH('Rates from Ireland Fedex Priort'!E246,1)+IF($A247="EU",Variables!$B$6,Variables!$B$3),'Rates from Ireland Fedex Priort'!E246)</f>
        <v>83</v>
      </c>
      <c r="F247" s="10">
        <f>IF(ISNUMBER('Rates from Ireland Fedex Priort'!F246),_xlfn.CEILING.MATH('Rates from Ireland Fedex Priort'!F246,1)+IF($A247="EU",Variables!$B$6,Variables!$B$3),'Rates from Ireland Fedex Priort'!F246)</f>
        <v>88</v>
      </c>
      <c r="G247" s="10">
        <f>IF(ISNUMBER('Rates from Ireland Fedex Priort'!G246),_xlfn.CEILING.MATH('Rates from Ireland Fedex Priort'!G246,1)+IF($A247="EU",Variables!$B$6,Variables!$B$3),'Rates from Ireland Fedex Priort'!G246)</f>
        <v>106</v>
      </c>
      <c r="H247" s="10">
        <f>IF(ISNUMBER('Rates from Ireland Fedex Priort'!H246),_xlfn.CEILING.MATH('Rates from Ireland Fedex Priort'!H246,1)+IF($A247="EU",Variables!$B$6,Variables!$B$3),'Rates from Ireland Fedex Priort'!H246)</f>
        <v>134</v>
      </c>
      <c r="I247" s="10">
        <f>IF(ISNUMBER('Rates from Ireland Fedex Priort'!I246),_xlfn.CEILING.MATH('Rates from Ireland Fedex Priort'!I246,1)+IF($A247="EU",Variables!$B$6,Variables!$B$3),'Rates from Ireland Fedex Priort'!I246)</f>
        <v>242</v>
      </c>
      <c r="J247" s="10" t="str">
        <f>IF(ISNUMBER('Rates from Ireland Fedex Priort'!J246),_xlfn.CEILING.MATH('Rates from Ireland Fedex Priort'!J246,1)+IF($A247="EU",Variables!$B$6,Variables!$B$3),'Rates from Ireland Fedex Priort'!J246)</f>
        <v>No service</v>
      </c>
      <c r="K247" s="10" t="str">
        <f>IF(ISNUMBER('Rates from Ireland Fedex Priort'!K246),_xlfn.CEILING.MATH('Rates from Ireland Fedex Priort'!K246,1)+IF($A247="EU",Variables!$B$6,Variables!$B$3),'Rates from Ireland Fedex Priort'!K246)</f>
        <v>No service</v>
      </c>
      <c r="L247" s="10" t="str">
        <f>IF(ISNUMBER('Rates from Ireland Fedex Priort'!L246),_xlfn.CEILING.MATH('Rates from Ireland Fedex Priort'!L246,1)+IF($A247="EU",Variables!$B$6,Variables!$B$3),'Rates from Ireland Fedex Priort'!L246)</f>
        <v>No service</v>
      </c>
      <c r="M247" s="10" t="str">
        <f>IF(ISNUMBER('Rates from Ireland Fedex Priort'!M246),_xlfn.CEILING.MATH('Rates from Ireland Fedex Priort'!M246,1)+IF($A247="EU",Variables!$B$6,Variables!$B$3),'Rates from Ireland Fedex Priort'!M246)</f>
        <v>No service</v>
      </c>
      <c r="N247" s="10">
        <f>IF(ISNUMBER('Rates from Ireland Fedex Priort'!N246),_xlfn.CEILING.MATH('Rates from Ireland Fedex Priort'!N246,1)+IF($A247="EU",Variables!$B$6,Variables!$B$3),'Rates from Ireland Fedex Priort'!N246)</f>
        <v>454</v>
      </c>
      <c r="O247" s="11" t="s">
        <v>271</v>
      </c>
      <c r="P247" s="11" t="s">
        <v>271</v>
      </c>
      <c r="Q247" s="12">
        <v>80</v>
      </c>
      <c r="R247" s="11" t="s">
        <v>25</v>
      </c>
      <c r="S247" s="3" t="s">
        <v>26</v>
      </c>
      <c r="T247" s="38" t="s">
        <v>27</v>
      </c>
    </row>
    <row r="248" spans="1:20" ht="15.75" customHeight="1" x14ac:dyDescent="0.3">
      <c r="A248" s="39" t="str">
        <f>IF('Rates from Ireland Fedex Priort'!A247="","",'Rates from Ireland Fedex Priort'!A247)</f>
        <v>EU</v>
      </c>
      <c r="B248" s="8" t="str">
        <f>IF('Rates from Ireland Fedex Priort'!B247="","",'Rates from Ireland Fedex Priort'!B247)</f>
        <v>Ireland</v>
      </c>
      <c r="C248" s="9" t="str">
        <f>IF('Rates from Ireland Fedex Priort'!C247="","",'Rates from Ireland Fedex Priort'!C247)</f>
        <v>Western Sahara</v>
      </c>
      <c r="D248" s="10" t="str">
        <f>IF(ISNUMBER('Rates from Ireland Fedex Priort'!D247),_xlfn.CEILING.MATH('Rates from Ireland Fedex Priort'!D247,1)+IF($A248="EU",Variables!$B$5,Variables!$B$2),'Rates from Ireland Fedex Priort'!D247)</f>
        <v>No service</v>
      </c>
      <c r="E248" s="10" t="str">
        <f>IF(ISNUMBER('Rates from Ireland Fedex Priort'!E247),_xlfn.CEILING.MATH('Rates from Ireland Fedex Priort'!E247,1)+IF($A248="EU",Variables!$B$6,Variables!$B$3),'Rates from Ireland Fedex Priort'!E247)</f>
        <v>No service</v>
      </c>
      <c r="F248" s="10" t="str">
        <f>IF(ISNUMBER('Rates from Ireland Fedex Priort'!F247),_xlfn.CEILING.MATH('Rates from Ireland Fedex Priort'!F247,1)+IF($A248="EU",Variables!$B$6,Variables!$B$3),'Rates from Ireland Fedex Priort'!F247)</f>
        <v>No service</v>
      </c>
      <c r="G248" s="10" t="str">
        <f>IF(ISNUMBER('Rates from Ireland Fedex Priort'!G247),_xlfn.CEILING.MATH('Rates from Ireland Fedex Priort'!G247,1)+IF($A248="EU",Variables!$B$6,Variables!$B$3),'Rates from Ireland Fedex Priort'!G247)</f>
        <v>No service</v>
      </c>
      <c r="H248" s="10" t="str">
        <f>IF(ISNUMBER('Rates from Ireland Fedex Priort'!H247),_xlfn.CEILING.MATH('Rates from Ireland Fedex Priort'!H247,1)+IF($A248="EU",Variables!$B$6,Variables!$B$3),'Rates from Ireland Fedex Priort'!H247)</f>
        <v>No service</v>
      </c>
      <c r="I248" s="10" t="str">
        <f>IF(ISNUMBER('Rates from Ireland Fedex Priort'!I247),_xlfn.CEILING.MATH('Rates from Ireland Fedex Priort'!I247,1)+IF($A248="EU",Variables!$B$6,Variables!$B$3),'Rates from Ireland Fedex Priort'!I247)</f>
        <v>No service</v>
      </c>
      <c r="J248" s="10" t="str">
        <f>IF(ISNUMBER('Rates from Ireland Fedex Priort'!J247),_xlfn.CEILING.MATH('Rates from Ireland Fedex Priort'!J247,1)+IF($A248="EU",Variables!$B$6,Variables!$B$3),'Rates from Ireland Fedex Priort'!J247)</f>
        <v>No service</v>
      </c>
      <c r="K248" s="10" t="str">
        <f>IF(ISNUMBER('Rates from Ireland Fedex Priort'!K247),_xlfn.CEILING.MATH('Rates from Ireland Fedex Priort'!K247,1)+IF($A248="EU",Variables!$B$6,Variables!$B$3),'Rates from Ireland Fedex Priort'!K247)</f>
        <v>No service</v>
      </c>
      <c r="L248" s="10" t="str">
        <f>IF(ISNUMBER('Rates from Ireland Fedex Priort'!L247),_xlfn.CEILING.MATH('Rates from Ireland Fedex Priort'!L247,1)+IF($A248="EU",Variables!$B$6,Variables!$B$3),'Rates from Ireland Fedex Priort'!L247)</f>
        <v>No service</v>
      </c>
      <c r="M248" s="10" t="str">
        <f>IF(ISNUMBER('Rates from Ireland Fedex Priort'!M247),_xlfn.CEILING.MATH('Rates from Ireland Fedex Priort'!M247,1)+IF($A248="EU",Variables!$B$6,Variables!$B$3),'Rates from Ireland Fedex Priort'!M247)</f>
        <v>No service</v>
      </c>
      <c r="N248" s="10" t="str">
        <f>IF(ISNUMBER('Rates from Ireland Fedex Priort'!N247),_xlfn.CEILING.MATH('Rates from Ireland Fedex Priort'!N247,1)+IF($A248="EU",Variables!$B$6,Variables!$B$3),'Rates from Ireland Fedex Priort'!N247)</f>
        <v>No service</v>
      </c>
      <c r="O248" s="11"/>
      <c r="P248" s="11"/>
      <c r="Q248" s="11"/>
      <c r="R248" s="11"/>
      <c r="S248" s="3" t="s">
        <v>26</v>
      </c>
      <c r="T248" s="38" t="s">
        <v>27</v>
      </c>
    </row>
    <row r="249" spans="1:20" ht="15.75" customHeight="1" x14ac:dyDescent="0.3">
      <c r="A249" s="39" t="str">
        <f>IF('Rates from Ireland Fedex Priort'!A248="","",'Rates from Ireland Fedex Priort'!A248)</f>
        <v>EU</v>
      </c>
      <c r="B249" s="8" t="str">
        <f>IF('Rates from Ireland Fedex Priort'!B248="","",'Rates from Ireland Fedex Priort'!B248)</f>
        <v>Ireland</v>
      </c>
      <c r="C249" s="9" t="str">
        <f>IF('Rates from Ireland Fedex Priort'!C248="","",'Rates from Ireland Fedex Priort'!C248)</f>
        <v>Yemen</v>
      </c>
      <c r="D249" s="10" t="str">
        <f>IF(ISNUMBER('Rates from Ireland Fedex Priort'!D248),_xlfn.CEILING.MATH('Rates from Ireland Fedex Priort'!D248,1)+IF($A249="EU",Variables!$B$5,Variables!$B$2),'Rates from Ireland Fedex Priort'!D248)</f>
        <v>No service</v>
      </c>
      <c r="E249" s="10" t="str">
        <f>IF(ISNUMBER('Rates from Ireland Fedex Priort'!E248),_xlfn.CEILING.MATH('Rates from Ireland Fedex Priort'!E248,1)+IF($A249="EU",Variables!$B$6,Variables!$B$3),'Rates from Ireland Fedex Priort'!E248)</f>
        <v>No service</v>
      </c>
      <c r="F249" s="10" t="str">
        <f>IF(ISNUMBER('Rates from Ireland Fedex Priort'!F248),_xlfn.CEILING.MATH('Rates from Ireland Fedex Priort'!F248,1)+IF($A249="EU",Variables!$B$6,Variables!$B$3),'Rates from Ireland Fedex Priort'!F248)</f>
        <v>No service</v>
      </c>
      <c r="G249" s="10" t="str">
        <f>IF(ISNUMBER('Rates from Ireland Fedex Priort'!G248),_xlfn.CEILING.MATH('Rates from Ireland Fedex Priort'!G248,1)+IF($A249="EU",Variables!$B$6,Variables!$B$3),'Rates from Ireland Fedex Priort'!G248)</f>
        <v>No service</v>
      </c>
      <c r="H249" s="10" t="str">
        <f>IF(ISNUMBER('Rates from Ireland Fedex Priort'!H248),_xlfn.CEILING.MATH('Rates from Ireland Fedex Priort'!H248,1)+IF($A249="EU",Variables!$B$6,Variables!$B$3),'Rates from Ireland Fedex Priort'!H248)</f>
        <v>No service</v>
      </c>
      <c r="I249" s="10" t="str">
        <f>IF(ISNUMBER('Rates from Ireland Fedex Priort'!I248),_xlfn.CEILING.MATH('Rates from Ireland Fedex Priort'!I248,1)+IF($A249="EU",Variables!$B$6,Variables!$B$3),'Rates from Ireland Fedex Priort'!I248)</f>
        <v>No service</v>
      </c>
      <c r="J249" s="10" t="str">
        <f>IF(ISNUMBER('Rates from Ireland Fedex Priort'!J248),_xlfn.CEILING.MATH('Rates from Ireland Fedex Priort'!J248,1)+IF($A249="EU",Variables!$B$6,Variables!$B$3),'Rates from Ireland Fedex Priort'!J248)</f>
        <v>No service</v>
      </c>
      <c r="K249" s="10" t="str">
        <f>IF(ISNUMBER('Rates from Ireland Fedex Priort'!K248),_xlfn.CEILING.MATH('Rates from Ireland Fedex Priort'!K248,1)+IF($A249="EU",Variables!$B$6,Variables!$B$3),'Rates from Ireland Fedex Priort'!K248)</f>
        <v>No service</v>
      </c>
      <c r="L249" s="10" t="str">
        <f>IF(ISNUMBER('Rates from Ireland Fedex Priort'!L248),_xlfn.CEILING.MATH('Rates from Ireland Fedex Priort'!L248,1)+IF($A249="EU",Variables!$B$6,Variables!$B$3),'Rates from Ireland Fedex Priort'!L248)</f>
        <v>No service</v>
      </c>
      <c r="M249" s="10" t="str">
        <f>IF(ISNUMBER('Rates from Ireland Fedex Priort'!M248),_xlfn.CEILING.MATH('Rates from Ireland Fedex Priort'!M248,1)+IF($A249="EU",Variables!$B$6,Variables!$B$3),'Rates from Ireland Fedex Priort'!M248)</f>
        <v>No service</v>
      </c>
      <c r="N249" s="10" t="str">
        <f>IF(ISNUMBER('Rates from Ireland Fedex Priort'!N248),_xlfn.CEILING.MATH('Rates from Ireland Fedex Priort'!N248,1)+IF($A249="EU",Variables!$B$6,Variables!$B$3),'Rates from Ireland Fedex Priort'!N248)</f>
        <v>No service</v>
      </c>
      <c r="O249" s="11"/>
      <c r="P249" s="11"/>
      <c r="Q249" s="11"/>
      <c r="R249" s="11"/>
      <c r="S249" s="3" t="s">
        <v>26</v>
      </c>
      <c r="T249" s="38" t="s">
        <v>27</v>
      </c>
    </row>
    <row r="250" spans="1:20" ht="15.75" customHeight="1" x14ac:dyDescent="0.3">
      <c r="A250" s="39" t="str">
        <f>IF('Rates from Ireland Fedex Priort'!A249="","",'Rates from Ireland Fedex Priort'!A249)</f>
        <v>EU</v>
      </c>
      <c r="B250" s="8" t="str">
        <f>IF('Rates from Ireland Fedex Priort'!B249="","",'Rates from Ireland Fedex Priort'!B249)</f>
        <v>Ireland</v>
      </c>
      <c r="C250" s="9" t="str">
        <f>IF('Rates from Ireland Fedex Priort'!C249="","",'Rates from Ireland Fedex Priort'!C249)</f>
        <v>Zambia</v>
      </c>
      <c r="D250" s="10">
        <f>IF(ISNUMBER('Rates from Ireland Fedex Priort'!D249),_xlfn.CEILING.MATH('Rates from Ireland Fedex Priort'!D249,1)+IF($A250="EU",Variables!$B$5,Variables!$B$2),'Rates from Ireland Fedex Priort'!D249)</f>
        <v>75</v>
      </c>
      <c r="E250" s="10">
        <f>IF(ISNUMBER('Rates from Ireland Fedex Priort'!E249),_xlfn.CEILING.MATH('Rates from Ireland Fedex Priort'!E249,1)+IF($A250="EU",Variables!$B$6,Variables!$B$3),'Rates from Ireland Fedex Priort'!E249)</f>
        <v>83</v>
      </c>
      <c r="F250" s="10">
        <f>IF(ISNUMBER('Rates from Ireland Fedex Priort'!F249),_xlfn.CEILING.MATH('Rates from Ireland Fedex Priort'!F249,1)+IF($A250="EU",Variables!$B$6,Variables!$B$3),'Rates from Ireland Fedex Priort'!F249)</f>
        <v>88</v>
      </c>
      <c r="G250" s="10">
        <f>IF(ISNUMBER('Rates from Ireland Fedex Priort'!G249),_xlfn.CEILING.MATH('Rates from Ireland Fedex Priort'!G249,1)+IF($A250="EU",Variables!$B$6,Variables!$B$3),'Rates from Ireland Fedex Priort'!G249)</f>
        <v>106</v>
      </c>
      <c r="H250" s="10">
        <f>IF(ISNUMBER('Rates from Ireland Fedex Priort'!H249),_xlfn.CEILING.MATH('Rates from Ireland Fedex Priort'!H249,1)+IF($A250="EU",Variables!$B$6,Variables!$B$3),'Rates from Ireland Fedex Priort'!H249)</f>
        <v>134</v>
      </c>
      <c r="I250" s="10">
        <f>IF(ISNUMBER('Rates from Ireland Fedex Priort'!I249),_xlfn.CEILING.MATH('Rates from Ireland Fedex Priort'!I249,1)+IF($A250="EU",Variables!$B$6,Variables!$B$3),'Rates from Ireland Fedex Priort'!I249)</f>
        <v>242</v>
      </c>
      <c r="J250" s="10" t="str">
        <f>IF(ISNUMBER('Rates from Ireland Fedex Priort'!J249),_xlfn.CEILING.MATH('Rates from Ireland Fedex Priort'!J249,1)+IF($A250="EU",Variables!$B$6,Variables!$B$3),'Rates from Ireland Fedex Priort'!J249)</f>
        <v>No service</v>
      </c>
      <c r="K250" s="10" t="str">
        <f>IF(ISNUMBER('Rates from Ireland Fedex Priort'!K249),_xlfn.CEILING.MATH('Rates from Ireland Fedex Priort'!K249,1)+IF($A250="EU",Variables!$B$6,Variables!$B$3),'Rates from Ireland Fedex Priort'!K249)</f>
        <v>No service</v>
      </c>
      <c r="L250" s="10" t="str">
        <f>IF(ISNUMBER('Rates from Ireland Fedex Priort'!L249),_xlfn.CEILING.MATH('Rates from Ireland Fedex Priort'!L249,1)+IF($A250="EU",Variables!$B$6,Variables!$B$3),'Rates from Ireland Fedex Priort'!L249)</f>
        <v>No service</v>
      </c>
      <c r="M250" s="10" t="str">
        <f>IF(ISNUMBER('Rates from Ireland Fedex Priort'!M249),_xlfn.CEILING.MATH('Rates from Ireland Fedex Priort'!M249,1)+IF($A250="EU",Variables!$B$6,Variables!$B$3),'Rates from Ireland Fedex Priort'!M249)</f>
        <v>No service</v>
      </c>
      <c r="N250" s="10">
        <f>IF(ISNUMBER('Rates from Ireland Fedex Priort'!N249),_xlfn.CEILING.MATH('Rates from Ireland Fedex Priort'!N249,1)+IF($A250="EU",Variables!$B$6,Variables!$B$3),'Rates from Ireland Fedex Priort'!N249)</f>
        <v>454</v>
      </c>
      <c r="O250" s="11" t="s">
        <v>271</v>
      </c>
      <c r="P250" s="11" t="s">
        <v>271</v>
      </c>
      <c r="Q250" s="12">
        <v>80</v>
      </c>
      <c r="R250" s="11" t="s">
        <v>25</v>
      </c>
      <c r="S250" s="3" t="s">
        <v>26</v>
      </c>
      <c r="T250" s="38" t="s">
        <v>27</v>
      </c>
    </row>
    <row r="251" spans="1:20" ht="15.75" customHeight="1" thickBot="1" x14ac:dyDescent="0.35">
      <c r="A251" s="39" t="str">
        <f>IF('Rates from Ireland Fedex Priort'!A250="","",'Rates from Ireland Fedex Priort'!A250)</f>
        <v>EU</v>
      </c>
      <c r="B251" s="8" t="str">
        <f>IF('Rates from Ireland Fedex Priort'!B250="","",'Rates from Ireland Fedex Priort'!B250)</f>
        <v>Ireland</v>
      </c>
      <c r="C251" s="9" t="str">
        <f>IF('Rates from Ireland Fedex Priort'!C250="","",'Rates from Ireland Fedex Priort'!C250)</f>
        <v>Zimbabwe</v>
      </c>
      <c r="D251" s="32">
        <f>IF(ISNUMBER('Rates from Ireland Fedex Priort'!D250),_xlfn.CEILING.MATH('Rates from Ireland Fedex Priort'!D250,1)+IF($A251="EU",Variables!$B$5,Variables!$B$2),'Rates from Ireland Fedex Priort'!D250)</f>
        <v>75</v>
      </c>
      <c r="E251" s="32">
        <f>IF(ISNUMBER('Rates from Ireland Fedex Priort'!E250),_xlfn.CEILING.MATH('Rates from Ireland Fedex Priort'!E250,1)+IF($A251="EU",Variables!$B$6,Variables!$B$3),'Rates from Ireland Fedex Priort'!E250)</f>
        <v>83</v>
      </c>
      <c r="F251" s="32">
        <f>IF(ISNUMBER('Rates from Ireland Fedex Priort'!F250),_xlfn.CEILING.MATH('Rates from Ireland Fedex Priort'!F250,1)+IF($A251="EU",Variables!$B$6,Variables!$B$3),'Rates from Ireland Fedex Priort'!F250)</f>
        <v>88</v>
      </c>
      <c r="G251" s="32">
        <f>IF(ISNUMBER('Rates from Ireland Fedex Priort'!G250),_xlfn.CEILING.MATH('Rates from Ireland Fedex Priort'!G250,1)+IF($A251="EU",Variables!$B$6,Variables!$B$3),'Rates from Ireland Fedex Priort'!G250)</f>
        <v>106</v>
      </c>
      <c r="H251" s="32">
        <f>IF(ISNUMBER('Rates from Ireland Fedex Priort'!H250),_xlfn.CEILING.MATH('Rates from Ireland Fedex Priort'!H250,1)+IF($A251="EU",Variables!$B$6,Variables!$B$3),'Rates from Ireland Fedex Priort'!H250)</f>
        <v>134</v>
      </c>
      <c r="I251" s="32">
        <f>IF(ISNUMBER('Rates from Ireland Fedex Priort'!I250),_xlfn.CEILING.MATH('Rates from Ireland Fedex Priort'!I250,1)+IF($A251="EU",Variables!$B$6,Variables!$B$3),'Rates from Ireland Fedex Priort'!I250)</f>
        <v>242</v>
      </c>
      <c r="J251" s="32" t="str">
        <f>IF(ISNUMBER('Rates from Ireland Fedex Priort'!J250),_xlfn.CEILING.MATH('Rates from Ireland Fedex Priort'!J250,1)+IF($A251="EU",Variables!$B$6,Variables!$B$3),'Rates from Ireland Fedex Priort'!J250)</f>
        <v>No service</v>
      </c>
      <c r="K251" s="32" t="str">
        <f>IF(ISNUMBER('Rates from Ireland Fedex Priort'!K250),_xlfn.CEILING.MATH('Rates from Ireland Fedex Priort'!K250,1)+IF($A251="EU",Variables!$B$6,Variables!$B$3),'Rates from Ireland Fedex Priort'!K250)</f>
        <v>No service</v>
      </c>
      <c r="L251" s="32" t="str">
        <f>IF(ISNUMBER('Rates from Ireland Fedex Priort'!L250),_xlfn.CEILING.MATH('Rates from Ireland Fedex Priort'!L250,1)+IF($A251="EU",Variables!$B$6,Variables!$B$3),'Rates from Ireland Fedex Priort'!L250)</f>
        <v>No service</v>
      </c>
      <c r="M251" s="32" t="str">
        <f>IF(ISNUMBER('Rates from Ireland Fedex Priort'!M250),_xlfn.CEILING.MATH('Rates from Ireland Fedex Priort'!M250,1)+IF($A251="EU",Variables!$B$6,Variables!$B$3),'Rates from Ireland Fedex Priort'!M250)</f>
        <v>No service</v>
      </c>
      <c r="N251" s="32">
        <f>IF(ISNUMBER('Rates from Ireland Fedex Priort'!N250),_xlfn.CEILING.MATH('Rates from Ireland Fedex Priort'!N250,1)+IF($A251="EU",Variables!$B$6,Variables!$B$3),'Rates from Ireland Fedex Priort'!N250)</f>
        <v>454</v>
      </c>
      <c r="O251" s="42" t="s">
        <v>271</v>
      </c>
      <c r="P251" s="42" t="s">
        <v>271</v>
      </c>
      <c r="Q251" s="43">
        <v>80</v>
      </c>
      <c r="R251" s="42" t="s">
        <v>25</v>
      </c>
      <c r="S251" s="44" t="s">
        <v>26</v>
      </c>
      <c r="T251" s="45" t="s">
        <v>27</v>
      </c>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02" spans="2:20" ht="15.75" customHeight="1" x14ac:dyDescent="0.25">
      <c r="B1002" s="3"/>
      <c r="S1002" s="3"/>
      <c r="T1002" s="3"/>
    </row>
  </sheetData>
  <conditionalFormatting sqref="A3:C251">
    <cfRule type="expression" dxfId="4" priority="1">
      <formula>IF($A3="N/A",TRUE,Fasle)</formula>
    </cfRule>
    <cfRule type="expression" dxfId="3" priority="2">
      <formula>IF($A3="EU",TRUE,Fasle)</formula>
    </cfRule>
  </conditionalFormatting>
  <conditionalFormatting sqref="D3:N251">
    <cfRule type="cellIs" dxfId="2" priority="3" operator="equal">
      <formula>"No service"</formula>
    </cfRule>
  </conditionalFormatting>
  <conditionalFormatting sqref="D3:T251">
    <cfRule type="expression" dxfId="1" priority="4">
      <formula>IF($A3="N/A",TRUE,Fasle)</formula>
    </cfRule>
    <cfRule type="expression" dxfId="0" priority="5">
      <formula>IF($A3="EU",TRUE,Fasle)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election activeCell="B3" sqref="B3"/>
    </sheetView>
  </sheetViews>
  <sheetFormatPr defaultRowHeight="13.2" x14ac:dyDescent="0.25"/>
  <cols>
    <col min="1" max="2" width="15.44140625" customWidth="1"/>
    <col min="8" max="8" width="47.33203125" customWidth="1"/>
  </cols>
  <sheetData>
    <row r="1" spans="1:8" ht="27" customHeight="1" x14ac:dyDescent="0.25">
      <c r="A1" s="46" t="s">
        <v>339</v>
      </c>
      <c r="B1" s="47"/>
    </row>
    <row r="2" spans="1:8" ht="27" customHeight="1" x14ac:dyDescent="0.25">
      <c r="A2" s="29" t="s">
        <v>340</v>
      </c>
      <c r="B2" s="29">
        <v>50</v>
      </c>
    </row>
    <row r="3" spans="1:8" ht="27" customHeight="1" x14ac:dyDescent="0.25">
      <c r="A3" s="29" t="s">
        <v>341</v>
      </c>
      <c r="B3" s="29">
        <v>50</v>
      </c>
      <c r="D3" s="31"/>
      <c r="E3" s="31"/>
    </row>
    <row r="4" spans="1:8" ht="27" customHeight="1" x14ac:dyDescent="0.25">
      <c r="A4" s="48" t="s">
        <v>336</v>
      </c>
      <c r="B4" s="49"/>
    </row>
    <row r="5" spans="1:8" ht="27" customHeight="1" x14ac:dyDescent="0.25">
      <c r="A5" s="29" t="s">
        <v>340</v>
      </c>
      <c r="B5" s="29">
        <v>40</v>
      </c>
    </row>
    <row r="6" spans="1:8" ht="27" customHeight="1" x14ac:dyDescent="0.25">
      <c r="A6" s="29" t="s">
        <v>341</v>
      </c>
      <c r="B6" s="29">
        <v>40</v>
      </c>
      <c r="H6" s="27"/>
    </row>
    <row r="7" spans="1:8" ht="27" customHeight="1" x14ac:dyDescent="0.25">
      <c r="A7" s="30"/>
      <c r="B7" s="30"/>
      <c r="H7" s="27"/>
    </row>
    <row r="8" spans="1:8" ht="27" customHeight="1" x14ac:dyDescent="0.25">
      <c r="A8" s="30"/>
      <c r="B8" s="30"/>
      <c r="H8" s="27"/>
    </row>
    <row r="9" spans="1:8" ht="27" customHeight="1" x14ac:dyDescent="0.25">
      <c r="A9" s="30"/>
      <c r="B9" s="30"/>
      <c r="H9" s="27"/>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1"/>
  <sheetViews>
    <sheetView workbookViewId="0">
      <selection activeCell="F7" sqref="F7"/>
    </sheetView>
  </sheetViews>
  <sheetFormatPr defaultColWidth="12.5546875" defaultRowHeight="15" customHeight="1" x14ac:dyDescent="0.25"/>
  <cols>
    <col min="6" max="6" width="38.33203125" customWidth="1"/>
  </cols>
  <sheetData>
    <row r="1" spans="1:7" x14ac:dyDescent="0.25">
      <c r="A1" s="25" t="s">
        <v>300</v>
      </c>
      <c r="B1" s="25" t="s">
        <v>301</v>
      </c>
      <c r="C1" s="25" t="s">
        <v>302</v>
      </c>
      <c r="F1" s="26" t="s">
        <v>303</v>
      </c>
      <c r="G1" s="26">
        <v>20</v>
      </c>
    </row>
    <row r="2" spans="1:7" x14ac:dyDescent="0.25">
      <c r="A2" s="3" t="s">
        <v>304</v>
      </c>
      <c r="B2" s="3" t="s">
        <v>305</v>
      </c>
      <c r="C2" s="3" t="s">
        <v>306</v>
      </c>
    </row>
    <row r="3" spans="1:7" x14ac:dyDescent="0.25">
      <c r="A3" s="3" t="s">
        <v>307</v>
      </c>
      <c r="B3" s="3" t="s">
        <v>308</v>
      </c>
      <c r="C3" s="3" t="s">
        <v>309</v>
      </c>
    </row>
    <row r="4" spans="1:7" x14ac:dyDescent="0.25">
      <c r="A4" s="3" t="s">
        <v>310</v>
      </c>
      <c r="B4" s="3" t="s">
        <v>311</v>
      </c>
      <c r="C4" s="3" t="s">
        <v>312</v>
      </c>
    </row>
    <row r="5" spans="1:7" x14ac:dyDescent="0.25">
      <c r="A5" s="3" t="s">
        <v>313</v>
      </c>
      <c r="B5" s="3" t="s">
        <v>314</v>
      </c>
      <c r="C5" s="3" t="s">
        <v>315</v>
      </c>
    </row>
    <row r="6" spans="1:7" x14ac:dyDescent="0.25">
      <c r="A6" s="3" t="s">
        <v>316</v>
      </c>
      <c r="B6" s="3" t="s">
        <v>317</v>
      </c>
      <c r="C6" s="3" t="s">
        <v>318</v>
      </c>
    </row>
    <row r="7" spans="1:7" x14ac:dyDescent="0.25">
      <c r="A7" s="3" t="s">
        <v>319</v>
      </c>
      <c r="B7" s="3" t="s">
        <v>320</v>
      </c>
      <c r="C7" s="3" t="s">
        <v>321</v>
      </c>
    </row>
    <row r="8" spans="1:7" x14ac:dyDescent="0.25">
      <c r="A8" s="3" t="s">
        <v>322</v>
      </c>
      <c r="B8" s="3" t="s">
        <v>323</v>
      </c>
      <c r="C8" s="3" t="s">
        <v>324</v>
      </c>
    </row>
    <row r="9" spans="1:7" x14ac:dyDescent="0.25">
      <c r="A9" s="3" t="s">
        <v>325</v>
      </c>
      <c r="B9" s="3" t="s">
        <v>314</v>
      </c>
      <c r="C9" s="3" t="s">
        <v>326</v>
      </c>
    </row>
    <row r="10" spans="1:7" x14ac:dyDescent="0.25">
      <c r="A10" s="3" t="s">
        <v>327</v>
      </c>
      <c r="B10" s="3" t="s">
        <v>320</v>
      </c>
      <c r="C10" s="3" t="s">
        <v>328</v>
      </c>
    </row>
    <row r="11" spans="1:7"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9"/>
  <sheetViews>
    <sheetView workbookViewId="0">
      <selection activeCell="A17" sqref="A17"/>
    </sheetView>
  </sheetViews>
  <sheetFormatPr defaultRowHeight="13.2" x14ac:dyDescent="0.25"/>
  <cols>
    <col min="1" max="1" width="93.6640625" customWidth="1"/>
    <col min="6" max="6" width="58" customWidth="1"/>
  </cols>
  <sheetData>
    <row r="2" spans="1:6" ht="15.6" x14ac:dyDescent="0.25">
      <c r="A2" s="27" t="s">
        <v>333</v>
      </c>
    </row>
    <row r="3" spans="1:6" ht="78" x14ac:dyDescent="0.25">
      <c r="A3" s="27" t="s">
        <v>334</v>
      </c>
      <c r="F3" s="27" t="s">
        <v>332</v>
      </c>
    </row>
    <row r="4" spans="1:6" ht="15.6" x14ac:dyDescent="0.25">
      <c r="A4" s="27" t="s">
        <v>335</v>
      </c>
    </row>
    <row r="5" spans="1:6" ht="15.6" x14ac:dyDescent="0.25">
      <c r="A5" s="27"/>
    </row>
    <row r="6" spans="1:6" ht="15.6" x14ac:dyDescent="0.25">
      <c r="A6" s="27"/>
    </row>
    <row r="7" spans="1:6" ht="15.6" x14ac:dyDescent="0.25">
      <c r="A7" s="27"/>
    </row>
    <row r="8" spans="1:6" x14ac:dyDescent="0.25">
      <c r="A8" s="28"/>
    </row>
    <row r="9" spans="1:6" x14ac:dyDescent="0.25">
      <c r="F9"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Priort</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2024-12-24T12:54:21Z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2024-12-18T17:20:22Z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8fc9ef71-8fc3-4936-9845-cf9cda53aae2</vt:lpwstr>
  </property>
  <property fmtid="{D5CDD505-2E9C-101B-9397-08002B2CF9AE}" pid="8" name="MSIP_Label_defa4170-0d19-0005-0004-bc88714345d2_ContentBits">
    <vt:lpwstr>0</vt:lpwstr>
  </property>
</Properties>
</file>