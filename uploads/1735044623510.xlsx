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mc:AlternateContent xmlns:mc="http://schemas.openxmlformats.org/markup-compatibility/2006">
    <mc:Choice Requires="x15">
      <x15ac:absPath xmlns:x15ac="http://schemas.microsoft.com/office/spreadsheetml/2010/11/ac" url="C:\Users\daniy\Downloads\"/>
    </mc:Choice>
  </mc:AlternateContent>
  <xr:revisionPtr revIDLastSave="0" documentId="13_ncr:1_{F1FF88C4-F5BC-4AF9-A111-1B7C5ABD5B44}" xr6:coauthVersionLast="47" xr6:coauthVersionMax="47" xr10:uidLastSave="{00000000-0000-0000-0000-000000000000}"/>
  <bookViews>
    <workbookView xWindow="-108" yWindow="-108" windowWidth="23256" windowHeight="12456" tabRatio="773" xr2:uid="{00000000-000D-0000-FFFF-FFFF00000000}"/>
  </bookViews>
  <sheets>
    <sheet name="Rates from Ireland Fedex Priort" sheetId="1" r:id="rId1"/>
    <sheet name="Result" sheetId="5" r:id="rId2"/>
    <sheet name="Variables" sheetId="4" r:id="rId3"/>
    <sheet name="MAx dimension by weight" sheetId="2" r:id="rId4"/>
    <sheet name="Instructions" sheetId="3" state="hidden" r:id="rId5"/>
  </sheets>
  <calcPr calcId="191029"/>
  <extLst>
    <ext uri="GoogleSheetsCustomDataVersion2">
      <go:sheetsCustomData xmlns:go="http://customooxmlschemas.google.com/" r:id="rId6" roundtripDataChecksum="C1hj6O4O1+Mn5ep2DgTFsZBYjzgh2B9fUVLgrPQsq/8="/>
    </ext>
  </extLst>
</workbook>
</file>

<file path=xl/calcChain.xml><?xml version="1.0" encoding="utf-8"?>
<calcChain xmlns="http://schemas.openxmlformats.org/spreadsheetml/2006/main">
  <c r="A6" i="5" l="1"/>
  <c r="A4" i="5"/>
  <c r="D4" i="5" s="1"/>
  <c r="B4" i="5"/>
  <c r="C4" i="5"/>
  <c r="A5" i="5"/>
  <c r="D5" i="5" s="1"/>
  <c r="B5" i="5"/>
  <c r="C5" i="5"/>
  <c r="B6" i="5"/>
  <c r="C6" i="5"/>
  <c r="A7" i="5"/>
  <c r="B7" i="5"/>
  <c r="C7" i="5"/>
  <c r="A8" i="5"/>
  <c r="B8" i="5"/>
  <c r="C8" i="5"/>
  <c r="A9" i="5"/>
  <c r="G9" i="5" s="1"/>
  <c r="B9" i="5"/>
  <c r="C9" i="5"/>
  <c r="A10" i="5"/>
  <c r="B10" i="5"/>
  <c r="C10" i="5"/>
  <c r="A11" i="5"/>
  <c r="B11" i="5"/>
  <c r="C11" i="5"/>
  <c r="A12" i="5"/>
  <c r="B12" i="5"/>
  <c r="C12" i="5"/>
  <c r="A13" i="5"/>
  <c r="G13" i="5" s="1"/>
  <c r="B13" i="5"/>
  <c r="C13" i="5"/>
  <c r="A14" i="5"/>
  <c r="B14" i="5"/>
  <c r="C14" i="5"/>
  <c r="A15" i="5"/>
  <c r="B15" i="5"/>
  <c r="C15" i="5"/>
  <c r="A16" i="5"/>
  <c r="B16" i="5"/>
  <c r="C16" i="5"/>
  <c r="A17" i="5"/>
  <c r="G17" i="5" s="1"/>
  <c r="B17" i="5"/>
  <c r="C17" i="5"/>
  <c r="A18" i="5"/>
  <c r="B18" i="5"/>
  <c r="C18" i="5"/>
  <c r="A19" i="5"/>
  <c r="B19" i="5"/>
  <c r="C19" i="5"/>
  <c r="A20" i="5"/>
  <c r="B20" i="5"/>
  <c r="C20" i="5"/>
  <c r="A21" i="5"/>
  <c r="B21" i="5"/>
  <c r="C21" i="5"/>
  <c r="A22" i="5"/>
  <c r="B22" i="5"/>
  <c r="C22" i="5"/>
  <c r="A23" i="5"/>
  <c r="B23" i="5"/>
  <c r="C23" i="5"/>
  <c r="A24" i="5"/>
  <c r="B24" i="5"/>
  <c r="C24" i="5"/>
  <c r="A25" i="5"/>
  <c r="G25" i="5" s="1"/>
  <c r="B25" i="5"/>
  <c r="C25" i="5"/>
  <c r="A26" i="5"/>
  <c r="B26" i="5"/>
  <c r="C26" i="5"/>
  <c r="A27" i="5"/>
  <c r="B27" i="5"/>
  <c r="C27" i="5"/>
  <c r="A28" i="5"/>
  <c r="B28" i="5"/>
  <c r="C28" i="5"/>
  <c r="A29" i="5"/>
  <c r="G29" i="5" s="1"/>
  <c r="B29" i="5"/>
  <c r="C29" i="5"/>
  <c r="A30" i="5"/>
  <c r="B30" i="5"/>
  <c r="C30" i="5"/>
  <c r="A31" i="5"/>
  <c r="B31" i="5"/>
  <c r="C31" i="5"/>
  <c r="A32" i="5"/>
  <c r="B32" i="5"/>
  <c r="C32" i="5"/>
  <c r="A33" i="5"/>
  <c r="H33" i="5" s="1"/>
  <c r="B33" i="5"/>
  <c r="C33" i="5"/>
  <c r="A34" i="5"/>
  <c r="B34" i="5"/>
  <c r="C34" i="5"/>
  <c r="A35" i="5"/>
  <c r="B35" i="5"/>
  <c r="C35" i="5"/>
  <c r="A36" i="5"/>
  <c r="B36" i="5"/>
  <c r="C36" i="5"/>
  <c r="A37" i="5"/>
  <c r="I37" i="5" s="1"/>
  <c r="B37" i="5"/>
  <c r="C37" i="5"/>
  <c r="A38" i="5"/>
  <c r="B38" i="5"/>
  <c r="C38" i="5"/>
  <c r="A39" i="5"/>
  <c r="B39" i="5"/>
  <c r="C39" i="5"/>
  <c r="A40" i="5"/>
  <c r="G40" i="5" s="1"/>
  <c r="B40" i="5"/>
  <c r="C40" i="5"/>
  <c r="A41" i="5"/>
  <c r="G41" i="5" s="1"/>
  <c r="B41" i="5"/>
  <c r="C41" i="5"/>
  <c r="A42" i="5"/>
  <c r="B42" i="5"/>
  <c r="C42" i="5"/>
  <c r="A43" i="5"/>
  <c r="B43" i="5"/>
  <c r="C43" i="5"/>
  <c r="A44" i="5"/>
  <c r="B44" i="5"/>
  <c r="C44" i="5"/>
  <c r="A45" i="5"/>
  <c r="B45" i="5"/>
  <c r="C45" i="5"/>
  <c r="A46" i="5"/>
  <c r="B46" i="5"/>
  <c r="C46" i="5"/>
  <c r="A47" i="5"/>
  <c r="B47" i="5"/>
  <c r="C47" i="5"/>
  <c r="A48" i="5"/>
  <c r="G48" i="5" s="1"/>
  <c r="B48" i="5"/>
  <c r="C48" i="5"/>
  <c r="A49" i="5"/>
  <c r="B49" i="5"/>
  <c r="C49" i="5"/>
  <c r="A50" i="5"/>
  <c r="B50" i="5"/>
  <c r="C50" i="5"/>
  <c r="A51" i="5"/>
  <c r="B51" i="5"/>
  <c r="C51" i="5"/>
  <c r="A52" i="5"/>
  <c r="B52" i="5"/>
  <c r="C52" i="5"/>
  <c r="A53" i="5"/>
  <c r="G53" i="5" s="1"/>
  <c r="B53" i="5"/>
  <c r="C53" i="5"/>
  <c r="A54" i="5"/>
  <c r="B54" i="5"/>
  <c r="C54" i="5"/>
  <c r="A55" i="5"/>
  <c r="I55" i="5" s="1"/>
  <c r="B55" i="5"/>
  <c r="C55" i="5"/>
  <c r="A56" i="5"/>
  <c r="E56" i="5" s="1"/>
  <c r="B56" i="5"/>
  <c r="C56" i="5"/>
  <c r="A57" i="5"/>
  <c r="L57" i="5" s="1"/>
  <c r="B57" i="5"/>
  <c r="C57" i="5"/>
  <c r="A58" i="5"/>
  <c r="B58" i="5"/>
  <c r="C58" i="5"/>
  <c r="A59" i="5"/>
  <c r="B59" i="5"/>
  <c r="C59" i="5"/>
  <c r="A60" i="5"/>
  <c r="B60" i="5"/>
  <c r="C60" i="5"/>
  <c r="A61" i="5"/>
  <c r="B61" i="5"/>
  <c r="C61" i="5"/>
  <c r="A62" i="5"/>
  <c r="B62" i="5"/>
  <c r="C62" i="5"/>
  <c r="A63" i="5"/>
  <c r="B63" i="5"/>
  <c r="C63" i="5"/>
  <c r="A64" i="5"/>
  <c r="B64" i="5"/>
  <c r="C64" i="5"/>
  <c r="A65" i="5"/>
  <c r="I65" i="5" s="1"/>
  <c r="B65" i="5"/>
  <c r="C65" i="5"/>
  <c r="A66" i="5"/>
  <c r="B66" i="5"/>
  <c r="C66" i="5"/>
  <c r="A67" i="5"/>
  <c r="B67" i="5"/>
  <c r="C67" i="5"/>
  <c r="A68" i="5"/>
  <c r="B68" i="5"/>
  <c r="C68" i="5"/>
  <c r="A69" i="5"/>
  <c r="B69" i="5"/>
  <c r="C69" i="5"/>
  <c r="A70" i="5"/>
  <c r="B70" i="5"/>
  <c r="C70" i="5"/>
  <c r="A71" i="5"/>
  <c r="B71" i="5"/>
  <c r="C71" i="5"/>
  <c r="A72" i="5"/>
  <c r="B72" i="5"/>
  <c r="C72" i="5"/>
  <c r="A73" i="5"/>
  <c r="N73" i="5" s="1"/>
  <c r="B73" i="5"/>
  <c r="C73" i="5"/>
  <c r="A74" i="5"/>
  <c r="B74" i="5"/>
  <c r="C74" i="5"/>
  <c r="A75" i="5"/>
  <c r="B75" i="5"/>
  <c r="C75" i="5"/>
  <c r="A76" i="5"/>
  <c r="B76" i="5"/>
  <c r="C76" i="5"/>
  <c r="A77" i="5"/>
  <c r="B77" i="5"/>
  <c r="C77" i="5"/>
  <c r="A78" i="5"/>
  <c r="B78" i="5"/>
  <c r="C78" i="5"/>
  <c r="A79" i="5"/>
  <c r="B79" i="5"/>
  <c r="C79" i="5"/>
  <c r="A80" i="5"/>
  <c r="B80" i="5"/>
  <c r="C80" i="5"/>
  <c r="A81" i="5"/>
  <c r="I81" i="5" s="1"/>
  <c r="B81" i="5"/>
  <c r="C81" i="5"/>
  <c r="A82" i="5"/>
  <c r="G82" i="5" s="1"/>
  <c r="B82" i="5"/>
  <c r="C82" i="5"/>
  <c r="A83" i="5"/>
  <c r="B83" i="5"/>
  <c r="C83" i="5"/>
  <c r="A84" i="5"/>
  <c r="B84" i="5"/>
  <c r="C84" i="5"/>
  <c r="A85" i="5"/>
  <c r="B85" i="5"/>
  <c r="C85" i="5"/>
  <c r="A86" i="5"/>
  <c r="B86" i="5"/>
  <c r="C86" i="5"/>
  <c r="A87" i="5"/>
  <c r="B87" i="5"/>
  <c r="C87" i="5"/>
  <c r="A88" i="5"/>
  <c r="B88" i="5"/>
  <c r="C88" i="5"/>
  <c r="A89" i="5"/>
  <c r="F89" i="5" s="1"/>
  <c r="B89" i="5"/>
  <c r="C89" i="5"/>
  <c r="A90" i="5"/>
  <c r="B90" i="5"/>
  <c r="C90" i="5"/>
  <c r="A91" i="5"/>
  <c r="B91" i="5"/>
  <c r="C91" i="5"/>
  <c r="A92" i="5"/>
  <c r="B92" i="5"/>
  <c r="C92" i="5"/>
  <c r="A93" i="5"/>
  <c r="F93" i="5" s="1"/>
  <c r="B93" i="5"/>
  <c r="C93" i="5"/>
  <c r="A94" i="5"/>
  <c r="B94" i="5"/>
  <c r="C94" i="5"/>
  <c r="A95" i="5"/>
  <c r="B95" i="5"/>
  <c r="C95" i="5"/>
  <c r="A96" i="5"/>
  <c r="F96" i="5" s="1"/>
  <c r="B96" i="5"/>
  <c r="C96" i="5"/>
  <c r="A97" i="5"/>
  <c r="H97" i="5" s="1"/>
  <c r="B97" i="5"/>
  <c r="C97" i="5"/>
  <c r="A98" i="5"/>
  <c r="B98" i="5"/>
  <c r="C98" i="5"/>
  <c r="A99" i="5"/>
  <c r="B99" i="5"/>
  <c r="C99" i="5"/>
  <c r="A100" i="5"/>
  <c r="B100" i="5"/>
  <c r="C100" i="5"/>
  <c r="A101" i="5"/>
  <c r="B101" i="5"/>
  <c r="C101" i="5"/>
  <c r="A102" i="5"/>
  <c r="B102" i="5"/>
  <c r="C102" i="5"/>
  <c r="A103" i="5"/>
  <c r="B103" i="5"/>
  <c r="C103" i="5"/>
  <c r="A104" i="5"/>
  <c r="F104" i="5" s="1"/>
  <c r="B104" i="5"/>
  <c r="C104" i="5"/>
  <c r="A105" i="5"/>
  <c r="H105" i="5" s="1"/>
  <c r="B105" i="5"/>
  <c r="C105" i="5"/>
  <c r="A106" i="5"/>
  <c r="B106" i="5"/>
  <c r="C106" i="5"/>
  <c r="A107" i="5"/>
  <c r="B107" i="5"/>
  <c r="C107" i="5"/>
  <c r="A108" i="5"/>
  <c r="B108" i="5"/>
  <c r="C108" i="5"/>
  <c r="A109" i="5"/>
  <c r="B109" i="5"/>
  <c r="C109" i="5"/>
  <c r="A110" i="5"/>
  <c r="B110" i="5"/>
  <c r="C110" i="5"/>
  <c r="A111" i="5"/>
  <c r="B111" i="5"/>
  <c r="C111" i="5"/>
  <c r="A112" i="5"/>
  <c r="B112" i="5"/>
  <c r="C112" i="5"/>
  <c r="A113" i="5"/>
  <c r="H113" i="5" s="1"/>
  <c r="B113" i="5"/>
  <c r="C113" i="5"/>
  <c r="A114" i="5"/>
  <c r="B114" i="5"/>
  <c r="C114" i="5"/>
  <c r="A115" i="5"/>
  <c r="B115" i="5"/>
  <c r="C115" i="5"/>
  <c r="A116" i="5"/>
  <c r="B116" i="5"/>
  <c r="C116" i="5"/>
  <c r="A117" i="5"/>
  <c r="B117" i="5"/>
  <c r="C117" i="5"/>
  <c r="A118" i="5"/>
  <c r="B118" i="5"/>
  <c r="C118" i="5"/>
  <c r="A119" i="5"/>
  <c r="B119" i="5"/>
  <c r="C119" i="5"/>
  <c r="A120" i="5"/>
  <c r="I120" i="5" s="1"/>
  <c r="B120" i="5"/>
  <c r="C120" i="5"/>
  <c r="A121" i="5"/>
  <c r="B121" i="5"/>
  <c r="C121" i="5"/>
  <c r="A122" i="5"/>
  <c r="B122" i="5"/>
  <c r="C122" i="5"/>
  <c r="A123" i="5"/>
  <c r="B123" i="5"/>
  <c r="C123" i="5"/>
  <c r="A124" i="5"/>
  <c r="B124" i="5"/>
  <c r="C124" i="5"/>
  <c r="A125" i="5"/>
  <c r="B125" i="5"/>
  <c r="C125" i="5"/>
  <c r="A126" i="5"/>
  <c r="B126" i="5"/>
  <c r="C126" i="5"/>
  <c r="A127" i="5"/>
  <c r="B127" i="5"/>
  <c r="C127" i="5"/>
  <c r="A128" i="5"/>
  <c r="B128" i="5"/>
  <c r="C128" i="5"/>
  <c r="A129" i="5"/>
  <c r="E129" i="5" s="1"/>
  <c r="B129" i="5"/>
  <c r="C129" i="5"/>
  <c r="A130" i="5"/>
  <c r="B130" i="5"/>
  <c r="C130" i="5"/>
  <c r="A131" i="5"/>
  <c r="B131" i="5"/>
  <c r="C131" i="5"/>
  <c r="A132" i="5"/>
  <c r="B132" i="5"/>
  <c r="C132" i="5"/>
  <c r="A133" i="5"/>
  <c r="B133" i="5"/>
  <c r="C133" i="5"/>
  <c r="A134" i="5"/>
  <c r="B134" i="5"/>
  <c r="C134" i="5"/>
  <c r="A135" i="5"/>
  <c r="B135" i="5"/>
  <c r="C135" i="5"/>
  <c r="A136" i="5"/>
  <c r="B136" i="5"/>
  <c r="C136" i="5"/>
  <c r="A137" i="5"/>
  <c r="D137" i="5" s="1"/>
  <c r="B137" i="5"/>
  <c r="C137" i="5"/>
  <c r="A138" i="5"/>
  <c r="B138" i="5"/>
  <c r="C138" i="5"/>
  <c r="A139" i="5"/>
  <c r="B139" i="5"/>
  <c r="C139" i="5"/>
  <c r="A140" i="5"/>
  <c r="B140" i="5"/>
  <c r="C140" i="5"/>
  <c r="A141" i="5"/>
  <c r="B141" i="5"/>
  <c r="C141" i="5"/>
  <c r="A142" i="5"/>
  <c r="B142" i="5"/>
  <c r="C142" i="5"/>
  <c r="A143" i="5"/>
  <c r="B143" i="5"/>
  <c r="C143" i="5"/>
  <c r="A144" i="5"/>
  <c r="B144" i="5"/>
  <c r="C144" i="5"/>
  <c r="A145" i="5"/>
  <c r="N145" i="5" s="1"/>
  <c r="B145" i="5"/>
  <c r="C145" i="5"/>
  <c r="A146" i="5"/>
  <c r="B146" i="5"/>
  <c r="C146" i="5"/>
  <c r="A147" i="5"/>
  <c r="B147" i="5"/>
  <c r="C147" i="5"/>
  <c r="A148" i="5"/>
  <c r="B148" i="5"/>
  <c r="C148" i="5"/>
  <c r="A149" i="5"/>
  <c r="B149" i="5"/>
  <c r="C149" i="5"/>
  <c r="A150" i="5"/>
  <c r="B150" i="5"/>
  <c r="C150" i="5"/>
  <c r="A151" i="5"/>
  <c r="B151" i="5"/>
  <c r="C151" i="5"/>
  <c r="A152" i="5"/>
  <c r="B152" i="5"/>
  <c r="C152" i="5"/>
  <c r="A153" i="5"/>
  <c r="B153" i="5"/>
  <c r="C153" i="5"/>
  <c r="A154" i="5"/>
  <c r="B154" i="5"/>
  <c r="C154" i="5"/>
  <c r="A155" i="5"/>
  <c r="B155" i="5"/>
  <c r="C155" i="5"/>
  <c r="A156" i="5"/>
  <c r="B156" i="5"/>
  <c r="C156" i="5"/>
  <c r="A157" i="5"/>
  <c r="B157" i="5"/>
  <c r="C157" i="5"/>
  <c r="A158" i="5"/>
  <c r="B158" i="5"/>
  <c r="C158" i="5"/>
  <c r="A159" i="5"/>
  <c r="B159" i="5"/>
  <c r="C159" i="5"/>
  <c r="A160" i="5"/>
  <c r="B160" i="5"/>
  <c r="C160" i="5"/>
  <c r="A161" i="5"/>
  <c r="B161" i="5"/>
  <c r="C161" i="5"/>
  <c r="A162" i="5"/>
  <c r="B162" i="5"/>
  <c r="C162" i="5"/>
  <c r="A163" i="5"/>
  <c r="B163" i="5"/>
  <c r="C163" i="5"/>
  <c r="A164" i="5"/>
  <c r="B164" i="5"/>
  <c r="C164" i="5"/>
  <c r="A165" i="5"/>
  <c r="B165" i="5"/>
  <c r="C165" i="5"/>
  <c r="A166" i="5"/>
  <c r="B166" i="5"/>
  <c r="C166" i="5"/>
  <c r="A167" i="5"/>
  <c r="B167" i="5"/>
  <c r="C167" i="5"/>
  <c r="A168" i="5"/>
  <c r="B168" i="5"/>
  <c r="C168" i="5"/>
  <c r="A169" i="5"/>
  <c r="H169" i="5" s="1"/>
  <c r="B169" i="5"/>
  <c r="C169" i="5"/>
  <c r="A170" i="5"/>
  <c r="B170" i="5"/>
  <c r="C170" i="5"/>
  <c r="A171" i="5"/>
  <c r="B171" i="5"/>
  <c r="C171" i="5"/>
  <c r="A172" i="5"/>
  <c r="B172" i="5"/>
  <c r="C172" i="5"/>
  <c r="A173" i="5"/>
  <c r="B173" i="5"/>
  <c r="C173" i="5"/>
  <c r="A174" i="5"/>
  <c r="B174" i="5"/>
  <c r="C174" i="5"/>
  <c r="A175" i="5"/>
  <c r="E175" i="5" s="1"/>
  <c r="B175" i="5"/>
  <c r="C175" i="5"/>
  <c r="A176" i="5"/>
  <c r="B176" i="5"/>
  <c r="C176" i="5"/>
  <c r="A177" i="5"/>
  <c r="B177" i="5"/>
  <c r="C177" i="5"/>
  <c r="A178" i="5"/>
  <c r="B178" i="5"/>
  <c r="C178" i="5"/>
  <c r="A179" i="5"/>
  <c r="B179" i="5"/>
  <c r="C179" i="5"/>
  <c r="A180" i="5"/>
  <c r="B180" i="5"/>
  <c r="C180" i="5"/>
  <c r="A181" i="5"/>
  <c r="B181" i="5"/>
  <c r="C181" i="5"/>
  <c r="A182" i="5"/>
  <c r="B182" i="5"/>
  <c r="C182" i="5"/>
  <c r="A183" i="5"/>
  <c r="B183" i="5"/>
  <c r="C183" i="5"/>
  <c r="A184" i="5"/>
  <c r="B184" i="5"/>
  <c r="C184" i="5"/>
  <c r="A185" i="5"/>
  <c r="G185" i="5" s="1"/>
  <c r="B185" i="5"/>
  <c r="C185" i="5"/>
  <c r="A186" i="5"/>
  <c r="B186" i="5"/>
  <c r="C186" i="5"/>
  <c r="A187" i="5"/>
  <c r="B187" i="5"/>
  <c r="C187" i="5"/>
  <c r="A188" i="5"/>
  <c r="B188" i="5"/>
  <c r="C188" i="5"/>
  <c r="A189" i="5"/>
  <c r="D189" i="5" s="1"/>
  <c r="B189" i="5"/>
  <c r="C189" i="5"/>
  <c r="A190" i="5"/>
  <c r="B190" i="5"/>
  <c r="C190" i="5"/>
  <c r="A191" i="5"/>
  <c r="B191" i="5"/>
  <c r="C191" i="5"/>
  <c r="A192" i="5"/>
  <c r="B192" i="5"/>
  <c r="C192" i="5"/>
  <c r="A193" i="5"/>
  <c r="B193" i="5"/>
  <c r="C193" i="5"/>
  <c r="A194" i="5"/>
  <c r="B194" i="5"/>
  <c r="C194" i="5"/>
  <c r="A195" i="5"/>
  <c r="B195" i="5"/>
  <c r="C195" i="5"/>
  <c r="A196" i="5"/>
  <c r="B196" i="5"/>
  <c r="C196" i="5"/>
  <c r="A197" i="5"/>
  <c r="B197" i="5"/>
  <c r="C197" i="5"/>
  <c r="A198" i="5"/>
  <c r="D198" i="5" s="1"/>
  <c r="B198" i="5"/>
  <c r="C198" i="5"/>
  <c r="A199" i="5"/>
  <c r="B199" i="5"/>
  <c r="C199" i="5"/>
  <c r="A200" i="5"/>
  <c r="B200" i="5"/>
  <c r="C200" i="5"/>
  <c r="A201" i="5"/>
  <c r="B201" i="5"/>
  <c r="C201" i="5"/>
  <c r="A202" i="5"/>
  <c r="B202" i="5"/>
  <c r="C202" i="5"/>
  <c r="A203" i="5"/>
  <c r="I203" i="5" s="1"/>
  <c r="B203" i="5"/>
  <c r="C203" i="5"/>
  <c r="A204" i="5"/>
  <c r="B204" i="5"/>
  <c r="C204" i="5"/>
  <c r="A205" i="5"/>
  <c r="B205" i="5"/>
  <c r="C205" i="5"/>
  <c r="A206" i="5"/>
  <c r="B206" i="5"/>
  <c r="C206" i="5"/>
  <c r="A207" i="5"/>
  <c r="B207" i="5"/>
  <c r="C207" i="5"/>
  <c r="A208" i="5"/>
  <c r="B208" i="5"/>
  <c r="C208" i="5"/>
  <c r="A209" i="5"/>
  <c r="I209" i="5" s="1"/>
  <c r="B209" i="5"/>
  <c r="C209" i="5"/>
  <c r="A210" i="5"/>
  <c r="B210" i="5"/>
  <c r="C210" i="5"/>
  <c r="A211" i="5"/>
  <c r="B211" i="5"/>
  <c r="C211" i="5"/>
  <c r="A212" i="5"/>
  <c r="B212" i="5"/>
  <c r="C212" i="5"/>
  <c r="A213" i="5"/>
  <c r="B213" i="5"/>
  <c r="C213" i="5"/>
  <c r="A214" i="5"/>
  <c r="B214" i="5"/>
  <c r="C214" i="5"/>
  <c r="A215" i="5"/>
  <c r="B215" i="5"/>
  <c r="C215" i="5"/>
  <c r="A216" i="5"/>
  <c r="E216" i="5" s="1"/>
  <c r="B216" i="5"/>
  <c r="C216" i="5"/>
  <c r="A217" i="5"/>
  <c r="B217" i="5"/>
  <c r="C217" i="5"/>
  <c r="A218" i="5"/>
  <c r="E218" i="5" s="1"/>
  <c r="B218" i="5"/>
  <c r="C218" i="5"/>
  <c r="A219" i="5"/>
  <c r="B219" i="5"/>
  <c r="C219" i="5"/>
  <c r="A220" i="5"/>
  <c r="B220" i="5"/>
  <c r="C220" i="5"/>
  <c r="A221" i="5"/>
  <c r="B221" i="5"/>
  <c r="C221" i="5"/>
  <c r="A222" i="5"/>
  <c r="B222" i="5"/>
  <c r="C222" i="5"/>
  <c r="A223" i="5"/>
  <c r="B223" i="5"/>
  <c r="C223" i="5"/>
  <c r="A224" i="5"/>
  <c r="B224" i="5"/>
  <c r="C224" i="5"/>
  <c r="A225" i="5"/>
  <c r="D225" i="5" s="1"/>
  <c r="B225" i="5"/>
  <c r="C225" i="5"/>
  <c r="A226" i="5"/>
  <c r="B226" i="5"/>
  <c r="C226" i="5"/>
  <c r="A227" i="5"/>
  <c r="I227" i="5" s="1"/>
  <c r="B227" i="5"/>
  <c r="C227" i="5"/>
  <c r="A228" i="5"/>
  <c r="B228" i="5"/>
  <c r="C228" i="5"/>
  <c r="A229" i="5"/>
  <c r="B229" i="5"/>
  <c r="C229" i="5"/>
  <c r="A230" i="5"/>
  <c r="B230" i="5"/>
  <c r="C230" i="5"/>
  <c r="A231" i="5"/>
  <c r="B231" i="5"/>
  <c r="C231" i="5"/>
  <c r="A232" i="5"/>
  <c r="B232" i="5"/>
  <c r="C232" i="5"/>
  <c r="A233" i="5"/>
  <c r="F233" i="5" s="1"/>
  <c r="B233" i="5"/>
  <c r="C233" i="5"/>
  <c r="A234" i="5"/>
  <c r="B234" i="5"/>
  <c r="C234" i="5"/>
  <c r="A235" i="5"/>
  <c r="B235" i="5"/>
  <c r="C235" i="5"/>
  <c r="A236" i="5"/>
  <c r="B236" i="5"/>
  <c r="C236" i="5"/>
  <c r="A237" i="5"/>
  <c r="B237" i="5"/>
  <c r="C237" i="5"/>
  <c r="A238" i="5"/>
  <c r="B238" i="5"/>
  <c r="C238" i="5"/>
  <c r="A239" i="5"/>
  <c r="G239" i="5" s="1"/>
  <c r="B239" i="5"/>
  <c r="C239" i="5"/>
  <c r="A240" i="5"/>
  <c r="B240" i="5"/>
  <c r="C240" i="5"/>
  <c r="A241" i="5"/>
  <c r="G241" i="5" s="1"/>
  <c r="B241" i="5"/>
  <c r="C241" i="5"/>
  <c r="A242" i="5"/>
  <c r="B242" i="5"/>
  <c r="C242" i="5"/>
  <c r="A243" i="5"/>
  <c r="I243" i="5" s="1"/>
  <c r="B243" i="5"/>
  <c r="C243" i="5"/>
  <c r="A244" i="5"/>
  <c r="B244" i="5"/>
  <c r="C244" i="5"/>
  <c r="A245" i="5"/>
  <c r="B245" i="5"/>
  <c r="C245" i="5"/>
  <c r="A246" i="5"/>
  <c r="B246" i="5"/>
  <c r="C246" i="5"/>
  <c r="A247" i="5"/>
  <c r="N247" i="5" s="1"/>
  <c r="B247" i="5"/>
  <c r="C247" i="5"/>
  <c r="A248" i="5"/>
  <c r="B248" i="5"/>
  <c r="C248" i="5"/>
  <c r="A249" i="5"/>
  <c r="B249" i="5"/>
  <c r="C249" i="5"/>
  <c r="A250" i="5"/>
  <c r="B250" i="5"/>
  <c r="C250" i="5"/>
  <c r="A251" i="5"/>
  <c r="E251" i="5" s="1"/>
  <c r="B251" i="5"/>
  <c r="C251" i="5"/>
  <c r="C3" i="5"/>
  <c r="B3" i="5"/>
  <c r="A3" i="5"/>
  <c r="I172" i="5"/>
  <c r="I164" i="5"/>
  <c r="E116" i="5"/>
  <c r="F112" i="5"/>
  <c r="M108" i="5"/>
  <c r="M100" i="5"/>
  <c r="I88" i="5"/>
  <c r="E60" i="5"/>
  <c r="G52" i="5"/>
  <c r="G44" i="5"/>
  <c r="G36" i="5"/>
  <c r="G32" i="5"/>
  <c r="G28" i="5"/>
  <c r="G24" i="5"/>
  <c r="G20" i="5"/>
  <c r="G16" i="5"/>
  <c r="G12" i="5"/>
  <c r="G8" i="5"/>
  <c r="D3" i="5"/>
  <c r="F62" i="5"/>
  <c r="M251" i="5"/>
  <c r="L251" i="5"/>
  <c r="K251" i="5"/>
  <c r="J251" i="5"/>
  <c r="I251" i="5"/>
  <c r="F251" i="5"/>
  <c r="N250" i="5"/>
  <c r="M250" i="5"/>
  <c r="L250" i="5"/>
  <c r="K250" i="5"/>
  <c r="J250" i="5"/>
  <c r="I250" i="5"/>
  <c r="H250" i="5"/>
  <c r="G250" i="5"/>
  <c r="F250" i="5"/>
  <c r="E250" i="5"/>
  <c r="D250" i="5"/>
  <c r="N249" i="5"/>
  <c r="M249" i="5"/>
  <c r="L249" i="5"/>
  <c r="K249" i="5"/>
  <c r="J249" i="5"/>
  <c r="I249" i="5"/>
  <c r="H249" i="5"/>
  <c r="G249" i="5"/>
  <c r="F249" i="5"/>
  <c r="E249" i="5"/>
  <c r="D249" i="5"/>
  <c r="N248" i="5"/>
  <c r="M248" i="5"/>
  <c r="L248" i="5"/>
  <c r="K248" i="5"/>
  <c r="J248" i="5"/>
  <c r="I248" i="5"/>
  <c r="H248" i="5"/>
  <c r="G248" i="5"/>
  <c r="F248" i="5"/>
  <c r="E248" i="5"/>
  <c r="D248" i="5"/>
  <c r="M247" i="5"/>
  <c r="L247" i="5"/>
  <c r="K247" i="5"/>
  <c r="J247" i="5"/>
  <c r="I247" i="5"/>
  <c r="H247" i="5"/>
  <c r="G247" i="5"/>
  <c r="E247" i="5"/>
  <c r="D247" i="5"/>
  <c r="N246" i="5"/>
  <c r="M246" i="5"/>
  <c r="L246" i="5"/>
  <c r="K246" i="5"/>
  <c r="J246" i="5"/>
  <c r="I246" i="5"/>
  <c r="H246" i="5"/>
  <c r="G246" i="5"/>
  <c r="F246" i="5"/>
  <c r="E246" i="5"/>
  <c r="D246" i="5"/>
  <c r="N245" i="5"/>
  <c r="M245" i="5"/>
  <c r="L245" i="5"/>
  <c r="K245" i="5"/>
  <c r="J245" i="5"/>
  <c r="I245" i="5"/>
  <c r="H245" i="5"/>
  <c r="G245" i="5"/>
  <c r="F245" i="5"/>
  <c r="E245" i="5"/>
  <c r="D245" i="5"/>
  <c r="M244" i="5"/>
  <c r="L244" i="5"/>
  <c r="K244" i="5"/>
  <c r="J244" i="5"/>
  <c r="M243" i="5"/>
  <c r="L243" i="5"/>
  <c r="K243" i="5"/>
  <c r="J243" i="5"/>
  <c r="E243" i="5"/>
  <c r="N242" i="5"/>
  <c r="M242" i="5"/>
  <c r="L242" i="5"/>
  <c r="K242" i="5"/>
  <c r="J242" i="5"/>
  <c r="I242" i="5"/>
  <c r="H242" i="5"/>
  <c r="G242" i="5"/>
  <c r="F242" i="5"/>
  <c r="E242" i="5"/>
  <c r="D242" i="5"/>
  <c r="M241" i="5"/>
  <c r="L241" i="5"/>
  <c r="K241" i="5"/>
  <c r="J241" i="5"/>
  <c r="M240" i="5"/>
  <c r="L240" i="5"/>
  <c r="K240" i="5"/>
  <c r="J240" i="5"/>
  <c r="N239" i="5"/>
  <c r="M239" i="5"/>
  <c r="L239" i="5"/>
  <c r="K239" i="5"/>
  <c r="J239" i="5"/>
  <c r="I239" i="5"/>
  <c r="H239" i="5"/>
  <c r="F239" i="5"/>
  <c r="E239" i="5"/>
  <c r="D239" i="5"/>
  <c r="N238" i="5"/>
  <c r="M238" i="5"/>
  <c r="L238" i="5"/>
  <c r="K238" i="5"/>
  <c r="J238" i="5"/>
  <c r="I238" i="5"/>
  <c r="H238" i="5"/>
  <c r="G238" i="5"/>
  <c r="F238" i="5"/>
  <c r="E238" i="5"/>
  <c r="D238" i="5"/>
  <c r="N237" i="5"/>
  <c r="M237" i="5"/>
  <c r="L237" i="5"/>
  <c r="K237" i="5"/>
  <c r="J237" i="5"/>
  <c r="I237" i="5"/>
  <c r="H237" i="5"/>
  <c r="G237" i="5"/>
  <c r="F237" i="5"/>
  <c r="E237" i="5"/>
  <c r="D237" i="5"/>
  <c r="M236" i="5"/>
  <c r="L236" i="5"/>
  <c r="K236" i="5"/>
  <c r="J236" i="5"/>
  <c r="I236" i="5"/>
  <c r="N235" i="5"/>
  <c r="M235" i="5"/>
  <c r="L235" i="5"/>
  <c r="K235" i="5"/>
  <c r="J235" i="5"/>
  <c r="I235" i="5"/>
  <c r="H235" i="5"/>
  <c r="G235" i="5"/>
  <c r="F235" i="5"/>
  <c r="E235" i="5"/>
  <c r="D235" i="5"/>
  <c r="N234" i="5"/>
  <c r="M234" i="5"/>
  <c r="L234" i="5"/>
  <c r="K234" i="5"/>
  <c r="J234" i="5"/>
  <c r="I234" i="5"/>
  <c r="H234" i="5"/>
  <c r="G234" i="5"/>
  <c r="F234" i="5"/>
  <c r="E234" i="5"/>
  <c r="D234" i="5"/>
  <c r="M233" i="5"/>
  <c r="L233" i="5"/>
  <c r="K233" i="5"/>
  <c r="J233" i="5"/>
  <c r="N232" i="5"/>
  <c r="M232" i="5"/>
  <c r="L232" i="5"/>
  <c r="K232" i="5"/>
  <c r="J232" i="5"/>
  <c r="I232" i="5"/>
  <c r="H232" i="5"/>
  <c r="G232" i="5"/>
  <c r="F232" i="5"/>
  <c r="E232" i="5"/>
  <c r="D232" i="5"/>
  <c r="N231" i="5"/>
  <c r="M231" i="5"/>
  <c r="L231" i="5"/>
  <c r="K231" i="5"/>
  <c r="J231" i="5"/>
  <c r="I231" i="5"/>
  <c r="H231" i="5"/>
  <c r="G231" i="5"/>
  <c r="F231" i="5"/>
  <c r="E231" i="5"/>
  <c r="D231" i="5"/>
  <c r="N230" i="5"/>
  <c r="M230" i="5"/>
  <c r="L230" i="5"/>
  <c r="K230" i="5"/>
  <c r="J230" i="5"/>
  <c r="I230" i="5"/>
  <c r="H230" i="5"/>
  <c r="G230" i="5"/>
  <c r="F230" i="5"/>
  <c r="E230" i="5"/>
  <c r="D230" i="5"/>
  <c r="N229" i="5"/>
  <c r="M229" i="5"/>
  <c r="L229" i="5"/>
  <c r="K229" i="5"/>
  <c r="J229" i="5"/>
  <c r="M228" i="5"/>
  <c r="L228" i="5"/>
  <c r="K228" i="5"/>
  <c r="J228" i="5"/>
  <c r="E228" i="5"/>
  <c r="M227" i="5"/>
  <c r="L227" i="5"/>
  <c r="K227" i="5"/>
  <c r="J227" i="5"/>
  <c r="E227" i="5"/>
  <c r="N226" i="5"/>
  <c r="M226" i="5"/>
  <c r="L226" i="5"/>
  <c r="K226" i="5"/>
  <c r="J226" i="5"/>
  <c r="I226" i="5"/>
  <c r="H226" i="5"/>
  <c r="G226" i="5"/>
  <c r="F226" i="5"/>
  <c r="E226" i="5"/>
  <c r="D226" i="5"/>
  <c r="M225" i="5"/>
  <c r="L225" i="5"/>
  <c r="K225" i="5"/>
  <c r="J225" i="5"/>
  <c r="N224" i="5"/>
  <c r="M224" i="5"/>
  <c r="L224" i="5"/>
  <c r="K224" i="5"/>
  <c r="J224" i="5"/>
  <c r="I224" i="5"/>
  <c r="H224" i="5"/>
  <c r="G224" i="5"/>
  <c r="F224" i="5"/>
  <c r="E224" i="5"/>
  <c r="D224" i="5"/>
  <c r="N223" i="5"/>
  <c r="M223" i="5"/>
  <c r="L223" i="5"/>
  <c r="K223" i="5"/>
  <c r="J223" i="5"/>
  <c r="I223" i="5"/>
  <c r="H223" i="5"/>
  <c r="G223" i="5"/>
  <c r="F223" i="5"/>
  <c r="E223" i="5"/>
  <c r="D223" i="5"/>
  <c r="N222" i="5"/>
  <c r="M222" i="5"/>
  <c r="L222" i="5"/>
  <c r="K222" i="5"/>
  <c r="J222" i="5"/>
  <c r="I222" i="5"/>
  <c r="H222" i="5"/>
  <c r="G222" i="5"/>
  <c r="F222" i="5"/>
  <c r="E222" i="5"/>
  <c r="D222" i="5"/>
  <c r="M221" i="5"/>
  <c r="L221" i="5"/>
  <c r="K221" i="5"/>
  <c r="J221" i="5"/>
  <c r="H221" i="5"/>
  <c r="N220" i="5"/>
  <c r="M220" i="5"/>
  <c r="L220" i="5"/>
  <c r="K220" i="5"/>
  <c r="J220" i="5"/>
  <c r="I220" i="5"/>
  <c r="H220" i="5"/>
  <c r="G220" i="5"/>
  <c r="F220" i="5"/>
  <c r="E220" i="5"/>
  <c r="D220" i="5"/>
  <c r="N219" i="5"/>
  <c r="M219" i="5"/>
  <c r="L219" i="5"/>
  <c r="K219" i="5"/>
  <c r="J219" i="5"/>
  <c r="I219" i="5"/>
  <c r="H219" i="5"/>
  <c r="G219" i="5"/>
  <c r="F219" i="5"/>
  <c r="E219" i="5"/>
  <c r="D219" i="5"/>
  <c r="N218" i="5"/>
  <c r="M218" i="5"/>
  <c r="L218" i="5"/>
  <c r="K218" i="5"/>
  <c r="J218" i="5"/>
  <c r="I218" i="5"/>
  <c r="H218" i="5"/>
  <c r="G218" i="5"/>
  <c r="F218" i="5"/>
  <c r="D218" i="5"/>
  <c r="N217" i="5"/>
  <c r="M217" i="5"/>
  <c r="L217" i="5"/>
  <c r="K217" i="5"/>
  <c r="J217" i="5"/>
  <c r="I217" i="5"/>
  <c r="H217" i="5"/>
  <c r="G217" i="5"/>
  <c r="F217" i="5"/>
  <c r="E217" i="5"/>
  <c r="D217" i="5"/>
  <c r="N216" i="5"/>
  <c r="M216" i="5"/>
  <c r="L216" i="5"/>
  <c r="K216" i="5"/>
  <c r="J216" i="5"/>
  <c r="N215" i="5"/>
  <c r="M215" i="5"/>
  <c r="L215" i="5"/>
  <c r="K215" i="5"/>
  <c r="J215" i="5"/>
  <c r="I215" i="5"/>
  <c r="H215" i="5"/>
  <c r="G215" i="5"/>
  <c r="F215" i="5"/>
  <c r="E215" i="5"/>
  <c r="D215" i="5"/>
  <c r="N214" i="5"/>
  <c r="M214" i="5"/>
  <c r="L214" i="5"/>
  <c r="K214" i="5"/>
  <c r="J214" i="5"/>
  <c r="I214" i="5"/>
  <c r="H214" i="5"/>
  <c r="G214" i="5"/>
  <c r="F214" i="5"/>
  <c r="E214" i="5"/>
  <c r="D214" i="5"/>
  <c r="E212" i="5"/>
  <c r="N211" i="5"/>
  <c r="M211" i="5"/>
  <c r="L211" i="5"/>
  <c r="K211" i="5"/>
  <c r="J211" i="5"/>
  <c r="I211" i="5"/>
  <c r="H211" i="5"/>
  <c r="G211" i="5"/>
  <c r="F211" i="5"/>
  <c r="E211" i="5"/>
  <c r="D211" i="5"/>
  <c r="N210" i="5"/>
  <c r="M210" i="5"/>
  <c r="L210" i="5"/>
  <c r="K210" i="5"/>
  <c r="J210" i="5"/>
  <c r="I210" i="5"/>
  <c r="H210" i="5"/>
  <c r="G210" i="5"/>
  <c r="F210" i="5"/>
  <c r="E210" i="5"/>
  <c r="D210" i="5"/>
  <c r="N209" i="5"/>
  <c r="M209" i="5"/>
  <c r="L209" i="5"/>
  <c r="K209" i="5"/>
  <c r="J209" i="5"/>
  <c r="N208" i="5"/>
  <c r="M208" i="5"/>
  <c r="L208" i="5"/>
  <c r="K208" i="5"/>
  <c r="J208" i="5"/>
  <c r="E208" i="5"/>
  <c r="N207" i="5"/>
  <c r="M207" i="5"/>
  <c r="L207" i="5"/>
  <c r="K207" i="5"/>
  <c r="J207" i="5"/>
  <c r="I207" i="5"/>
  <c r="H207" i="5"/>
  <c r="G207" i="5"/>
  <c r="F207" i="5"/>
  <c r="E207" i="5"/>
  <c r="D207" i="5"/>
  <c r="N206" i="5"/>
  <c r="M206" i="5"/>
  <c r="L206" i="5"/>
  <c r="K206" i="5"/>
  <c r="J206" i="5"/>
  <c r="I206" i="5"/>
  <c r="H206" i="5"/>
  <c r="G206" i="5"/>
  <c r="F206" i="5"/>
  <c r="E206" i="5"/>
  <c r="D206" i="5"/>
  <c r="D205" i="5"/>
  <c r="E204" i="5"/>
  <c r="N203" i="5"/>
  <c r="M203" i="5"/>
  <c r="L203" i="5"/>
  <c r="K203" i="5"/>
  <c r="J203" i="5"/>
  <c r="F203" i="5"/>
  <c r="E203" i="5"/>
  <c r="D203" i="5"/>
  <c r="N202" i="5"/>
  <c r="M202" i="5"/>
  <c r="L202" i="5"/>
  <c r="K202" i="5"/>
  <c r="J202" i="5"/>
  <c r="I202" i="5"/>
  <c r="H202" i="5"/>
  <c r="G202" i="5"/>
  <c r="F202" i="5"/>
  <c r="E202" i="5"/>
  <c r="D202" i="5"/>
  <c r="N201" i="5"/>
  <c r="M201" i="5"/>
  <c r="L201" i="5"/>
  <c r="K201" i="5"/>
  <c r="J201" i="5"/>
  <c r="N200" i="5"/>
  <c r="M200" i="5"/>
  <c r="L200" i="5"/>
  <c r="K200" i="5"/>
  <c r="J200" i="5"/>
  <c r="I200" i="5"/>
  <c r="H200" i="5"/>
  <c r="G200" i="5"/>
  <c r="F200" i="5"/>
  <c r="E200" i="5"/>
  <c r="D200" i="5"/>
  <c r="N199" i="5"/>
  <c r="M199" i="5"/>
  <c r="L199" i="5"/>
  <c r="K199" i="5"/>
  <c r="J199" i="5"/>
  <c r="I199" i="5"/>
  <c r="H199" i="5"/>
  <c r="G199" i="5"/>
  <c r="F199" i="5"/>
  <c r="E199" i="5"/>
  <c r="D199" i="5"/>
  <c r="N198" i="5"/>
  <c r="M198" i="5"/>
  <c r="L198" i="5"/>
  <c r="K198" i="5"/>
  <c r="J198" i="5"/>
  <c r="G198" i="5"/>
  <c r="F198" i="5"/>
  <c r="E198" i="5"/>
  <c r="N197" i="5"/>
  <c r="M197" i="5"/>
  <c r="L197" i="5"/>
  <c r="K197" i="5"/>
  <c r="J197" i="5"/>
  <c r="F197" i="5"/>
  <c r="N196" i="5"/>
  <c r="M196" i="5"/>
  <c r="L196" i="5"/>
  <c r="K196" i="5"/>
  <c r="J196" i="5"/>
  <c r="E196" i="5"/>
  <c r="N195" i="5"/>
  <c r="M195" i="5"/>
  <c r="L195" i="5"/>
  <c r="K195" i="5"/>
  <c r="J195" i="5"/>
  <c r="I195" i="5"/>
  <c r="H195" i="5"/>
  <c r="G195" i="5"/>
  <c r="F195" i="5"/>
  <c r="E195" i="5"/>
  <c r="D195" i="5"/>
  <c r="N194" i="5"/>
  <c r="M194" i="5"/>
  <c r="L194" i="5"/>
  <c r="K194" i="5"/>
  <c r="J194" i="5"/>
  <c r="I194" i="5"/>
  <c r="H194" i="5"/>
  <c r="G194" i="5"/>
  <c r="F194" i="5"/>
  <c r="E194" i="5"/>
  <c r="D194" i="5"/>
  <c r="N193" i="5"/>
  <c r="M193" i="5"/>
  <c r="L193" i="5"/>
  <c r="K193" i="5"/>
  <c r="J193" i="5"/>
  <c r="N192" i="5"/>
  <c r="M192" i="5"/>
  <c r="L192" i="5"/>
  <c r="K192" i="5"/>
  <c r="J192" i="5"/>
  <c r="E192" i="5"/>
  <c r="N191" i="5"/>
  <c r="M191" i="5"/>
  <c r="L191" i="5"/>
  <c r="K191" i="5"/>
  <c r="J191" i="5"/>
  <c r="I191" i="5"/>
  <c r="H191" i="5"/>
  <c r="G191" i="5"/>
  <c r="F191" i="5"/>
  <c r="E191" i="5"/>
  <c r="D191" i="5"/>
  <c r="N190" i="5"/>
  <c r="M190" i="5"/>
  <c r="L190" i="5"/>
  <c r="K190" i="5"/>
  <c r="J190" i="5"/>
  <c r="I190" i="5"/>
  <c r="H190" i="5"/>
  <c r="G190" i="5"/>
  <c r="F190" i="5"/>
  <c r="E190" i="5"/>
  <c r="D190" i="5"/>
  <c r="N189" i="5"/>
  <c r="M189" i="5"/>
  <c r="L189" i="5"/>
  <c r="K189" i="5"/>
  <c r="J189" i="5"/>
  <c r="N188" i="5"/>
  <c r="M188" i="5"/>
  <c r="L188" i="5"/>
  <c r="K188" i="5"/>
  <c r="J188" i="5"/>
  <c r="E188" i="5"/>
  <c r="N187" i="5"/>
  <c r="M187" i="5"/>
  <c r="L187" i="5"/>
  <c r="K187" i="5"/>
  <c r="J187" i="5"/>
  <c r="I187" i="5"/>
  <c r="H187" i="5"/>
  <c r="G187" i="5"/>
  <c r="F187" i="5"/>
  <c r="E187" i="5"/>
  <c r="D187" i="5"/>
  <c r="N186" i="5"/>
  <c r="M186" i="5"/>
  <c r="L186" i="5"/>
  <c r="K186" i="5"/>
  <c r="J186" i="5"/>
  <c r="I186" i="5"/>
  <c r="H186" i="5"/>
  <c r="G186" i="5"/>
  <c r="F186" i="5"/>
  <c r="E186" i="5"/>
  <c r="D186" i="5"/>
  <c r="N185" i="5"/>
  <c r="M185" i="5"/>
  <c r="L185" i="5"/>
  <c r="K185" i="5"/>
  <c r="J185" i="5"/>
  <c r="N184" i="5"/>
  <c r="M184" i="5"/>
  <c r="L184" i="5"/>
  <c r="K184" i="5"/>
  <c r="J184" i="5"/>
  <c r="I184" i="5"/>
  <c r="H184" i="5"/>
  <c r="G184" i="5"/>
  <c r="F184" i="5"/>
  <c r="E184" i="5"/>
  <c r="D184" i="5"/>
  <c r="N183" i="5"/>
  <c r="M183" i="5"/>
  <c r="L183" i="5"/>
  <c r="K183" i="5"/>
  <c r="J183" i="5"/>
  <c r="I183" i="5"/>
  <c r="H183" i="5"/>
  <c r="G183" i="5"/>
  <c r="F183" i="5"/>
  <c r="E183" i="5"/>
  <c r="D183" i="5"/>
  <c r="N182" i="5"/>
  <c r="M182" i="5"/>
  <c r="L182" i="5"/>
  <c r="K182" i="5"/>
  <c r="J182" i="5"/>
  <c r="I182" i="5"/>
  <c r="H182" i="5"/>
  <c r="G182" i="5"/>
  <c r="F182" i="5"/>
  <c r="E182" i="5"/>
  <c r="D182" i="5"/>
  <c r="N181" i="5"/>
  <c r="M181" i="5"/>
  <c r="L181" i="5"/>
  <c r="K181" i="5"/>
  <c r="J181" i="5"/>
  <c r="N180" i="5"/>
  <c r="M180" i="5"/>
  <c r="L180" i="5"/>
  <c r="K180" i="5"/>
  <c r="J180" i="5"/>
  <c r="E180" i="5"/>
  <c r="N179" i="5"/>
  <c r="M179" i="5"/>
  <c r="L179" i="5"/>
  <c r="K179" i="5"/>
  <c r="J179" i="5"/>
  <c r="I179" i="5"/>
  <c r="H179" i="5"/>
  <c r="G179" i="5"/>
  <c r="F179" i="5"/>
  <c r="E179" i="5"/>
  <c r="D179" i="5"/>
  <c r="N178" i="5"/>
  <c r="M178" i="5"/>
  <c r="L178" i="5"/>
  <c r="K178" i="5"/>
  <c r="J178" i="5"/>
  <c r="I178" i="5"/>
  <c r="H178" i="5"/>
  <c r="G178" i="5"/>
  <c r="F178" i="5"/>
  <c r="E178" i="5"/>
  <c r="D178" i="5"/>
  <c r="N177" i="5"/>
  <c r="M177" i="5"/>
  <c r="L177" i="5"/>
  <c r="K177" i="5"/>
  <c r="J177" i="5"/>
  <c r="I177" i="5"/>
  <c r="H177" i="5"/>
  <c r="G177" i="5"/>
  <c r="F177" i="5"/>
  <c r="E177" i="5"/>
  <c r="D177" i="5"/>
  <c r="N176" i="5"/>
  <c r="M176" i="5"/>
  <c r="L176" i="5"/>
  <c r="K176" i="5"/>
  <c r="J176" i="5"/>
  <c r="E176" i="5"/>
  <c r="N175" i="5"/>
  <c r="M175" i="5"/>
  <c r="L175" i="5"/>
  <c r="K175" i="5"/>
  <c r="J175" i="5"/>
  <c r="F175" i="5"/>
  <c r="D175" i="5"/>
  <c r="N174" i="5"/>
  <c r="M174" i="5"/>
  <c r="L174" i="5"/>
  <c r="K174" i="5"/>
  <c r="J174" i="5"/>
  <c r="I174" i="5"/>
  <c r="H174" i="5"/>
  <c r="G174" i="5"/>
  <c r="F174" i="5"/>
  <c r="E174" i="5"/>
  <c r="D174" i="5"/>
  <c r="N173" i="5"/>
  <c r="M173" i="5"/>
  <c r="L173" i="5"/>
  <c r="K173" i="5"/>
  <c r="J173" i="5"/>
  <c r="I173" i="5"/>
  <c r="N172" i="5"/>
  <c r="M172" i="5"/>
  <c r="L172" i="5"/>
  <c r="K172" i="5"/>
  <c r="J172" i="5"/>
  <c r="E172" i="5"/>
  <c r="N171" i="5"/>
  <c r="M171" i="5"/>
  <c r="L171" i="5"/>
  <c r="K171" i="5"/>
  <c r="J171" i="5"/>
  <c r="I171" i="5"/>
  <c r="H171" i="5"/>
  <c r="G171" i="5"/>
  <c r="F171" i="5"/>
  <c r="E171" i="5"/>
  <c r="D171" i="5"/>
  <c r="N170" i="5"/>
  <c r="M170" i="5"/>
  <c r="L170" i="5"/>
  <c r="K170" i="5"/>
  <c r="J170" i="5"/>
  <c r="I170" i="5"/>
  <c r="H170" i="5"/>
  <c r="G170" i="5"/>
  <c r="F170" i="5"/>
  <c r="E170" i="5"/>
  <c r="D170" i="5"/>
  <c r="N169" i="5"/>
  <c r="M169" i="5"/>
  <c r="L169" i="5"/>
  <c r="K169" i="5"/>
  <c r="J169" i="5"/>
  <c r="N168" i="5"/>
  <c r="M168" i="5"/>
  <c r="L168" i="5"/>
  <c r="K168" i="5"/>
  <c r="J168" i="5"/>
  <c r="E168" i="5"/>
  <c r="N167" i="5"/>
  <c r="M167" i="5"/>
  <c r="L167" i="5"/>
  <c r="K167" i="5"/>
  <c r="J167" i="5"/>
  <c r="I167" i="5"/>
  <c r="H167" i="5"/>
  <c r="G167" i="5"/>
  <c r="F167" i="5"/>
  <c r="E167" i="5"/>
  <c r="D167" i="5"/>
  <c r="N166" i="5"/>
  <c r="M166" i="5"/>
  <c r="L166" i="5"/>
  <c r="K166" i="5"/>
  <c r="J166" i="5"/>
  <c r="I166" i="5"/>
  <c r="H166" i="5"/>
  <c r="G166" i="5"/>
  <c r="F166" i="5"/>
  <c r="E166" i="5"/>
  <c r="D166" i="5"/>
  <c r="N165" i="5"/>
  <c r="M165" i="5"/>
  <c r="L165" i="5"/>
  <c r="K165" i="5"/>
  <c r="J165" i="5"/>
  <c r="N164" i="5"/>
  <c r="M164" i="5"/>
  <c r="L164" i="5"/>
  <c r="K164" i="5"/>
  <c r="J164" i="5"/>
  <c r="E164" i="5"/>
  <c r="N163" i="5"/>
  <c r="M163" i="5"/>
  <c r="L163" i="5"/>
  <c r="K163" i="5"/>
  <c r="J163" i="5"/>
  <c r="I163" i="5"/>
  <c r="H163" i="5"/>
  <c r="G163" i="5"/>
  <c r="F163" i="5"/>
  <c r="E163" i="5"/>
  <c r="D163" i="5"/>
  <c r="N162" i="5"/>
  <c r="M162" i="5"/>
  <c r="L162" i="5"/>
  <c r="K162" i="5"/>
  <c r="J162" i="5"/>
  <c r="I162" i="5"/>
  <c r="H162" i="5"/>
  <c r="G162" i="5"/>
  <c r="F162" i="5"/>
  <c r="E162" i="5"/>
  <c r="D162" i="5"/>
  <c r="N161" i="5"/>
  <c r="M161" i="5"/>
  <c r="L161" i="5"/>
  <c r="K161" i="5"/>
  <c r="J161" i="5"/>
  <c r="I161" i="5"/>
  <c r="H161" i="5"/>
  <c r="G161" i="5"/>
  <c r="F161" i="5"/>
  <c r="E161" i="5"/>
  <c r="D161" i="5"/>
  <c r="N160" i="5"/>
  <c r="M160" i="5"/>
  <c r="L160" i="5"/>
  <c r="K160" i="5"/>
  <c r="J160" i="5"/>
  <c r="E160" i="5"/>
  <c r="N159" i="5"/>
  <c r="M159" i="5"/>
  <c r="L159" i="5"/>
  <c r="K159" i="5"/>
  <c r="J159" i="5"/>
  <c r="I159" i="5"/>
  <c r="H159" i="5"/>
  <c r="G159" i="5"/>
  <c r="F159" i="5"/>
  <c r="E159" i="5"/>
  <c r="D159" i="5"/>
  <c r="N158" i="5"/>
  <c r="M158" i="5"/>
  <c r="L158" i="5"/>
  <c r="K158" i="5"/>
  <c r="J158" i="5"/>
  <c r="I158" i="5"/>
  <c r="H158" i="5"/>
  <c r="G158" i="5"/>
  <c r="F158" i="5"/>
  <c r="E158" i="5"/>
  <c r="D158" i="5"/>
  <c r="N157" i="5"/>
  <c r="M157" i="5"/>
  <c r="L157" i="5"/>
  <c r="K157" i="5"/>
  <c r="J157" i="5"/>
  <c r="E157" i="5"/>
  <c r="N156" i="5"/>
  <c r="M156" i="5"/>
  <c r="L156" i="5"/>
  <c r="K156" i="5"/>
  <c r="J156" i="5"/>
  <c r="E156" i="5"/>
  <c r="N155" i="5"/>
  <c r="M155" i="5"/>
  <c r="L155" i="5"/>
  <c r="K155" i="5"/>
  <c r="J155" i="5"/>
  <c r="I155" i="5"/>
  <c r="H155" i="5"/>
  <c r="G155" i="5"/>
  <c r="F155" i="5"/>
  <c r="E155" i="5"/>
  <c r="D155" i="5"/>
  <c r="N154" i="5"/>
  <c r="M154" i="5"/>
  <c r="L154" i="5"/>
  <c r="K154" i="5"/>
  <c r="J154" i="5"/>
  <c r="I154" i="5"/>
  <c r="H154" i="5"/>
  <c r="G154" i="5"/>
  <c r="F154" i="5"/>
  <c r="E154" i="5"/>
  <c r="D154" i="5"/>
  <c r="N153" i="5"/>
  <c r="M153" i="5"/>
  <c r="L153" i="5"/>
  <c r="K153" i="5"/>
  <c r="J153" i="5"/>
  <c r="I153" i="5"/>
  <c r="H153" i="5"/>
  <c r="G153" i="5"/>
  <c r="F153" i="5"/>
  <c r="E153" i="5"/>
  <c r="D153" i="5"/>
  <c r="N152" i="5"/>
  <c r="M152" i="5"/>
  <c r="L152" i="5"/>
  <c r="K152" i="5"/>
  <c r="J152" i="5"/>
  <c r="E152" i="5"/>
  <c r="N151" i="5"/>
  <c r="M151" i="5"/>
  <c r="L151" i="5"/>
  <c r="K151" i="5"/>
  <c r="J151" i="5"/>
  <c r="I151" i="5"/>
  <c r="H151" i="5"/>
  <c r="G151" i="5"/>
  <c r="F151" i="5"/>
  <c r="E151" i="5"/>
  <c r="D151" i="5"/>
  <c r="N150" i="5"/>
  <c r="M150" i="5"/>
  <c r="L150" i="5"/>
  <c r="K150" i="5"/>
  <c r="J150" i="5"/>
  <c r="I150" i="5"/>
  <c r="H150" i="5"/>
  <c r="G150" i="5"/>
  <c r="F150" i="5"/>
  <c r="E150" i="5"/>
  <c r="D150" i="5"/>
  <c r="N149" i="5"/>
  <c r="M149" i="5"/>
  <c r="L149" i="5"/>
  <c r="K149" i="5"/>
  <c r="J149" i="5"/>
  <c r="N148" i="5"/>
  <c r="M148" i="5"/>
  <c r="L148" i="5"/>
  <c r="K148" i="5"/>
  <c r="J148" i="5"/>
  <c r="E148" i="5"/>
  <c r="N147" i="5"/>
  <c r="M147" i="5"/>
  <c r="L147" i="5"/>
  <c r="K147" i="5"/>
  <c r="J147" i="5"/>
  <c r="I147" i="5"/>
  <c r="H147" i="5"/>
  <c r="G147" i="5"/>
  <c r="F147" i="5"/>
  <c r="E147" i="5"/>
  <c r="D147" i="5"/>
  <c r="N146" i="5"/>
  <c r="M146" i="5"/>
  <c r="L146" i="5"/>
  <c r="K146" i="5"/>
  <c r="J146" i="5"/>
  <c r="I146" i="5"/>
  <c r="H146" i="5"/>
  <c r="G146" i="5"/>
  <c r="F146" i="5"/>
  <c r="E146" i="5"/>
  <c r="D146" i="5"/>
  <c r="N144" i="5"/>
  <c r="M144" i="5"/>
  <c r="L144" i="5"/>
  <c r="K144" i="5"/>
  <c r="J144" i="5"/>
  <c r="E144" i="5"/>
  <c r="N143" i="5"/>
  <c r="M143" i="5"/>
  <c r="L143" i="5"/>
  <c r="K143" i="5"/>
  <c r="J143" i="5"/>
  <c r="I143" i="5"/>
  <c r="H143" i="5"/>
  <c r="G143" i="5"/>
  <c r="F143" i="5"/>
  <c r="E143" i="5"/>
  <c r="D143" i="5"/>
  <c r="N142" i="5"/>
  <c r="M142" i="5"/>
  <c r="L142" i="5"/>
  <c r="K142" i="5"/>
  <c r="J142" i="5"/>
  <c r="I142" i="5"/>
  <c r="H142" i="5"/>
  <c r="G142" i="5"/>
  <c r="F142" i="5"/>
  <c r="E142" i="5"/>
  <c r="D142" i="5"/>
  <c r="N141" i="5"/>
  <c r="M141" i="5"/>
  <c r="L141" i="5"/>
  <c r="K141" i="5"/>
  <c r="J141" i="5"/>
  <c r="I141" i="5"/>
  <c r="H141" i="5"/>
  <c r="G141" i="5"/>
  <c r="F141" i="5"/>
  <c r="E141" i="5"/>
  <c r="D141" i="5"/>
  <c r="N140" i="5"/>
  <c r="M140" i="5"/>
  <c r="L140" i="5"/>
  <c r="K140" i="5"/>
  <c r="J140" i="5"/>
  <c r="E140" i="5"/>
  <c r="N139" i="5"/>
  <c r="M139" i="5"/>
  <c r="L139" i="5"/>
  <c r="K139" i="5"/>
  <c r="J139" i="5"/>
  <c r="I139" i="5"/>
  <c r="H139" i="5"/>
  <c r="G139" i="5"/>
  <c r="F139" i="5"/>
  <c r="E139" i="5"/>
  <c r="D139" i="5"/>
  <c r="N138" i="5"/>
  <c r="M138" i="5"/>
  <c r="L138" i="5"/>
  <c r="K138" i="5"/>
  <c r="J138" i="5"/>
  <c r="I138" i="5"/>
  <c r="H138" i="5"/>
  <c r="G138" i="5"/>
  <c r="F138" i="5"/>
  <c r="E138" i="5"/>
  <c r="D138" i="5"/>
  <c r="N137" i="5"/>
  <c r="M137" i="5"/>
  <c r="L137" i="5"/>
  <c r="K137" i="5"/>
  <c r="J137" i="5"/>
  <c r="E136" i="5"/>
  <c r="N135" i="5"/>
  <c r="M135" i="5"/>
  <c r="L135" i="5"/>
  <c r="K135" i="5"/>
  <c r="J135" i="5"/>
  <c r="I135" i="5"/>
  <c r="H135" i="5"/>
  <c r="G135" i="5"/>
  <c r="F135" i="5"/>
  <c r="E135" i="5"/>
  <c r="D135" i="5"/>
  <c r="N134" i="5"/>
  <c r="M134" i="5"/>
  <c r="L134" i="5"/>
  <c r="K134" i="5"/>
  <c r="J134" i="5"/>
  <c r="I134" i="5"/>
  <c r="H134" i="5"/>
  <c r="G134" i="5"/>
  <c r="F134" i="5"/>
  <c r="E134" i="5"/>
  <c r="D134" i="5"/>
  <c r="N133" i="5"/>
  <c r="M133" i="5"/>
  <c r="L133" i="5"/>
  <c r="K133" i="5"/>
  <c r="J133" i="5"/>
  <c r="N132" i="5"/>
  <c r="M132" i="5"/>
  <c r="L132" i="5"/>
  <c r="K132" i="5"/>
  <c r="J132" i="5"/>
  <c r="E132" i="5"/>
  <c r="N131" i="5"/>
  <c r="M131" i="5"/>
  <c r="L131" i="5"/>
  <c r="K131" i="5"/>
  <c r="J131" i="5"/>
  <c r="I131" i="5"/>
  <c r="H131" i="5"/>
  <c r="G131" i="5"/>
  <c r="F131" i="5"/>
  <c r="E131" i="5"/>
  <c r="D131" i="5"/>
  <c r="N130" i="5"/>
  <c r="M130" i="5"/>
  <c r="L130" i="5"/>
  <c r="K130" i="5"/>
  <c r="J130" i="5"/>
  <c r="I130" i="5"/>
  <c r="H130" i="5"/>
  <c r="G130" i="5"/>
  <c r="F130" i="5"/>
  <c r="E130" i="5"/>
  <c r="D130" i="5"/>
  <c r="E128" i="5"/>
  <c r="N127" i="5"/>
  <c r="M127" i="5"/>
  <c r="L127" i="5"/>
  <c r="K127" i="5"/>
  <c r="J127" i="5"/>
  <c r="I127" i="5"/>
  <c r="H127" i="5"/>
  <c r="G127" i="5"/>
  <c r="F127" i="5"/>
  <c r="E127" i="5"/>
  <c r="D127" i="5"/>
  <c r="N126" i="5"/>
  <c r="M126" i="5"/>
  <c r="L126" i="5"/>
  <c r="K126" i="5"/>
  <c r="J126" i="5"/>
  <c r="I126" i="5"/>
  <c r="H126" i="5"/>
  <c r="G126" i="5"/>
  <c r="F126" i="5"/>
  <c r="E126" i="5"/>
  <c r="D126" i="5"/>
  <c r="N125" i="5"/>
  <c r="M125" i="5"/>
  <c r="L125" i="5"/>
  <c r="K125" i="5"/>
  <c r="J125" i="5"/>
  <c r="N124" i="5"/>
  <c r="M124" i="5"/>
  <c r="L124" i="5"/>
  <c r="K124" i="5"/>
  <c r="J124" i="5"/>
  <c r="E124" i="5"/>
  <c r="N123" i="5"/>
  <c r="M123" i="5"/>
  <c r="L123" i="5"/>
  <c r="K123" i="5"/>
  <c r="J123" i="5"/>
  <c r="I123" i="5"/>
  <c r="H123" i="5"/>
  <c r="G123" i="5"/>
  <c r="F123" i="5"/>
  <c r="E123" i="5"/>
  <c r="D123" i="5"/>
  <c r="N122" i="5"/>
  <c r="M122" i="5"/>
  <c r="L122" i="5"/>
  <c r="K122" i="5"/>
  <c r="J122" i="5"/>
  <c r="I122" i="5"/>
  <c r="H122" i="5"/>
  <c r="G122" i="5"/>
  <c r="F122" i="5"/>
  <c r="E122" i="5"/>
  <c r="D122" i="5"/>
  <c r="N121" i="5"/>
  <c r="M121" i="5"/>
  <c r="L121" i="5"/>
  <c r="K121" i="5"/>
  <c r="J121" i="5"/>
  <c r="N120" i="5"/>
  <c r="M120" i="5"/>
  <c r="L120" i="5"/>
  <c r="K120" i="5"/>
  <c r="J120" i="5"/>
  <c r="F120" i="5"/>
  <c r="N119" i="5"/>
  <c r="M119" i="5"/>
  <c r="L119" i="5"/>
  <c r="K119" i="5"/>
  <c r="J119" i="5"/>
  <c r="I119" i="5"/>
  <c r="H119" i="5"/>
  <c r="G119" i="5"/>
  <c r="F119" i="5"/>
  <c r="E119" i="5"/>
  <c r="D119" i="5"/>
  <c r="N118" i="5"/>
  <c r="M118" i="5"/>
  <c r="L118" i="5"/>
  <c r="K118" i="5"/>
  <c r="J118" i="5"/>
  <c r="I118" i="5"/>
  <c r="H118" i="5"/>
  <c r="G118" i="5"/>
  <c r="F118" i="5"/>
  <c r="E118" i="5"/>
  <c r="D118" i="5"/>
  <c r="N117" i="5"/>
  <c r="M117" i="5"/>
  <c r="L117" i="5"/>
  <c r="K117" i="5"/>
  <c r="J117" i="5"/>
  <c r="I117" i="5"/>
  <c r="H117" i="5"/>
  <c r="G117" i="5"/>
  <c r="F117" i="5"/>
  <c r="E117" i="5"/>
  <c r="D117" i="5"/>
  <c r="N116" i="5"/>
  <c r="M116" i="5"/>
  <c r="L116" i="5"/>
  <c r="K116" i="5"/>
  <c r="J116" i="5"/>
  <c r="I116" i="5"/>
  <c r="N115" i="5"/>
  <c r="M115" i="5"/>
  <c r="L115" i="5"/>
  <c r="K115" i="5"/>
  <c r="J115" i="5"/>
  <c r="I115" i="5"/>
  <c r="H115" i="5"/>
  <c r="G115" i="5"/>
  <c r="F115" i="5"/>
  <c r="E115" i="5"/>
  <c r="D115" i="5"/>
  <c r="N114" i="5"/>
  <c r="M114" i="5"/>
  <c r="L114" i="5"/>
  <c r="K114" i="5"/>
  <c r="J114" i="5"/>
  <c r="I114" i="5"/>
  <c r="H114" i="5"/>
  <c r="G114" i="5"/>
  <c r="F114" i="5"/>
  <c r="E114" i="5"/>
  <c r="D114" i="5"/>
  <c r="N113" i="5"/>
  <c r="M113" i="5"/>
  <c r="L113" i="5"/>
  <c r="K113" i="5"/>
  <c r="J113" i="5"/>
  <c r="N112" i="5"/>
  <c r="M112" i="5"/>
  <c r="L112" i="5"/>
  <c r="K112" i="5"/>
  <c r="J112" i="5"/>
  <c r="N111" i="5"/>
  <c r="M111" i="5"/>
  <c r="L111" i="5"/>
  <c r="K111" i="5"/>
  <c r="J111" i="5"/>
  <c r="I111" i="5"/>
  <c r="H111" i="5"/>
  <c r="G111" i="5"/>
  <c r="F111" i="5"/>
  <c r="E111" i="5"/>
  <c r="D111" i="5"/>
  <c r="N110" i="5"/>
  <c r="M110" i="5"/>
  <c r="L110" i="5"/>
  <c r="K110" i="5"/>
  <c r="J110" i="5"/>
  <c r="I110" i="5"/>
  <c r="H110" i="5"/>
  <c r="G110" i="5"/>
  <c r="F110" i="5"/>
  <c r="E110" i="5"/>
  <c r="D110" i="5"/>
  <c r="J109" i="5"/>
  <c r="I108" i="5"/>
  <c r="N107" i="5"/>
  <c r="M107" i="5"/>
  <c r="L107" i="5"/>
  <c r="K107" i="5"/>
  <c r="J107" i="5"/>
  <c r="I107" i="5"/>
  <c r="H107" i="5"/>
  <c r="G107" i="5"/>
  <c r="F107" i="5"/>
  <c r="E107" i="5"/>
  <c r="D107" i="5"/>
  <c r="N106" i="5"/>
  <c r="M106" i="5"/>
  <c r="L106" i="5"/>
  <c r="K106" i="5"/>
  <c r="J106" i="5"/>
  <c r="I106" i="5"/>
  <c r="H106" i="5"/>
  <c r="G106" i="5"/>
  <c r="F106" i="5"/>
  <c r="E106" i="5"/>
  <c r="D106" i="5"/>
  <c r="N105" i="5"/>
  <c r="M105" i="5"/>
  <c r="L105" i="5"/>
  <c r="K105" i="5"/>
  <c r="J105" i="5"/>
  <c r="N104" i="5"/>
  <c r="M104" i="5"/>
  <c r="L104" i="5"/>
  <c r="K104" i="5"/>
  <c r="J104" i="5"/>
  <c r="N103" i="5"/>
  <c r="M103" i="5"/>
  <c r="L103" i="5"/>
  <c r="K103" i="5"/>
  <c r="J103" i="5"/>
  <c r="I103" i="5"/>
  <c r="H103" i="5"/>
  <c r="G103" i="5"/>
  <c r="F103" i="5"/>
  <c r="E103" i="5"/>
  <c r="D103" i="5"/>
  <c r="N102" i="5"/>
  <c r="M102" i="5"/>
  <c r="L102" i="5"/>
  <c r="K102" i="5"/>
  <c r="J102" i="5"/>
  <c r="I102" i="5"/>
  <c r="H102" i="5"/>
  <c r="G102" i="5"/>
  <c r="F102" i="5"/>
  <c r="E102" i="5"/>
  <c r="D102" i="5"/>
  <c r="N101" i="5"/>
  <c r="M101" i="5"/>
  <c r="L101" i="5"/>
  <c r="K101" i="5"/>
  <c r="J101" i="5"/>
  <c r="F101" i="5"/>
  <c r="I100" i="5"/>
  <c r="N99" i="5"/>
  <c r="M99" i="5"/>
  <c r="L99" i="5"/>
  <c r="K99" i="5"/>
  <c r="J99" i="5"/>
  <c r="I99" i="5"/>
  <c r="H99" i="5"/>
  <c r="G99" i="5"/>
  <c r="F99" i="5"/>
  <c r="E99" i="5"/>
  <c r="D99" i="5"/>
  <c r="N98" i="5"/>
  <c r="M98" i="5"/>
  <c r="L98" i="5"/>
  <c r="K98" i="5"/>
  <c r="J98" i="5"/>
  <c r="I98" i="5"/>
  <c r="H98" i="5"/>
  <c r="G98" i="5"/>
  <c r="F98" i="5"/>
  <c r="E98" i="5"/>
  <c r="D98" i="5"/>
  <c r="N97" i="5"/>
  <c r="M97" i="5"/>
  <c r="L97" i="5"/>
  <c r="K97" i="5"/>
  <c r="J97" i="5"/>
  <c r="N96" i="5"/>
  <c r="M96" i="5"/>
  <c r="L96" i="5"/>
  <c r="K96" i="5"/>
  <c r="J96" i="5"/>
  <c r="N95" i="5"/>
  <c r="M95" i="5"/>
  <c r="L95" i="5"/>
  <c r="K95" i="5"/>
  <c r="J95" i="5"/>
  <c r="I95" i="5"/>
  <c r="H95" i="5"/>
  <c r="G95" i="5"/>
  <c r="F95" i="5"/>
  <c r="E95" i="5"/>
  <c r="D95" i="5"/>
  <c r="N94" i="5"/>
  <c r="M94" i="5"/>
  <c r="L94" i="5"/>
  <c r="K94" i="5"/>
  <c r="J94" i="5"/>
  <c r="I94" i="5"/>
  <c r="H94" i="5"/>
  <c r="G94" i="5"/>
  <c r="F94" i="5"/>
  <c r="E94" i="5"/>
  <c r="D94" i="5"/>
  <c r="N93" i="5"/>
  <c r="M93" i="5"/>
  <c r="L93" i="5"/>
  <c r="K93" i="5"/>
  <c r="J93" i="5"/>
  <c r="N92" i="5"/>
  <c r="M92" i="5"/>
  <c r="L92" i="5"/>
  <c r="K92" i="5"/>
  <c r="J92" i="5"/>
  <c r="I92" i="5"/>
  <c r="H92" i="5"/>
  <c r="G92" i="5"/>
  <c r="F92" i="5"/>
  <c r="E92" i="5"/>
  <c r="D92" i="5"/>
  <c r="N91" i="5"/>
  <c r="M91" i="5"/>
  <c r="L91" i="5"/>
  <c r="K91" i="5"/>
  <c r="J91" i="5"/>
  <c r="I91" i="5"/>
  <c r="H91" i="5"/>
  <c r="G91" i="5"/>
  <c r="F91" i="5"/>
  <c r="E91" i="5"/>
  <c r="D91" i="5"/>
  <c r="N90" i="5"/>
  <c r="M90" i="5"/>
  <c r="L90" i="5"/>
  <c r="K90" i="5"/>
  <c r="J90" i="5"/>
  <c r="I90" i="5"/>
  <c r="H90" i="5"/>
  <c r="G90" i="5"/>
  <c r="F90" i="5"/>
  <c r="E90" i="5"/>
  <c r="D90" i="5"/>
  <c r="N89" i="5"/>
  <c r="M89" i="5"/>
  <c r="L89" i="5"/>
  <c r="K89" i="5"/>
  <c r="J89" i="5"/>
  <c r="N88" i="5"/>
  <c r="M88" i="5"/>
  <c r="L88" i="5"/>
  <c r="K88" i="5"/>
  <c r="J88" i="5"/>
  <c r="E88" i="5"/>
  <c r="N87" i="5"/>
  <c r="M87" i="5"/>
  <c r="L87" i="5"/>
  <c r="K87" i="5"/>
  <c r="J87" i="5"/>
  <c r="I87" i="5"/>
  <c r="H87" i="5"/>
  <c r="G87" i="5"/>
  <c r="F87" i="5"/>
  <c r="E87" i="5"/>
  <c r="D87" i="5"/>
  <c r="N86" i="5"/>
  <c r="M86" i="5"/>
  <c r="L86" i="5"/>
  <c r="K86" i="5"/>
  <c r="J86" i="5"/>
  <c r="I86" i="5"/>
  <c r="H86" i="5"/>
  <c r="G86" i="5"/>
  <c r="F86" i="5"/>
  <c r="E86" i="5"/>
  <c r="D86" i="5"/>
  <c r="M85" i="5"/>
  <c r="E85" i="5"/>
  <c r="N84" i="5"/>
  <c r="M84" i="5"/>
  <c r="L84" i="5"/>
  <c r="K84" i="5"/>
  <c r="J84" i="5"/>
  <c r="F84" i="5"/>
  <c r="N83" i="5"/>
  <c r="M83" i="5"/>
  <c r="L83" i="5"/>
  <c r="K83" i="5"/>
  <c r="J83" i="5"/>
  <c r="I83" i="5"/>
  <c r="H83" i="5"/>
  <c r="G83" i="5"/>
  <c r="F83" i="5"/>
  <c r="E83" i="5"/>
  <c r="D83" i="5"/>
  <c r="N82" i="5"/>
  <c r="M82" i="5"/>
  <c r="H82" i="5"/>
  <c r="F82" i="5"/>
  <c r="E82" i="5"/>
  <c r="D82" i="5"/>
  <c r="N81" i="5"/>
  <c r="M81" i="5"/>
  <c r="L81" i="5"/>
  <c r="K81" i="5"/>
  <c r="J81" i="5"/>
  <c r="N80" i="5"/>
  <c r="M80" i="5"/>
  <c r="L80" i="5"/>
  <c r="K80" i="5"/>
  <c r="J80" i="5"/>
  <c r="I80" i="5"/>
  <c r="N79" i="5"/>
  <c r="M79" i="5"/>
  <c r="L79" i="5"/>
  <c r="K79" i="5"/>
  <c r="J79" i="5"/>
  <c r="I79" i="5"/>
  <c r="H79" i="5"/>
  <c r="G79" i="5"/>
  <c r="F79" i="5"/>
  <c r="E79" i="5"/>
  <c r="D79" i="5"/>
  <c r="N78" i="5"/>
  <c r="M78" i="5"/>
  <c r="L78" i="5"/>
  <c r="K78" i="5"/>
  <c r="J78" i="5"/>
  <c r="I78" i="5"/>
  <c r="H78" i="5"/>
  <c r="G78" i="5"/>
  <c r="F78" i="5"/>
  <c r="E78" i="5"/>
  <c r="D78" i="5"/>
  <c r="N77" i="5"/>
  <c r="M77" i="5"/>
  <c r="L77" i="5"/>
  <c r="K77" i="5"/>
  <c r="J77" i="5"/>
  <c r="G77" i="5"/>
  <c r="N76" i="5"/>
  <c r="F76" i="5"/>
  <c r="N75" i="5"/>
  <c r="M75" i="5"/>
  <c r="L75" i="5"/>
  <c r="K75" i="5"/>
  <c r="J75" i="5"/>
  <c r="I75" i="5"/>
  <c r="H75" i="5"/>
  <c r="G75" i="5"/>
  <c r="F75" i="5"/>
  <c r="E75" i="5"/>
  <c r="D75" i="5"/>
  <c r="N74" i="5"/>
  <c r="M74" i="5"/>
  <c r="L74" i="5"/>
  <c r="K74" i="5"/>
  <c r="J74" i="5"/>
  <c r="I74" i="5"/>
  <c r="H74" i="5"/>
  <c r="G74" i="5"/>
  <c r="F74" i="5"/>
  <c r="E74" i="5"/>
  <c r="D74" i="5"/>
  <c r="N72" i="5"/>
  <c r="M72" i="5"/>
  <c r="L72" i="5"/>
  <c r="K72" i="5"/>
  <c r="J72" i="5"/>
  <c r="I72" i="5"/>
  <c r="H72" i="5"/>
  <c r="G72" i="5"/>
  <c r="F72" i="5"/>
  <c r="E72" i="5"/>
  <c r="D72" i="5"/>
  <c r="N71" i="5"/>
  <c r="M71" i="5"/>
  <c r="L71" i="5"/>
  <c r="K71" i="5"/>
  <c r="J71" i="5"/>
  <c r="I71" i="5"/>
  <c r="H71" i="5"/>
  <c r="G71" i="5"/>
  <c r="F71" i="5"/>
  <c r="E71" i="5"/>
  <c r="D71" i="5"/>
  <c r="N70" i="5"/>
  <c r="M70" i="5"/>
  <c r="L70" i="5"/>
  <c r="K70" i="5"/>
  <c r="J70" i="5"/>
  <c r="I70" i="5"/>
  <c r="H70" i="5"/>
  <c r="G70" i="5"/>
  <c r="F70" i="5"/>
  <c r="E70" i="5"/>
  <c r="D70" i="5"/>
  <c r="N69" i="5"/>
  <c r="F69" i="5"/>
  <c r="N68" i="5"/>
  <c r="M68" i="5"/>
  <c r="L68" i="5"/>
  <c r="K68" i="5"/>
  <c r="J68" i="5"/>
  <c r="I68" i="5"/>
  <c r="N67" i="5"/>
  <c r="M67" i="5"/>
  <c r="L67" i="5"/>
  <c r="K67" i="5"/>
  <c r="J67" i="5"/>
  <c r="I67" i="5"/>
  <c r="H67" i="5"/>
  <c r="G67" i="5"/>
  <c r="F67" i="5"/>
  <c r="E67" i="5"/>
  <c r="D67" i="5"/>
  <c r="N66" i="5"/>
  <c r="M66" i="5"/>
  <c r="L66" i="5"/>
  <c r="K66" i="5"/>
  <c r="J66" i="5"/>
  <c r="I66" i="5"/>
  <c r="H66" i="5"/>
  <c r="G66" i="5"/>
  <c r="F66" i="5"/>
  <c r="E66" i="5"/>
  <c r="D66" i="5"/>
  <c r="N65" i="5"/>
  <c r="M65" i="5"/>
  <c r="L65" i="5"/>
  <c r="K65" i="5"/>
  <c r="J65" i="5"/>
  <c r="N64" i="5"/>
  <c r="M64" i="5"/>
  <c r="L64" i="5"/>
  <c r="K64" i="5"/>
  <c r="J64" i="5"/>
  <c r="I64" i="5"/>
  <c r="H64" i="5"/>
  <c r="G64" i="5"/>
  <c r="F64" i="5"/>
  <c r="E64" i="5"/>
  <c r="D64" i="5"/>
  <c r="N63" i="5"/>
  <c r="M63" i="5"/>
  <c r="L63" i="5"/>
  <c r="K63" i="5"/>
  <c r="J63" i="5"/>
  <c r="I63" i="5"/>
  <c r="H63" i="5"/>
  <c r="G63" i="5"/>
  <c r="F63" i="5"/>
  <c r="E63" i="5"/>
  <c r="D63" i="5"/>
  <c r="N62" i="5"/>
  <c r="M62" i="5"/>
  <c r="L62" i="5"/>
  <c r="K62" i="5"/>
  <c r="J62" i="5"/>
  <c r="I62" i="5"/>
  <c r="H62" i="5"/>
  <c r="G62" i="5"/>
  <c r="E62" i="5"/>
  <c r="D62" i="5"/>
  <c r="N61" i="5"/>
  <c r="M61" i="5"/>
  <c r="L61" i="5"/>
  <c r="K61" i="5"/>
  <c r="J61" i="5"/>
  <c r="E61" i="5"/>
  <c r="N60" i="5"/>
  <c r="M60" i="5"/>
  <c r="L60" i="5"/>
  <c r="K60" i="5"/>
  <c r="J60" i="5"/>
  <c r="I60" i="5"/>
  <c r="N59" i="5"/>
  <c r="M59" i="5"/>
  <c r="L59" i="5"/>
  <c r="K59" i="5"/>
  <c r="J59" i="5"/>
  <c r="I59" i="5"/>
  <c r="H59" i="5"/>
  <c r="G59" i="5"/>
  <c r="F59" i="5"/>
  <c r="E59" i="5"/>
  <c r="D59" i="5"/>
  <c r="N58" i="5"/>
  <c r="M58" i="5"/>
  <c r="L58" i="5"/>
  <c r="K58" i="5"/>
  <c r="J58" i="5"/>
  <c r="I58" i="5"/>
  <c r="H58" i="5"/>
  <c r="G58" i="5"/>
  <c r="F58" i="5"/>
  <c r="E58" i="5"/>
  <c r="D58" i="5"/>
  <c r="I56" i="5"/>
  <c r="D56" i="5"/>
  <c r="N55" i="5"/>
  <c r="M55" i="5"/>
  <c r="L55" i="5"/>
  <c r="K55" i="5"/>
  <c r="J55" i="5"/>
  <c r="H55" i="5"/>
  <c r="G55" i="5"/>
  <c r="N54" i="5"/>
  <c r="M54" i="5"/>
  <c r="L54" i="5"/>
  <c r="K54" i="5"/>
  <c r="J54" i="5"/>
  <c r="I54" i="5"/>
  <c r="H54" i="5"/>
  <c r="G54" i="5"/>
  <c r="F54" i="5"/>
  <c r="E54" i="5"/>
  <c r="D54" i="5"/>
  <c r="K53" i="5"/>
  <c r="N52" i="5"/>
  <c r="M52" i="5"/>
  <c r="L52" i="5"/>
  <c r="K52" i="5"/>
  <c r="J52" i="5"/>
  <c r="H52" i="5"/>
  <c r="D52" i="5"/>
  <c r="N51" i="5"/>
  <c r="M51" i="5"/>
  <c r="L51" i="5"/>
  <c r="K51" i="5"/>
  <c r="J51" i="5"/>
  <c r="I51" i="5"/>
  <c r="H51" i="5"/>
  <c r="G51" i="5"/>
  <c r="F51" i="5"/>
  <c r="E51" i="5"/>
  <c r="D51" i="5"/>
  <c r="N50" i="5"/>
  <c r="M50" i="5"/>
  <c r="L50" i="5"/>
  <c r="K50" i="5"/>
  <c r="J50" i="5"/>
  <c r="I50" i="5"/>
  <c r="H50" i="5"/>
  <c r="G50" i="5"/>
  <c r="F50" i="5"/>
  <c r="E50" i="5"/>
  <c r="D50" i="5"/>
  <c r="N49" i="5"/>
  <c r="M49" i="5"/>
  <c r="L49" i="5"/>
  <c r="K49" i="5"/>
  <c r="J49" i="5"/>
  <c r="I49" i="5"/>
  <c r="H49" i="5"/>
  <c r="G49" i="5"/>
  <c r="F49" i="5"/>
  <c r="E49" i="5"/>
  <c r="D49" i="5"/>
  <c r="N48" i="5"/>
  <c r="M48" i="5"/>
  <c r="L48" i="5"/>
  <c r="K48" i="5"/>
  <c r="J48" i="5"/>
  <c r="H48" i="5"/>
  <c r="D48" i="5"/>
  <c r="N47" i="5"/>
  <c r="M47" i="5"/>
  <c r="L47" i="5"/>
  <c r="K47" i="5"/>
  <c r="J47" i="5"/>
  <c r="I47" i="5"/>
  <c r="H47" i="5"/>
  <c r="G47" i="5"/>
  <c r="F47" i="5"/>
  <c r="E47" i="5"/>
  <c r="D47" i="5"/>
  <c r="N46" i="5"/>
  <c r="M46" i="5"/>
  <c r="L46" i="5"/>
  <c r="K46" i="5"/>
  <c r="J46" i="5"/>
  <c r="I46" i="5"/>
  <c r="H46" i="5"/>
  <c r="G46" i="5"/>
  <c r="F46" i="5"/>
  <c r="E46" i="5"/>
  <c r="D46" i="5"/>
  <c r="N45" i="5"/>
  <c r="M45" i="5"/>
  <c r="L45" i="5"/>
  <c r="K45" i="5"/>
  <c r="J45" i="5"/>
  <c r="N44" i="5"/>
  <c r="M44" i="5"/>
  <c r="L44" i="5"/>
  <c r="K44" i="5"/>
  <c r="J44" i="5"/>
  <c r="H44" i="5"/>
  <c r="D44" i="5"/>
  <c r="N43" i="5"/>
  <c r="M43" i="5"/>
  <c r="L43" i="5"/>
  <c r="K43" i="5"/>
  <c r="J43" i="5"/>
  <c r="I43" i="5"/>
  <c r="H43" i="5"/>
  <c r="G43" i="5"/>
  <c r="F43" i="5"/>
  <c r="E43" i="5"/>
  <c r="D43" i="5"/>
  <c r="N42" i="5"/>
  <c r="M42" i="5"/>
  <c r="L42" i="5"/>
  <c r="K42" i="5"/>
  <c r="J42" i="5"/>
  <c r="I42" i="5"/>
  <c r="H42" i="5"/>
  <c r="G42" i="5"/>
  <c r="F42" i="5"/>
  <c r="E42" i="5"/>
  <c r="D42" i="5"/>
  <c r="N41" i="5"/>
  <c r="M41" i="5"/>
  <c r="L41" i="5"/>
  <c r="K41" i="5"/>
  <c r="J41" i="5"/>
  <c r="N40" i="5"/>
  <c r="M40" i="5"/>
  <c r="L40" i="5"/>
  <c r="K40" i="5"/>
  <c r="J40" i="5"/>
  <c r="H40" i="5"/>
  <c r="D40" i="5"/>
  <c r="N39" i="5"/>
  <c r="M39" i="5"/>
  <c r="L39" i="5"/>
  <c r="K39" i="5"/>
  <c r="J39" i="5"/>
  <c r="I39" i="5"/>
  <c r="H39" i="5"/>
  <c r="G39" i="5"/>
  <c r="F39" i="5"/>
  <c r="E39" i="5"/>
  <c r="D39" i="5"/>
  <c r="N38" i="5"/>
  <c r="M38" i="5"/>
  <c r="L38" i="5"/>
  <c r="K38" i="5"/>
  <c r="J38" i="5"/>
  <c r="I38" i="5"/>
  <c r="H38" i="5"/>
  <c r="G38" i="5"/>
  <c r="F38" i="5"/>
  <c r="E38" i="5"/>
  <c r="D38" i="5"/>
  <c r="N37" i="5"/>
  <c r="M37" i="5"/>
  <c r="L37" i="5"/>
  <c r="K37" i="5"/>
  <c r="J37" i="5"/>
  <c r="F37" i="5"/>
  <c r="N36" i="5"/>
  <c r="M36" i="5"/>
  <c r="L36" i="5"/>
  <c r="K36" i="5"/>
  <c r="J36" i="5"/>
  <c r="H36" i="5"/>
  <c r="D36" i="5"/>
  <c r="N35" i="5"/>
  <c r="M35" i="5"/>
  <c r="L35" i="5"/>
  <c r="K35" i="5"/>
  <c r="J35" i="5"/>
  <c r="I35" i="5"/>
  <c r="H35" i="5"/>
  <c r="G35" i="5"/>
  <c r="F35" i="5"/>
  <c r="E35" i="5"/>
  <c r="D35" i="5"/>
  <c r="N34" i="5"/>
  <c r="M34" i="5"/>
  <c r="L34" i="5"/>
  <c r="K34" i="5"/>
  <c r="J34" i="5"/>
  <c r="I34" i="5"/>
  <c r="H34" i="5"/>
  <c r="G34" i="5"/>
  <c r="F34" i="5"/>
  <c r="E34" i="5"/>
  <c r="D34" i="5"/>
  <c r="N33" i="5"/>
  <c r="M33" i="5"/>
  <c r="L33" i="5"/>
  <c r="K33" i="5"/>
  <c r="J33" i="5"/>
  <c r="N32" i="5"/>
  <c r="M32" i="5"/>
  <c r="L32" i="5"/>
  <c r="K32" i="5"/>
  <c r="J32" i="5"/>
  <c r="H32" i="5"/>
  <c r="D32" i="5"/>
  <c r="N31" i="5"/>
  <c r="M31" i="5"/>
  <c r="L31" i="5"/>
  <c r="K31" i="5"/>
  <c r="J31" i="5"/>
  <c r="I31" i="5"/>
  <c r="H31" i="5"/>
  <c r="G31" i="5"/>
  <c r="F31" i="5"/>
  <c r="E31" i="5"/>
  <c r="D31" i="5"/>
  <c r="N30" i="5"/>
  <c r="M30" i="5"/>
  <c r="L30" i="5"/>
  <c r="K30" i="5"/>
  <c r="J30" i="5"/>
  <c r="I30" i="5"/>
  <c r="H30" i="5"/>
  <c r="G30" i="5"/>
  <c r="F30" i="5"/>
  <c r="E30" i="5"/>
  <c r="D30" i="5"/>
  <c r="N29" i="5"/>
  <c r="M29" i="5"/>
  <c r="L29" i="5"/>
  <c r="K29" i="5"/>
  <c r="J29" i="5"/>
  <c r="H29" i="5"/>
  <c r="D29" i="5"/>
  <c r="N28" i="5"/>
  <c r="M28" i="5"/>
  <c r="L28" i="5"/>
  <c r="K28" i="5"/>
  <c r="J28" i="5"/>
  <c r="H28" i="5"/>
  <c r="D28" i="5"/>
  <c r="N27" i="5"/>
  <c r="M27" i="5"/>
  <c r="L27" i="5"/>
  <c r="K27" i="5"/>
  <c r="J27" i="5"/>
  <c r="I27" i="5"/>
  <c r="H27" i="5"/>
  <c r="G27" i="5"/>
  <c r="F27" i="5"/>
  <c r="E27" i="5"/>
  <c r="D27" i="5"/>
  <c r="N26" i="5"/>
  <c r="M26" i="5"/>
  <c r="L26" i="5"/>
  <c r="K26" i="5"/>
  <c r="J26" i="5"/>
  <c r="I26" i="5"/>
  <c r="H26" i="5"/>
  <c r="G26" i="5"/>
  <c r="F26" i="5"/>
  <c r="E26" i="5"/>
  <c r="D26" i="5"/>
  <c r="N25" i="5"/>
  <c r="M25" i="5"/>
  <c r="L25" i="5"/>
  <c r="K25" i="5"/>
  <c r="J25" i="5"/>
  <c r="N24" i="5"/>
  <c r="M24" i="5"/>
  <c r="L24" i="5"/>
  <c r="K24" i="5"/>
  <c r="J24" i="5"/>
  <c r="H24" i="5"/>
  <c r="D24" i="5"/>
  <c r="N23" i="5"/>
  <c r="M23" i="5"/>
  <c r="L23" i="5"/>
  <c r="K23" i="5"/>
  <c r="J23" i="5"/>
  <c r="I23" i="5"/>
  <c r="H23" i="5"/>
  <c r="G23" i="5"/>
  <c r="F23" i="5"/>
  <c r="E23" i="5"/>
  <c r="D23" i="5"/>
  <c r="N22" i="5"/>
  <c r="M22" i="5"/>
  <c r="L22" i="5"/>
  <c r="K22" i="5"/>
  <c r="J22" i="5"/>
  <c r="I22" i="5"/>
  <c r="H22" i="5"/>
  <c r="G22" i="5"/>
  <c r="F22" i="5"/>
  <c r="E22" i="5"/>
  <c r="D22" i="5"/>
  <c r="N21" i="5"/>
  <c r="M21" i="5"/>
  <c r="L21" i="5"/>
  <c r="K21" i="5"/>
  <c r="J21" i="5"/>
  <c r="I21" i="5"/>
  <c r="H21" i="5"/>
  <c r="G21" i="5"/>
  <c r="F21" i="5"/>
  <c r="E21" i="5"/>
  <c r="D21" i="5"/>
  <c r="N20" i="5"/>
  <c r="M20" i="5"/>
  <c r="L20" i="5"/>
  <c r="K20" i="5"/>
  <c r="J20" i="5"/>
  <c r="H20" i="5"/>
  <c r="D20" i="5"/>
  <c r="N19" i="5"/>
  <c r="M19" i="5"/>
  <c r="L19" i="5"/>
  <c r="K19" i="5"/>
  <c r="J19" i="5"/>
  <c r="I19" i="5"/>
  <c r="H19" i="5"/>
  <c r="G19" i="5"/>
  <c r="F19" i="5"/>
  <c r="E19" i="5"/>
  <c r="D19" i="5"/>
  <c r="N18" i="5"/>
  <c r="M18" i="5"/>
  <c r="L18" i="5"/>
  <c r="K18" i="5"/>
  <c r="J18" i="5"/>
  <c r="I18" i="5"/>
  <c r="H18" i="5"/>
  <c r="G18" i="5"/>
  <c r="F18" i="5"/>
  <c r="E18" i="5"/>
  <c r="D18" i="5"/>
  <c r="N17" i="5"/>
  <c r="M17" i="5"/>
  <c r="L17" i="5"/>
  <c r="K17" i="5"/>
  <c r="J17" i="5"/>
  <c r="N16" i="5"/>
  <c r="M16" i="5"/>
  <c r="L16" i="5"/>
  <c r="K16" i="5"/>
  <c r="J16" i="5"/>
  <c r="H16" i="5"/>
  <c r="D16" i="5"/>
  <c r="N15" i="5"/>
  <c r="M15" i="5"/>
  <c r="L15" i="5"/>
  <c r="K15" i="5"/>
  <c r="J15" i="5"/>
  <c r="I15" i="5"/>
  <c r="H15" i="5"/>
  <c r="G15" i="5"/>
  <c r="F15" i="5"/>
  <c r="E15" i="5"/>
  <c r="D15" i="5"/>
  <c r="N14" i="5"/>
  <c r="M14" i="5"/>
  <c r="L14" i="5"/>
  <c r="K14" i="5"/>
  <c r="J14" i="5"/>
  <c r="I14" i="5"/>
  <c r="H14" i="5"/>
  <c r="G14" i="5"/>
  <c r="F14" i="5"/>
  <c r="E14" i="5"/>
  <c r="D14" i="5"/>
  <c r="N13" i="5"/>
  <c r="M13" i="5"/>
  <c r="L13" i="5"/>
  <c r="K13" i="5"/>
  <c r="J13" i="5"/>
  <c r="H13" i="5"/>
  <c r="D13" i="5"/>
  <c r="N12" i="5"/>
  <c r="M12" i="5"/>
  <c r="L12" i="5"/>
  <c r="K12" i="5"/>
  <c r="J12" i="5"/>
  <c r="H12" i="5"/>
  <c r="D12" i="5"/>
  <c r="N11" i="5"/>
  <c r="M11" i="5"/>
  <c r="L11" i="5"/>
  <c r="K11" i="5"/>
  <c r="J11" i="5"/>
  <c r="I11" i="5"/>
  <c r="H11" i="5"/>
  <c r="G11" i="5"/>
  <c r="F11" i="5"/>
  <c r="E11" i="5"/>
  <c r="D11" i="5"/>
  <c r="N10" i="5"/>
  <c r="M10" i="5"/>
  <c r="L10" i="5"/>
  <c r="K10" i="5"/>
  <c r="J10" i="5"/>
  <c r="I10" i="5"/>
  <c r="H10" i="5"/>
  <c r="G10" i="5"/>
  <c r="F10" i="5"/>
  <c r="E10" i="5"/>
  <c r="D10" i="5"/>
  <c r="N9" i="5"/>
  <c r="M9" i="5"/>
  <c r="L9" i="5"/>
  <c r="K9" i="5"/>
  <c r="J9" i="5"/>
  <c r="N8" i="5"/>
  <c r="M8" i="5"/>
  <c r="L8" i="5"/>
  <c r="K8" i="5"/>
  <c r="J8" i="5"/>
  <c r="H8" i="5"/>
  <c r="D8" i="5"/>
  <c r="N7" i="5"/>
  <c r="M7" i="5"/>
  <c r="L7" i="5"/>
  <c r="K7" i="5"/>
  <c r="J7" i="5"/>
  <c r="I7" i="5"/>
  <c r="H7" i="5"/>
  <c r="G7" i="5"/>
  <c r="F7" i="5"/>
  <c r="E7" i="5"/>
  <c r="D7" i="5"/>
  <c r="N6" i="5"/>
  <c r="M6" i="5"/>
  <c r="L6" i="5"/>
  <c r="K6" i="5"/>
  <c r="J6" i="5"/>
  <c r="I6" i="5"/>
  <c r="H6" i="5"/>
  <c r="G6" i="5"/>
  <c r="F6" i="5"/>
  <c r="E6" i="5"/>
  <c r="D6" i="5"/>
  <c r="N5" i="5"/>
  <c r="M5" i="5"/>
  <c r="L5" i="5"/>
  <c r="K5" i="5"/>
  <c r="J5" i="5"/>
  <c r="I5" i="5"/>
  <c r="H5" i="5"/>
  <c r="G5" i="5"/>
  <c r="F5" i="5"/>
  <c r="E5" i="5"/>
  <c r="N4" i="5"/>
  <c r="M4" i="5"/>
  <c r="L4" i="5"/>
  <c r="K4" i="5"/>
  <c r="J4" i="5"/>
  <c r="G4" i="5"/>
  <c r="N3" i="5"/>
  <c r="M3" i="5"/>
  <c r="L3" i="5"/>
  <c r="K3" i="5"/>
  <c r="J3" i="5"/>
  <c r="I3" i="5"/>
  <c r="H3" i="5"/>
  <c r="G3" i="5"/>
  <c r="F3" i="5"/>
  <c r="E3" i="5"/>
  <c r="G175" i="5" l="1"/>
  <c r="H175" i="5"/>
  <c r="I175" i="5"/>
  <c r="I82" i="5"/>
  <c r="J82" i="5"/>
  <c r="K82" i="5"/>
  <c r="L82" i="5"/>
  <c r="D55" i="5"/>
  <c r="E55" i="5"/>
  <c r="F55" i="5"/>
  <c r="D227" i="5"/>
  <c r="D243" i="5"/>
  <c r="G251" i="5"/>
  <c r="F227" i="5"/>
  <c r="N227" i="5"/>
  <c r="F243" i="5"/>
  <c r="N243" i="5"/>
  <c r="G227" i="5"/>
  <c r="G243" i="5"/>
  <c r="H227" i="5"/>
  <c r="H243" i="5"/>
  <c r="N251" i="5"/>
  <c r="G203" i="5"/>
  <c r="I198" i="5"/>
  <c r="H203" i="5"/>
  <c r="H198" i="5"/>
  <c r="H251" i="5"/>
  <c r="D9" i="5"/>
  <c r="H9" i="5"/>
  <c r="D251" i="5"/>
  <c r="J73" i="5"/>
  <c r="H17" i="5"/>
  <c r="D97" i="5"/>
  <c r="E65" i="5"/>
  <c r="E81" i="5"/>
  <c r="D25" i="5"/>
  <c r="D33" i="5"/>
  <c r="M129" i="5"/>
  <c r="D169" i="5"/>
  <c r="F247" i="5"/>
  <c r="D17" i="5"/>
  <c r="H57" i="5"/>
  <c r="H25" i="5"/>
  <c r="I33" i="5"/>
  <c r="F145" i="5"/>
  <c r="I9" i="5"/>
  <c r="I13" i="5"/>
  <c r="I17" i="5"/>
  <c r="I25" i="5"/>
  <c r="G37" i="5"/>
  <c r="N213" i="5"/>
  <c r="J213" i="5"/>
  <c r="F213" i="5"/>
  <c r="M213" i="5"/>
  <c r="I213" i="5"/>
  <c r="E213" i="5"/>
  <c r="L213" i="5"/>
  <c r="H213" i="5"/>
  <c r="D213" i="5"/>
  <c r="K205" i="5"/>
  <c r="G205" i="5"/>
  <c r="N205" i="5"/>
  <c r="J205" i="5"/>
  <c r="F205" i="5"/>
  <c r="M205" i="5"/>
  <c r="I205" i="5"/>
  <c r="E205" i="5"/>
  <c r="I197" i="5"/>
  <c r="E197" i="5"/>
  <c r="H197" i="5"/>
  <c r="D197" i="5"/>
  <c r="G197" i="5"/>
  <c r="H193" i="5"/>
  <c r="D193" i="5"/>
  <c r="G193" i="5"/>
  <c r="F193" i="5"/>
  <c r="F185" i="5"/>
  <c r="I185" i="5"/>
  <c r="E185" i="5"/>
  <c r="H185" i="5"/>
  <c r="D185" i="5"/>
  <c r="H173" i="5"/>
  <c r="D173" i="5"/>
  <c r="G173" i="5"/>
  <c r="F173" i="5"/>
  <c r="F165" i="5"/>
  <c r="I165" i="5"/>
  <c r="E165" i="5"/>
  <c r="H165" i="5"/>
  <c r="D165" i="5"/>
  <c r="H157" i="5"/>
  <c r="D157" i="5"/>
  <c r="G157" i="5"/>
  <c r="F157" i="5"/>
  <c r="F149" i="5"/>
  <c r="I149" i="5"/>
  <c r="E149" i="5"/>
  <c r="H149" i="5"/>
  <c r="D149" i="5"/>
  <c r="I133" i="5"/>
  <c r="E133" i="5"/>
  <c r="H133" i="5"/>
  <c r="D133" i="5"/>
  <c r="G133" i="5"/>
  <c r="F125" i="5"/>
  <c r="I125" i="5"/>
  <c r="E125" i="5"/>
  <c r="H125" i="5"/>
  <c r="D125" i="5"/>
  <c r="M109" i="5"/>
  <c r="I109" i="5"/>
  <c r="E109" i="5"/>
  <c r="L109" i="5"/>
  <c r="H109" i="5"/>
  <c r="D109" i="5"/>
  <c r="K109" i="5"/>
  <c r="G109" i="5"/>
  <c r="I101" i="5"/>
  <c r="E101" i="5"/>
  <c r="H101" i="5"/>
  <c r="D101" i="5"/>
  <c r="G101" i="5"/>
  <c r="L85" i="5"/>
  <c r="H85" i="5"/>
  <c r="D85" i="5"/>
  <c r="K85" i="5"/>
  <c r="G85" i="5"/>
  <c r="F77" i="5"/>
  <c r="I77" i="5"/>
  <c r="E77" i="5"/>
  <c r="M69" i="5"/>
  <c r="I69" i="5"/>
  <c r="E69" i="5"/>
  <c r="L69" i="5"/>
  <c r="H69" i="5"/>
  <c r="D69" i="5"/>
  <c r="G61" i="5"/>
  <c r="F61" i="5"/>
  <c r="I45" i="5"/>
  <c r="E45" i="5"/>
  <c r="H45" i="5"/>
  <c r="D45" i="5"/>
  <c r="E9" i="5"/>
  <c r="E13" i="5"/>
  <c r="E29" i="5"/>
  <c r="F41" i="5"/>
  <c r="N53" i="5"/>
  <c r="K57" i="5"/>
  <c r="F65" i="5"/>
  <c r="K73" i="5"/>
  <c r="F85" i="5"/>
  <c r="N85" i="5"/>
  <c r="D113" i="5"/>
  <c r="G125" i="5"/>
  <c r="J145" i="5"/>
  <c r="E193" i="5"/>
  <c r="G213" i="5"/>
  <c r="F9" i="5"/>
  <c r="F13" i="5"/>
  <c r="F17" i="5"/>
  <c r="F29" i="5"/>
  <c r="F33" i="5"/>
  <c r="G45" i="5"/>
  <c r="D57" i="5"/>
  <c r="I61" i="5"/>
  <c r="J69" i="5"/>
  <c r="F73" i="5"/>
  <c r="I85" i="5"/>
  <c r="G165" i="5"/>
  <c r="I193" i="5"/>
  <c r="L205" i="5"/>
  <c r="K213" i="5"/>
  <c r="N241" i="5"/>
  <c r="F241" i="5"/>
  <c r="I241" i="5"/>
  <c r="E241" i="5"/>
  <c r="H241" i="5"/>
  <c r="D241" i="5"/>
  <c r="I233" i="5"/>
  <c r="E233" i="5"/>
  <c r="H233" i="5"/>
  <c r="D233" i="5"/>
  <c r="G233" i="5"/>
  <c r="I229" i="5"/>
  <c r="E229" i="5"/>
  <c r="H229" i="5"/>
  <c r="D229" i="5"/>
  <c r="G229" i="5"/>
  <c r="G225" i="5"/>
  <c r="N225" i="5"/>
  <c r="F225" i="5"/>
  <c r="I225" i="5"/>
  <c r="E225" i="5"/>
  <c r="G221" i="5"/>
  <c r="N221" i="5"/>
  <c r="F221" i="5"/>
  <c r="I221" i="5"/>
  <c r="E221" i="5"/>
  <c r="H209" i="5"/>
  <c r="D209" i="5"/>
  <c r="G209" i="5"/>
  <c r="F209" i="5"/>
  <c r="I201" i="5"/>
  <c r="E201" i="5"/>
  <c r="H201" i="5"/>
  <c r="D201" i="5"/>
  <c r="G201" i="5"/>
  <c r="G189" i="5"/>
  <c r="F189" i="5"/>
  <c r="I189" i="5"/>
  <c r="E189" i="5"/>
  <c r="F181" i="5"/>
  <c r="I181" i="5"/>
  <c r="E181" i="5"/>
  <c r="H181" i="5"/>
  <c r="D181" i="5"/>
  <c r="G169" i="5"/>
  <c r="F169" i="5"/>
  <c r="I169" i="5"/>
  <c r="E169" i="5"/>
  <c r="M145" i="5"/>
  <c r="I145" i="5"/>
  <c r="E145" i="5"/>
  <c r="L145" i="5"/>
  <c r="H145" i="5"/>
  <c r="D145" i="5"/>
  <c r="K145" i="5"/>
  <c r="G145" i="5"/>
  <c r="G137" i="5"/>
  <c r="F137" i="5"/>
  <c r="I137" i="5"/>
  <c r="E137" i="5"/>
  <c r="L129" i="5"/>
  <c r="H129" i="5"/>
  <c r="D129" i="5"/>
  <c r="K129" i="5"/>
  <c r="G129" i="5"/>
  <c r="N129" i="5"/>
  <c r="J129" i="5"/>
  <c r="F129" i="5"/>
  <c r="I121" i="5"/>
  <c r="E121" i="5"/>
  <c r="H121" i="5"/>
  <c r="D121" i="5"/>
  <c r="G121" i="5"/>
  <c r="G113" i="5"/>
  <c r="F113" i="5"/>
  <c r="I113" i="5"/>
  <c r="E113" i="5"/>
  <c r="G105" i="5"/>
  <c r="F105" i="5"/>
  <c r="I105" i="5"/>
  <c r="E105" i="5"/>
  <c r="G97" i="5"/>
  <c r="F97" i="5"/>
  <c r="I93" i="5"/>
  <c r="E93" i="5"/>
  <c r="H93" i="5"/>
  <c r="D93" i="5"/>
  <c r="I89" i="5"/>
  <c r="E89" i="5"/>
  <c r="H89" i="5"/>
  <c r="D89" i="5"/>
  <c r="G81" i="5"/>
  <c r="F81" i="5"/>
  <c r="M73" i="5"/>
  <c r="I73" i="5"/>
  <c r="E73" i="5"/>
  <c r="L73" i="5"/>
  <c r="H73" i="5"/>
  <c r="D73" i="5"/>
  <c r="H65" i="5"/>
  <c r="D65" i="5"/>
  <c r="G65" i="5"/>
  <c r="N57" i="5"/>
  <c r="J57" i="5"/>
  <c r="F57" i="5"/>
  <c r="M57" i="5"/>
  <c r="I57" i="5"/>
  <c r="E57" i="5"/>
  <c r="M53" i="5"/>
  <c r="I53" i="5"/>
  <c r="E53" i="5"/>
  <c r="L53" i="5"/>
  <c r="H53" i="5"/>
  <c r="D53" i="5"/>
  <c r="I41" i="5"/>
  <c r="E41" i="5"/>
  <c r="H41" i="5"/>
  <c r="D41" i="5"/>
  <c r="H37" i="5"/>
  <c r="D37" i="5"/>
  <c r="E17" i="5"/>
  <c r="E25" i="5"/>
  <c r="I29" i="5"/>
  <c r="E33" i="5"/>
  <c r="F45" i="5"/>
  <c r="F53" i="5"/>
  <c r="H61" i="5"/>
  <c r="G69" i="5"/>
  <c r="H77" i="5"/>
  <c r="H81" i="5"/>
  <c r="E97" i="5"/>
  <c r="D105" i="5"/>
  <c r="N109" i="5"/>
  <c r="F133" i="5"/>
  <c r="I157" i="5"/>
  <c r="G181" i="5"/>
  <c r="H205" i="5"/>
  <c r="F25" i="5"/>
  <c r="G33" i="5"/>
  <c r="E37" i="5"/>
  <c r="J53" i="5"/>
  <c r="G57" i="5"/>
  <c r="D61" i="5"/>
  <c r="K69" i="5"/>
  <c r="G73" i="5"/>
  <c r="D77" i="5"/>
  <c r="D81" i="5"/>
  <c r="J85" i="5"/>
  <c r="G89" i="5"/>
  <c r="G93" i="5"/>
  <c r="I97" i="5"/>
  <c r="F109" i="5"/>
  <c r="F121" i="5"/>
  <c r="I129" i="5"/>
  <c r="H137" i="5"/>
  <c r="G149" i="5"/>
  <c r="E173" i="5"/>
  <c r="H189" i="5"/>
  <c r="F201" i="5"/>
  <c r="E209" i="5"/>
  <c r="D221" i="5"/>
  <c r="H225" i="5"/>
  <c r="F229" i="5"/>
  <c r="N233" i="5"/>
  <c r="H124" i="5"/>
  <c r="D124" i="5"/>
  <c r="G124" i="5"/>
  <c r="F124" i="5"/>
  <c r="L128" i="5"/>
  <c r="H128" i="5"/>
  <c r="D128" i="5"/>
  <c r="K128" i="5"/>
  <c r="G128" i="5"/>
  <c r="N128" i="5"/>
  <c r="J128" i="5"/>
  <c r="F128" i="5"/>
  <c r="L136" i="5"/>
  <c r="H136" i="5"/>
  <c r="D136" i="5"/>
  <c r="K136" i="5"/>
  <c r="G136" i="5"/>
  <c r="N136" i="5"/>
  <c r="J136" i="5"/>
  <c r="F136" i="5"/>
  <c r="H140" i="5"/>
  <c r="D140" i="5"/>
  <c r="G140" i="5"/>
  <c r="F140" i="5"/>
  <c r="H168" i="5"/>
  <c r="D168" i="5"/>
  <c r="G168" i="5"/>
  <c r="F168" i="5"/>
  <c r="H176" i="5"/>
  <c r="D176" i="5"/>
  <c r="G176" i="5"/>
  <c r="F176" i="5"/>
  <c r="H188" i="5"/>
  <c r="D188" i="5"/>
  <c r="G188" i="5"/>
  <c r="F188" i="5"/>
  <c r="H192" i="5"/>
  <c r="D192" i="5"/>
  <c r="G192" i="5"/>
  <c r="F192" i="5"/>
  <c r="H196" i="5"/>
  <c r="D196" i="5"/>
  <c r="G196" i="5"/>
  <c r="F196" i="5"/>
  <c r="L204" i="5"/>
  <c r="H204" i="5"/>
  <c r="D204" i="5"/>
  <c r="K204" i="5"/>
  <c r="G204" i="5"/>
  <c r="N204" i="5"/>
  <c r="J204" i="5"/>
  <c r="F204" i="5"/>
  <c r="H208" i="5"/>
  <c r="D208" i="5"/>
  <c r="G208" i="5"/>
  <c r="F208" i="5"/>
  <c r="L212" i="5"/>
  <c r="H212" i="5"/>
  <c r="D212" i="5"/>
  <c r="K212" i="5"/>
  <c r="G212" i="5"/>
  <c r="N212" i="5"/>
  <c r="J212" i="5"/>
  <c r="F212" i="5"/>
  <c r="H236" i="5"/>
  <c r="D236" i="5"/>
  <c r="G236" i="5"/>
  <c r="N236" i="5"/>
  <c r="F236" i="5"/>
  <c r="H240" i="5"/>
  <c r="D240" i="5"/>
  <c r="G240" i="5"/>
  <c r="N240" i="5"/>
  <c r="F240" i="5"/>
  <c r="E20" i="5"/>
  <c r="E28" i="5"/>
  <c r="E36" i="5"/>
  <c r="E40" i="5"/>
  <c r="E44" i="5"/>
  <c r="I48" i="5"/>
  <c r="I52" i="5"/>
  <c r="D60" i="5"/>
  <c r="F88" i="5"/>
  <c r="E104" i="5"/>
  <c r="I124" i="5"/>
  <c r="I128" i="5"/>
  <c r="N56" i="5"/>
  <c r="J56" i="5"/>
  <c r="F56" i="5"/>
  <c r="H68" i="5"/>
  <c r="D68" i="5"/>
  <c r="G68" i="5"/>
  <c r="L76" i="5"/>
  <c r="H76" i="5"/>
  <c r="D76" i="5"/>
  <c r="K76" i="5"/>
  <c r="G76" i="5"/>
  <c r="H80" i="5"/>
  <c r="D80" i="5"/>
  <c r="G80" i="5"/>
  <c r="H84" i="5"/>
  <c r="D84" i="5"/>
  <c r="G84" i="5"/>
  <c r="H144" i="5"/>
  <c r="D144" i="5"/>
  <c r="G144" i="5"/>
  <c r="F144" i="5"/>
  <c r="H148" i="5"/>
  <c r="D148" i="5"/>
  <c r="G148" i="5"/>
  <c r="F148" i="5"/>
  <c r="H152" i="5"/>
  <c r="D152" i="5"/>
  <c r="G152" i="5"/>
  <c r="F152" i="5"/>
  <c r="H156" i="5"/>
  <c r="D156" i="5"/>
  <c r="G156" i="5"/>
  <c r="F156" i="5"/>
  <c r="H160" i="5"/>
  <c r="D160" i="5"/>
  <c r="G160" i="5"/>
  <c r="F160" i="5"/>
  <c r="H180" i="5"/>
  <c r="D180" i="5"/>
  <c r="G180" i="5"/>
  <c r="F180" i="5"/>
  <c r="H228" i="5"/>
  <c r="D228" i="5"/>
  <c r="G228" i="5"/>
  <c r="N228" i="5"/>
  <c r="F228" i="5"/>
  <c r="H244" i="5"/>
  <c r="D244" i="5"/>
  <c r="G244" i="5"/>
  <c r="N244" i="5"/>
  <c r="F244" i="5"/>
  <c r="E8" i="5"/>
  <c r="E12" i="5"/>
  <c r="E16" i="5"/>
  <c r="I20" i="5"/>
  <c r="I24" i="5"/>
  <c r="E32" i="5"/>
  <c r="I76" i="5"/>
  <c r="I84" i="5"/>
  <c r="J100" i="5"/>
  <c r="E112" i="5"/>
  <c r="I152" i="5"/>
  <c r="I156" i="5"/>
  <c r="I160" i="5"/>
  <c r="I180" i="5"/>
  <c r="I204" i="5"/>
  <c r="E4" i="5"/>
  <c r="I4" i="5"/>
  <c r="F8" i="5"/>
  <c r="F12" i="5"/>
  <c r="F16" i="5"/>
  <c r="F20" i="5"/>
  <c r="F24" i="5"/>
  <c r="F28" i="5"/>
  <c r="F32" i="5"/>
  <c r="F36" i="5"/>
  <c r="F40" i="5"/>
  <c r="F44" i="5"/>
  <c r="F48" i="5"/>
  <c r="F52" i="5"/>
  <c r="G56" i="5"/>
  <c r="L56" i="5"/>
  <c r="E68" i="5"/>
  <c r="J76" i="5"/>
  <c r="E80" i="5"/>
  <c r="E100" i="5"/>
  <c r="E108" i="5"/>
  <c r="M128" i="5"/>
  <c r="M136" i="5"/>
  <c r="M204" i="5"/>
  <c r="M212" i="5"/>
  <c r="E240" i="5"/>
  <c r="I244" i="5"/>
  <c r="G60" i="5"/>
  <c r="F60" i="5"/>
  <c r="H88" i="5"/>
  <c r="D88" i="5"/>
  <c r="G88" i="5"/>
  <c r="H96" i="5"/>
  <c r="D96" i="5"/>
  <c r="G96" i="5"/>
  <c r="L100" i="5"/>
  <c r="H100" i="5"/>
  <c r="D100" i="5"/>
  <c r="K100" i="5"/>
  <c r="G100" i="5"/>
  <c r="H104" i="5"/>
  <c r="D104" i="5"/>
  <c r="G104" i="5"/>
  <c r="L108" i="5"/>
  <c r="H108" i="5"/>
  <c r="D108" i="5"/>
  <c r="K108" i="5"/>
  <c r="G108" i="5"/>
  <c r="H112" i="5"/>
  <c r="D112" i="5"/>
  <c r="G112" i="5"/>
  <c r="H116" i="5"/>
  <c r="D116" i="5"/>
  <c r="G116" i="5"/>
  <c r="H120" i="5"/>
  <c r="D120" i="5"/>
  <c r="G120" i="5"/>
  <c r="H132" i="5"/>
  <c r="D132" i="5"/>
  <c r="G132" i="5"/>
  <c r="F132" i="5"/>
  <c r="H164" i="5"/>
  <c r="D164" i="5"/>
  <c r="G164" i="5"/>
  <c r="F164" i="5"/>
  <c r="H172" i="5"/>
  <c r="D172" i="5"/>
  <c r="G172" i="5"/>
  <c r="F172" i="5"/>
  <c r="H216" i="5"/>
  <c r="D216" i="5"/>
  <c r="G216" i="5"/>
  <c r="F216" i="5"/>
  <c r="H4" i="5"/>
  <c r="I8" i="5"/>
  <c r="I12" i="5"/>
  <c r="I16" i="5"/>
  <c r="E24" i="5"/>
  <c r="I28" i="5"/>
  <c r="I32" i="5"/>
  <c r="I36" i="5"/>
  <c r="I40" i="5"/>
  <c r="I44" i="5"/>
  <c r="E48" i="5"/>
  <c r="E52" i="5"/>
  <c r="K56" i="5"/>
  <c r="E96" i="5"/>
  <c r="J108" i="5"/>
  <c r="I132" i="5"/>
  <c r="I136" i="5"/>
  <c r="I140" i="5"/>
  <c r="I144" i="5"/>
  <c r="I148" i="5"/>
  <c r="I168" i="5"/>
  <c r="I176" i="5"/>
  <c r="I188" i="5"/>
  <c r="I192" i="5"/>
  <c r="I196" i="5"/>
  <c r="I208" i="5"/>
  <c r="I212" i="5"/>
  <c r="I216" i="5"/>
  <c r="I228" i="5"/>
  <c r="E244" i="5"/>
  <c r="F4" i="5"/>
  <c r="H56" i="5"/>
  <c r="M56" i="5"/>
  <c r="H60" i="5"/>
  <c r="F68" i="5"/>
  <c r="E76" i="5"/>
  <c r="M76" i="5"/>
  <c r="F80" i="5"/>
  <c r="E84" i="5"/>
  <c r="I96" i="5"/>
  <c r="F100" i="5"/>
  <c r="N100" i="5"/>
  <c r="I104" i="5"/>
  <c r="F108" i="5"/>
  <c r="N108" i="5"/>
  <c r="I112" i="5"/>
  <c r="F116" i="5"/>
  <c r="E120" i="5"/>
  <c r="E236" i="5"/>
  <c r="I24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000-000001000000}">
      <text>
        <r>
          <rPr>
            <sz val="10"/>
            <color rgb="FF000000"/>
            <rFont val="Arial"/>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00000000-0006-0000-0000-000002000000}">
      <text>
        <r>
          <rPr>
            <sz val="10"/>
            <color rgb="FF000000"/>
            <rFont val="Arial"/>
            <scheme val="minor"/>
          </rPr>
          <t>======
ID#AAABaOlUtE4
Radoslaw De Paula Merz    (2024-12-15 07:55:10)
This column shows all parcels  delivery time (incl. suitcases) 
Not apply for envelopes</t>
        </r>
      </text>
    </comment>
    <comment ref="Q1" authorId="0" shapeId="0" xr:uid="{00000000-0006-0000-0000-000003000000}">
      <text>
        <r>
          <rPr>
            <sz val="10"/>
            <color rgb="FF000000"/>
            <rFont val="Arial"/>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00000000-0006-0000-0000-000004000000}">
      <text>
        <r>
          <rPr>
            <sz val="10"/>
            <color rgb="FF000000"/>
            <rFont val="Arial"/>
            <scheme val="minor"/>
          </rPr>
          <t>======
ID#AAABaOlUtEw
Radoslaw De Paula Merz    (2024-12-15 07:53:37)
Rating courier based on custom experience. It`s just to let customer know how good it is, no need to add any review etc.</t>
        </r>
      </text>
    </comment>
    <comment ref="S1" authorId="0" shapeId="0" xr:uid="{00000000-0006-0000-0000-000005000000}">
      <text>
        <r>
          <rPr>
            <sz val="10"/>
            <color rgb="FF000000"/>
            <rFont val="Arial"/>
            <scheme val="minor"/>
          </rPr>
          <t>======
ID#AAABaQEEb5o
Radoslaw De Paula Merz    (2024-12-17 08:54:05)
Courier visible only for us (Admin)</t>
        </r>
      </text>
    </comment>
    <comment ref="T1" authorId="0" shapeId="0" xr:uid="{00000000-0006-0000-0000-000006000000}">
      <text>
        <r>
          <rPr>
            <sz val="10"/>
            <color rgb="FF000000"/>
            <rFont val="Arial"/>
            <scheme val="minor"/>
          </rPr>
          <t>======
ID#AAABaQEEb5s
Radoslaw De Paula Merz    (2024-12-17 08:54:30)
Visible for customers</t>
        </r>
      </text>
    </comment>
  </commentList>
  <extLst>
    <ext xmlns:r="http://schemas.openxmlformats.org/officeDocument/2006/relationships" uri="GoogleSheetsCustomDataVersion2">
      <go:sheetsCustomData xmlns:go="http://customooxmlschemas.google.com/" r:id="rId1" roundtripDataSignature="AMtx7mj6U9rRjtGfPQkmVqR+BeFr+4twrg=="/>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O1" authorId="0" shapeId="0" xr:uid="{00000000-0006-0000-0100-000001000000}">
      <text>
        <r>
          <rPr>
            <sz val="10"/>
            <color rgb="FF000000"/>
            <rFont val="Arial"/>
            <scheme val="minor"/>
          </rPr>
          <t>======
ID#AAABaOlUtEo
Radoslaw De Paula Merz    (2024-12-15 07:49:49)
Delivery time vary depending on Envelope or Parcel. Envelopes are delivered faster, when all other parcel longer delivery time
------
ID#AAABaOlUtE0
Radoslaw De Paula Merz    (2024-12-15 07:54:18)
This column shows Envelope delivery time</t>
        </r>
      </text>
    </comment>
    <comment ref="P1" authorId="0" shapeId="0" xr:uid="{00000000-0006-0000-0100-000002000000}">
      <text>
        <r>
          <rPr>
            <sz val="10"/>
            <color rgb="FF000000"/>
            <rFont val="Arial"/>
            <scheme val="minor"/>
          </rPr>
          <t>======
ID#AAABaOlUtE4
Radoslaw De Paula Merz    (2024-12-15 07:55:10)
This column shows all parcels  delivery time (incl. suitcases) 
Not apply for envelopes</t>
        </r>
      </text>
    </comment>
    <comment ref="Q1" authorId="0" shapeId="0" xr:uid="{00000000-0006-0000-0100-000003000000}">
      <text>
        <r>
          <rPr>
            <sz val="10"/>
            <color rgb="FF000000"/>
            <rFont val="Arial"/>
            <scheme val="minor"/>
          </rPr>
          <t>======
ID#AAABaOlUtEs
Radoslaw De Paula Merz    (2024-12-15 07:52:14)
All parcels are covered by courier with standard cover. It`s vary depends of courier company. Customer will have an option to add extra cover in case if lost in transit or missing item. Documents are no covered as no commercial value</t>
        </r>
      </text>
    </comment>
    <comment ref="R1" authorId="0" shapeId="0" xr:uid="{00000000-0006-0000-0100-000004000000}">
      <text>
        <r>
          <rPr>
            <sz val="10"/>
            <color rgb="FF000000"/>
            <rFont val="Arial"/>
            <scheme val="minor"/>
          </rPr>
          <t>======
ID#AAABaOlUtEw
Radoslaw De Paula Merz    (2024-12-15 07:53:37)
Rating courier based on custom experience. It`s just to let customer know how good it is, no need to add any review etc.</t>
        </r>
      </text>
    </comment>
    <comment ref="S1" authorId="0" shapeId="0" xr:uid="{00000000-0006-0000-0100-000005000000}">
      <text>
        <r>
          <rPr>
            <sz val="10"/>
            <color rgb="FF000000"/>
            <rFont val="Arial"/>
            <scheme val="minor"/>
          </rPr>
          <t>======
ID#AAABaQEEb5o
Radoslaw De Paula Merz    (2024-12-17 08:54:05)
Courier visible only for us (Admin)</t>
        </r>
      </text>
    </comment>
    <comment ref="T1" authorId="0" shapeId="0" xr:uid="{00000000-0006-0000-0100-000006000000}">
      <text>
        <r>
          <rPr>
            <sz val="10"/>
            <color rgb="FF000000"/>
            <rFont val="Arial"/>
            <scheme val="minor"/>
          </rPr>
          <t>======
ID#AAABaQEEb5s
Radoslaw De Paula Merz    (2024-12-17 08:54:30)
Visible for customers</t>
        </r>
      </text>
    </comment>
  </commentList>
</comments>
</file>

<file path=xl/sharedStrings.xml><?xml version="1.0" encoding="utf-8"?>
<sst xmlns="http://schemas.openxmlformats.org/spreadsheetml/2006/main" count="4360" uniqueCount="345">
  <si>
    <t xml:space="preserve">Ship From </t>
  </si>
  <si>
    <t>Ship To</t>
  </si>
  <si>
    <t>Doc 0.5kg</t>
  </si>
  <si>
    <t>Paket 1kg</t>
  </si>
  <si>
    <t>Paket 2kg</t>
  </si>
  <si>
    <t>Box 5kg</t>
  </si>
  <si>
    <t>Box 10kg</t>
  </si>
  <si>
    <t>Box 15kg</t>
  </si>
  <si>
    <t>Box 20kg</t>
  </si>
  <si>
    <t>Box 25kg</t>
  </si>
  <si>
    <t>Suitcase 10kg</t>
  </si>
  <si>
    <t>Suitcase 20kg</t>
  </si>
  <si>
    <t>Suitcase 30kg</t>
  </si>
  <si>
    <t>Days ENV</t>
  </si>
  <si>
    <t>Days PARCEL</t>
  </si>
  <si>
    <t>Insurance</t>
  </si>
  <si>
    <t>Rating</t>
  </si>
  <si>
    <t>Courier</t>
  </si>
  <si>
    <t>Service</t>
  </si>
  <si>
    <t>Ireland</t>
  </si>
  <si>
    <t>Afghanistan</t>
  </si>
  <si>
    <t>No service</t>
  </si>
  <si>
    <t>Albania</t>
  </si>
  <si>
    <t>8 Days</t>
  </si>
  <si>
    <t>9 Days</t>
  </si>
  <si>
    <t>4/5*</t>
  </si>
  <si>
    <t xml:space="preserve">FedEx Economy </t>
  </si>
  <si>
    <t>Economy</t>
  </si>
  <si>
    <t>Algeria</t>
  </si>
  <si>
    <t>3 Days</t>
  </si>
  <si>
    <t>3-4 Days</t>
  </si>
  <si>
    <t>American Samoa (US)</t>
  </si>
  <si>
    <t>Andorra</t>
  </si>
  <si>
    <t>6 Days</t>
  </si>
  <si>
    <t>Angola</t>
  </si>
  <si>
    <t>2-4 Days</t>
  </si>
  <si>
    <t>2-5 Days</t>
  </si>
  <si>
    <t>Anguilla</t>
  </si>
  <si>
    <t>7 Days</t>
  </si>
  <si>
    <t>12-14 Days</t>
  </si>
  <si>
    <t>Antigua and Barbuda</t>
  </si>
  <si>
    <t>5 Days</t>
  </si>
  <si>
    <t>Argentina</t>
  </si>
  <si>
    <t>Armenia</t>
  </si>
  <si>
    <t>Aruba (Netherlands)</t>
  </si>
  <si>
    <t>Australia</t>
  </si>
  <si>
    <t>Austria</t>
  </si>
  <si>
    <t>Azerbaijan</t>
  </si>
  <si>
    <t>Bahamas</t>
  </si>
  <si>
    <t>Bahrain</t>
  </si>
  <si>
    <t>Bangladesh</t>
  </si>
  <si>
    <t>Barbados</t>
  </si>
  <si>
    <t>Belarus</t>
  </si>
  <si>
    <t>Belgium</t>
  </si>
  <si>
    <t>Belize</t>
  </si>
  <si>
    <t>Benin</t>
  </si>
  <si>
    <t>Bermuda (BOT)</t>
  </si>
  <si>
    <t>Bhutan</t>
  </si>
  <si>
    <t>Bolivia</t>
  </si>
  <si>
    <t>Bonaire</t>
  </si>
  <si>
    <t>Bosnia and Herzegovina</t>
  </si>
  <si>
    <t>4 Days</t>
  </si>
  <si>
    <t>Botswana</t>
  </si>
  <si>
    <t>Brazil</t>
  </si>
  <si>
    <t>British Virgin Islands</t>
  </si>
  <si>
    <t>Brunei</t>
  </si>
  <si>
    <t>Bulgaria</t>
  </si>
  <si>
    <t>12 Days</t>
  </si>
  <si>
    <t>Burkina Faso</t>
  </si>
  <si>
    <t>10-12 Days</t>
  </si>
  <si>
    <t>Burundi</t>
  </si>
  <si>
    <t>Cambodia</t>
  </si>
  <si>
    <t>10-13 Days</t>
  </si>
  <si>
    <t>Cameroon</t>
  </si>
  <si>
    <t>Canada</t>
  </si>
  <si>
    <t>6-7 Days</t>
  </si>
  <si>
    <t>Cape Verde</t>
  </si>
  <si>
    <t xml:space="preserve">Cayman Islands </t>
  </si>
  <si>
    <t>Central African Republic</t>
  </si>
  <si>
    <t>Chad</t>
  </si>
  <si>
    <t>Chile</t>
  </si>
  <si>
    <t>China</t>
  </si>
  <si>
    <t>10 Days</t>
  </si>
  <si>
    <t>Christmas Island</t>
  </si>
  <si>
    <t>Cocos (Keeling) Islands</t>
  </si>
  <si>
    <t>Colombia</t>
  </si>
  <si>
    <t>Comoros</t>
  </si>
  <si>
    <t>Congo</t>
  </si>
  <si>
    <t>Cook Islands</t>
  </si>
  <si>
    <t>Costa Rica</t>
  </si>
  <si>
    <t>Croatia</t>
  </si>
  <si>
    <t>Cuba</t>
  </si>
  <si>
    <t>Curacao</t>
  </si>
  <si>
    <t>Cyprus</t>
  </si>
  <si>
    <t>6-9 Days</t>
  </si>
  <si>
    <t>Czech Republic</t>
  </si>
  <si>
    <t>Denmark</t>
  </si>
  <si>
    <t>Djibouti</t>
  </si>
  <si>
    <t>Dominica</t>
  </si>
  <si>
    <t>Dominican Republic</t>
  </si>
  <si>
    <t>DR Congo</t>
  </si>
  <si>
    <t>East Timor</t>
  </si>
  <si>
    <t>Ecuador</t>
  </si>
  <si>
    <t>Egypt</t>
  </si>
  <si>
    <t>El Salvador</t>
  </si>
  <si>
    <t>Equatorial Guinea</t>
  </si>
  <si>
    <t>Eritrea</t>
  </si>
  <si>
    <t>Estonia</t>
  </si>
  <si>
    <t>Eswatini</t>
  </si>
  <si>
    <t>Ethiopia</t>
  </si>
  <si>
    <t xml:space="preserve">Falkland Islands </t>
  </si>
  <si>
    <t>Faroe Islands (Denmark)</t>
  </si>
  <si>
    <t>Fiji</t>
  </si>
  <si>
    <t>Finland</t>
  </si>
  <si>
    <t>France</t>
  </si>
  <si>
    <t>French Guiana (France)</t>
  </si>
  <si>
    <t>French Polynesia (France)</t>
  </si>
  <si>
    <t>Gabon</t>
  </si>
  <si>
    <t>Gambia</t>
  </si>
  <si>
    <t>Georgia</t>
  </si>
  <si>
    <t>Germany</t>
  </si>
  <si>
    <t>Ghana</t>
  </si>
  <si>
    <t>Gibraltar</t>
  </si>
  <si>
    <t>Greece Mainland</t>
  </si>
  <si>
    <t>8-10 Days</t>
  </si>
  <si>
    <t>Greece Islands</t>
  </si>
  <si>
    <t>9-11 Days</t>
  </si>
  <si>
    <t>Greenland (Denmark)</t>
  </si>
  <si>
    <t>Grenada</t>
  </si>
  <si>
    <t>Guadeloupe (France)</t>
  </si>
  <si>
    <t>Guam (US)</t>
  </si>
  <si>
    <t>Guatemala</t>
  </si>
  <si>
    <t>Guernsey</t>
  </si>
  <si>
    <t>Guinea</t>
  </si>
  <si>
    <t>Guinea-Bissau</t>
  </si>
  <si>
    <t>Guyana</t>
  </si>
  <si>
    <t>Haiti</t>
  </si>
  <si>
    <t>Honduras</t>
  </si>
  <si>
    <t>Hong Kong</t>
  </si>
  <si>
    <t>Hungary</t>
  </si>
  <si>
    <t>Iceland</t>
  </si>
  <si>
    <t>India</t>
  </si>
  <si>
    <t>Indonesia</t>
  </si>
  <si>
    <t>7-9 Days</t>
  </si>
  <si>
    <t>Iran</t>
  </si>
  <si>
    <t>1 Day</t>
  </si>
  <si>
    <t>Iraq</t>
  </si>
  <si>
    <t>Isle of Man</t>
  </si>
  <si>
    <t>Israel</t>
  </si>
  <si>
    <t>Italy</t>
  </si>
  <si>
    <t>Italy Island</t>
  </si>
  <si>
    <t>Ivory Coast</t>
  </si>
  <si>
    <t>Jamaica</t>
  </si>
  <si>
    <t>Japan</t>
  </si>
  <si>
    <t xml:space="preserve">Jersey </t>
  </si>
  <si>
    <t>Jordan</t>
  </si>
  <si>
    <t>Kazakhstan</t>
  </si>
  <si>
    <t>Kenya</t>
  </si>
  <si>
    <t>Kiribati</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</si>
  <si>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</si>
  <si>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</si>
  <si>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</si>
  <si>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</si>
  <si>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</si>
  <si>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</si>
  <si>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</si>
  <si>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</si>
  <si>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</si>
  <si>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</si>
  <si>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</si>
  <si>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</si>
  <si>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</si>
  <si>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</si>
  <si>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</si>
  <si>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</si>
  <si>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</si>
  <si>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</si>
  <si>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</si>
  <si>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2-3 Days</t>
  </si>
  <si>
    <t>Marshall Islands</t>
  </si>
  <si>
    <t>Martinique (France)</t>
  </si>
  <si>
    <t>Mauritania</t>
  </si>
  <si>
    <t>Mauritius</t>
  </si>
  <si>
    <t>Mayotte (France)</t>
  </si>
  <si>
    <t>Mexico</t>
  </si>
  <si>
    <t>Micronesia</t>
  </si>
  <si>
    <t>Moldova</t>
  </si>
  <si>
    <t>8-9 Days</t>
  </si>
  <si>
    <t>Monaco</t>
  </si>
  <si>
    <t>2 Days</t>
  </si>
  <si>
    <t>Mongolia</t>
  </si>
  <si>
    <t>Montenegro</t>
  </si>
  <si>
    <t>8-11 Days</t>
  </si>
  <si>
    <t>Montserrat (BOT)</t>
  </si>
  <si>
    <t>Morocco</t>
  </si>
  <si>
    <t>Mozambique</t>
  </si>
  <si>
    <t>Myanmar</t>
  </si>
  <si>
    <t>Namibia</t>
  </si>
  <si>
    <t>Nauru</t>
  </si>
  <si>
    <t>Nepal</t>
  </si>
  <si>
    <t>Netherlands</t>
  </si>
  <si>
    <t>4-5 Days</t>
  </si>
  <si>
    <t>New Caledonia (France)</t>
  </si>
  <si>
    <t>New Zealand</t>
  </si>
  <si>
    <t>Nicaragua</t>
  </si>
  <si>
    <t>Niger</t>
  </si>
  <si>
    <t>Nigeria</t>
  </si>
  <si>
    <t>Niue</t>
  </si>
  <si>
    <t>Norfolk Island (Australia)</t>
  </si>
  <si>
    <t>North Korea</t>
  </si>
  <si>
    <t>North Macedonia</t>
  </si>
  <si>
    <t>9-13 Days</t>
  </si>
  <si>
    <t>Northern Cyprus</t>
  </si>
  <si>
    <t>Northern Mariana Islands (US)</t>
  </si>
  <si>
    <t>Norway</t>
  </si>
  <si>
    <t>Oman</t>
  </si>
  <si>
    <t>Pakistan</t>
  </si>
  <si>
    <t>Palau</t>
  </si>
  <si>
    <t>Palestine</t>
  </si>
  <si>
    <t>Panama</t>
  </si>
  <si>
    <t>Papua New Guinea</t>
  </si>
  <si>
    <t>Paraguay</t>
  </si>
  <si>
    <t>Peru</t>
  </si>
  <si>
    <t>Philippines</t>
  </si>
  <si>
    <t>Pitcairn Islands (BOT)</t>
  </si>
  <si>
    <t>Poland</t>
  </si>
  <si>
    <t>Portugal</t>
  </si>
  <si>
    <t>Puerto Rico (US)</t>
  </si>
  <si>
    <t>Qatar</t>
  </si>
  <si>
    <t>Réunion (France)</t>
  </si>
  <si>
    <t>Romania</t>
  </si>
  <si>
    <t>Russia</t>
  </si>
  <si>
    <t>Rwanda</t>
  </si>
  <si>
    <t>Saint Barthélemy (France)</t>
  </si>
  <si>
    <t>Saint Helena</t>
  </si>
  <si>
    <t>Saint Kitts and Nevis</t>
  </si>
  <si>
    <t>Saint Lucia</t>
  </si>
  <si>
    <t>Saint Martin (France)</t>
  </si>
  <si>
    <t>Saint Pierre and Miquelon</t>
  </si>
  <si>
    <t>Saint Vincent and the Grenadines</t>
  </si>
  <si>
    <t>Samoa</t>
  </si>
  <si>
    <t>San Marino</t>
  </si>
  <si>
    <t>São Tomé and Príncipe</t>
  </si>
  <si>
    <t>Saudi Arabia</t>
  </si>
  <si>
    <t>Senegal</t>
  </si>
  <si>
    <t>Serbia</t>
  </si>
  <si>
    <t>Seychelles</t>
  </si>
  <si>
    <t>Sierra Leone</t>
  </si>
  <si>
    <t>Singapore</t>
  </si>
  <si>
    <t>Sint Eustatius (Netherlands)</t>
  </si>
  <si>
    <t>Sint Maarten (Netherlands)</t>
  </si>
  <si>
    <t>Slovakia</t>
  </si>
  <si>
    <t>Slovenia</t>
  </si>
  <si>
    <t>Solomon Islands</t>
  </si>
  <si>
    <t>Somalia</t>
  </si>
  <si>
    <t>South Africa</t>
  </si>
  <si>
    <t>South Korea</t>
  </si>
  <si>
    <t>South Sudan</t>
  </si>
  <si>
    <t>Spain Mainland</t>
  </si>
  <si>
    <t>Spain Mallorca, Menorca</t>
  </si>
  <si>
    <t>Spain Canary Islands</t>
  </si>
  <si>
    <t>Sri Lanka</t>
  </si>
  <si>
    <t>Sudan</t>
  </si>
  <si>
    <t>Suriname</t>
  </si>
  <si>
    <t>Svalbard and Jan Mayen</t>
  </si>
  <si>
    <t>Sweden</t>
  </si>
  <si>
    <t>Switzerland</t>
  </si>
  <si>
    <t>Syria</t>
  </si>
  <si>
    <t>Taiwan</t>
  </si>
  <si>
    <t>Tajikistan</t>
  </si>
  <si>
    <t>Tanzania</t>
  </si>
  <si>
    <t>8-12 Days</t>
  </si>
  <si>
    <t>Thailand</t>
  </si>
  <si>
    <t>Togo</t>
  </si>
  <si>
    <t xml:space="preserve">Tokelau </t>
  </si>
  <si>
    <t>Tonga</t>
  </si>
  <si>
    <t>Transnistria</t>
  </si>
  <si>
    <t>Trinidad and Tobago</t>
  </si>
  <si>
    <t>Tunisia</t>
  </si>
  <si>
    <t>Turkey</t>
  </si>
  <si>
    <t>Turkmenistan</t>
  </si>
  <si>
    <t xml:space="preserve">Turks and Caicos Islands </t>
  </si>
  <si>
    <t>Tuvalu</t>
  </si>
  <si>
    <t>U.S. Virgin Islands (US)</t>
  </si>
  <si>
    <t>Uganda</t>
  </si>
  <si>
    <t>Ukraine</t>
  </si>
  <si>
    <t>United Arab Emirates</t>
  </si>
  <si>
    <t>United Kingdom</t>
  </si>
  <si>
    <t>United States</t>
  </si>
  <si>
    <t>Uruguay</t>
  </si>
  <si>
    <t>Uzbekistan</t>
  </si>
  <si>
    <t>Vanuatu</t>
  </si>
  <si>
    <t>Vatican City</t>
  </si>
  <si>
    <t>Venezuela</t>
  </si>
  <si>
    <t>Vietnam</t>
  </si>
  <si>
    <t>Wallis and Futuna (France)</t>
  </si>
  <si>
    <t>Western Sahara</t>
  </si>
  <si>
    <t>Yemen</t>
  </si>
  <si>
    <t>Zambia</t>
  </si>
  <si>
    <t>Zimbabwe</t>
  </si>
  <si>
    <t>Weight (kg)</t>
  </si>
  <si>
    <t>Max Volume (cm³)</t>
  </si>
  <si>
    <t>Example Dimensions (cm)</t>
  </si>
  <si>
    <t>Suitcase extra fee to standard rates plus</t>
  </si>
  <si>
    <t>1 kg</t>
  </si>
  <si>
    <t>5000 cm³</t>
  </si>
  <si>
    <t>20 × 20 × 12.5</t>
  </si>
  <si>
    <t>2 kg</t>
  </si>
  <si>
    <t>10,000 cm³</t>
  </si>
  <si>
    <t>25 × 25 × 16</t>
  </si>
  <si>
    <t>5 kg</t>
  </si>
  <si>
    <t>25,000 cm³</t>
  </si>
  <si>
    <t>40 x 30 x  21</t>
  </si>
  <si>
    <t>10 kg</t>
  </si>
  <si>
    <t>50,000 cm³</t>
  </si>
  <si>
    <t>50 × 40 × 25</t>
  </si>
  <si>
    <t>15 kg</t>
  </si>
  <si>
    <t>75,000 cm³</t>
  </si>
  <si>
    <t>60 × 50 × 25</t>
  </si>
  <si>
    <t>20 kg</t>
  </si>
  <si>
    <t>100,000 cm³</t>
  </si>
  <si>
    <t>70 × 50 × 28.6</t>
  </si>
  <si>
    <t>25 kg</t>
  </si>
  <si>
    <t>125,000 cm³</t>
  </si>
  <si>
    <t>80 × 50 × 31.25</t>
  </si>
  <si>
    <t>Suitcase 10 kg</t>
  </si>
  <si>
    <t>55 × 35 × 26.4</t>
  </si>
  <si>
    <t>Suitcase 20 kg</t>
  </si>
  <si>
    <t>70 × 45 × 31.7</t>
  </si>
  <si>
    <t>Suitcase 30 kg</t>
  </si>
  <si>
    <t>150,000 cm³</t>
  </si>
  <si>
    <t>80 × 50 × 37.5</t>
  </si>
  <si>
    <t xml:space="preserve">Hi, I have now second file ready. This file please add 25% to each amount from cells apart cell D (Doc 0.5kg won`t apply) It will apply for all  white cells and blue cells. Once done I have to get this file to download. After that you can work same way as yesterday.  </t>
  </si>
  <si>
    <t>All D white and blue cells - add €40</t>
  </si>
  <si>
    <t>All E-I white cells - add €50</t>
  </si>
  <si>
    <t>All E-N blue cells - add €40</t>
  </si>
  <si>
    <t>EU</t>
  </si>
  <si>
    <t>N/A</t>
  </si>
  <si>
    <t>Type</t>
  </si>
  <si>
    <t>All</t>
  </si>
  <si>
    <t>Col D</t>
  </si>
  <si>
    <t>Col E-N</t>
  </si>
  <si>
    <t>25% rule will not be applied on D</t>
  </si>
  <si>
    <t>FedEx Prioirty</t>
  </si>
  <si>
    <t>Priority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</si>
</sst>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
    <numFmt numFmtId="165" formatCode="d/m"/>
    <numFmt numFmtId="166" formatCode="&quot;€&quot;#,##0"/>
  </numFmts>
  <fonts count="7" x14ac:knownFonts="1">
    <font>
      <sz val="10"/>
      <color rgb="FF000000"/>
      <name val="Arial"/>
      <scheme val="minor"/>
    </font>
    <font>
      <b/>
      <sz val="11"/>
      <color theme="1"/>
      <name val="Calibri"/>
    </font>
    <font>
      <b/>
      <sz val="10"/>
      <color theme="1"/>
      <name val="Arial"/>
    </font>
    <font>
      <sz val="11"/>
      <color theme="1"/>
      <name val="Calibri"/>
    </font>
    <font>
      <sz val="10"/>
      <color theme="1"/>
      <name val="Arial"/>
    </font>
    <font>
      <sz val="12"/>
      <color rgb="FF000000"/>
      <name val="Aptos"/>
      <family val="2"/>
    </font>
    <font>
      <b/>
      <sz val="10"/>
      <color theme="0"/>
      <name val="Arial"/>
      <family val="2"/>
      <scheme val="minor"/>
    </font>
  </fonts>
  <fills count="9">
    <fill>
      <patternFill patternType="none"/>
    </fill>
    <fill>
      <patternFill patternType="gray125"/>
    </fill>
    <fill>
      <patternFill patternType="solid">
        <fgColor rgb="FFFFFF00"/>
        <bgColor rgb="FFFFFF00"/>
      </patternFill>
    </fill>
    <fill>
      <patternFill patternType="solid">
        <fgColor rgb="FFCFE2F3"/>
        <bgColor rgb="FFCFE2F3"/>
      </patternFill>
    </fill>
    <fill>
      <patternFill patternType="solid">
        <fgColor rgb="FFC9DAF8"/>
        <bgColor rgb="FFC9DAF8"/>
      </patternFill>
    </fill>
    <fill>
      <patternFill patternType="solid">
        <fgColor rgb="FFF4CCCC"/>
        <bgColor rgb="FFF4CCCC"/>
      </patternFill>
    </fill>
    <fill>
      <patternFill patternType="solid">
        <fgColor rgb="FFFFFFFF"/>
        <bgColor rgb="FFFFFFFF"/>
      </patternFill>
    </fill>
    <fill>
      <patternFill patternType="solid">
        <fgColor theme="1"/>
        <bgColor indexed="64"/>
      </patternFill>
    </fill>
    <fill>
      <patternFill patternType="solid">
        <fgColor rgb="FF0070C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s>
  <cellStyleXfs count="1">
    <xf numFmtId="0" fontId="0" fillId="0" borderId="0"/>
  </cellStyleXfs>
  <cellXfs count="50">
    <xf numFmtId="0" fontId="0" fillId="0" borderId="0" xfId="0"/>
    <xf numFmtId="0" fontId="1" fillId="2" borderId="0" xfId="0" applyFont="1" applyFill="1" applyAlignment="1">
      <alignment horizontal="center"/>
    </xf>
    <xf numFmtId="0" fontId="2" fillId="2" borderId="0" xfId="0" applyFont="1" applyFill="1" applyAlignment="1">
      <alignment horizontal="center"/>
    </xf>
    <xf numFmtId="0" fontId="4" fillId="0" borderId="0" xfId="0" applyFont="1"/>
    <xf numFmtId="0" fontId="3" fillId="0" borderId="0" xfId="0" applyFont="1"/>
    <xf numFmtId="164" fontId="4" fillId="0" borderId="0" xfId="0" applyNumberFormat="1" applyFont="1"/>
    <xf numFmtId="165" fontId="4" fillId="0" borderId="0" xfId="0" applyNumberFormat="1" applyFont="1"/>
    <xf numFmtId="0" fontId="1" fillId="3" borderId="0" xfId="0" applyFont="1" applyFill="1" applyAlignment="1">
      <alignment horizontal="center"/>
    </xf>
    <xf numFmtId="0" fontId="1" fillId="0" borderId="0" xfId="0" applyFont="1" applyAlignment="1">
      <alignment horizontal="center"/>
    </xf>
    <xf numFmtId="0" fontId="3" fillId="0" borderId="1" xfId="0" applyFont="1" applyBorder="1"/>
    <xf numFmtId="164" fontId="4" fillId="0" borderId="0" xfId="0" applyNumberFormat="1" applyFont="1" applyAlignment="1">
      <alignment horizontal="center"/>
    </xf>
    <xf numFmtId="0" fontId="4" fillId="0" borderId="0" xfId="0" applyFont="1" applyAlignment="1">
      <alignment horizontal="center"/>
    </xf>
    <xf numFmtId="166" fontId="4" fillId="0" borderId="0" xfId="0" applyNumberFormat="1" applyFont="1" applyAlignment="1">
      <alignment horizontal="center"/>
    </xf>
    <xf numFmtId="0" fontId="3" fillId="4" borderId="1" xfId="0" applyFont="1" applyFill="1" applyBorder="1"/>
    <xf numFmtId="164" fontId="4" fillId="4" borderId="0" xfId="0" applyNumberFormat="1" applyFont="1" applyFill="1"/>
    <xf numFmtId="0" fontId="4" fillId="4" borderId="0" xfId="0" applyFont="1" applyFill="1" applyAlignment="1">
      <alignment horizontal="center"/>
    </xf>
    <xf numFmtId="166" fontId="4" fillId="4" borderId="0" xfId="0" applyNumberFormat="1" applyFont="1" applyFill="1" applyAlignment="1">
      <alignment horizontal="center"/>
    </xf>
    <xf numFmtId="0" fontId="4" fillId="4" borderId="0" xfId="0" applyFont="1" applyFill="1"/>
    <xf numFmtId="0" fontId="3" fillId="5" borderId="1" xfId="0" applyFont="1" applyFill="1" applyBorder="1"/>
    <xf numFmtId="164" fontId="4" fillId="5" borderId="0" xfId="0" applyNumberFormat="1" applyFont="1" applyFill="1"/>
    <xf numFmtId="164" fontId="4" fillId="5" borderId="0" xfId="0" applyNumberFormat="1" applyFont="1" applyFill="1" applyAlignment="1">
      <alignment horizontal="center"/>
    </xf>
    <xf numFmtId="0" fontId="4" fillId="5" borderId="0" xfId="0" applyFont="1" applyFill="1" applyAlignment="1">
      <alignment horizontal="center"/>
    </xf>
    <xf numFmtId="166" fontId="4" fillId="5" borderId="0" xfId="0" applyNumberFormat="1" applyFont="1" applyFill="1" applyAlignment="1">
      <alignment horizontal="center"/>
    </xf>
    <xf numFmtId="0" fontId="4" fillId="5" borderId="0" xfId="0" applyFont="1" applyFill="1"/>
    <xf numFmtId="0" fontId="4" fillId="6" borderId="0" xfId="0" applyFont="1" applyFill="1" applyAlignment="1">
      <alignment horizontal="center"/>
    </xf>
    <xf numFmtId="0" fontId="2" fillId="0" borderId="0" xfId="0" applyFont="1" applyAlignment="1">
      <alignment horizontal="center"/>
    </xf>
    <xf numFmtId="0" fontId="2" fillId="0" borderId="0" xfId="0" applyFont="1"/>
    <xf numFmtId="0" fontId="5" fillId="0" borderId="0" xfId="0" applyFont="1" applyAlignment="1">
      <alignment vertical="center" wrapText="1"/>
    </xf>
    <xf numFmtId="0" fontId="0" fillId="0" borderId="0" xfId="0" applyAlignment="1">
      <alignment wrapText="1"/>
    </xf>
    <xf numFmtId="0" fontId="0" fillId="0" borderId="4" xfId="0" applyBorder="1" applyAlignment="1">
      <alignment horizontal="center" vertical="center"/>
    </xf>
    <xf numFmtId="0" fontId="0" fillId="0" borderId="0" xfId="0" applyAlignment="1">
      <alignment horizontal="center"/>
    </xf>
    <xf numFmtId="2" fontId="0" fillId="0" borderId="0" xfId="0" applyNumberFormat="1"/>
    <xf numFmtId="164" fontId="4" fillId="0" borderId="5" xfId="0" applyNumberFormat="1" applyFont="1" applyBorder="1" applyAlignment="1">
      <alignment horizontal="center"/>
    </xf>
    <xf numFmtId="0" fontId="1" fillId="2" borderId="6" xfId="0" applyFont="1" applyFill="1" applyBorder="1" applyAlignment="1">
      <alignment horizontal="center"/>
    </xf>
    <xf numFmtId="0" fontId="1" fillId="2" borderId="7" xfId="0" applyFont="1" applyFill="1" applyBorder="1" applyAlignment="1">
      <alignment horizontal="center"/>
    </xf>
    <xf numFmtId="0" fontId="2" fillId="2" borderId="7" xfId="0" applyFont="1" applyFill="1" applyBorder="1" applyAlignment="1">
      <alignment horizontal="center"/>
    </xf>
    <xf numFmtId="0" fontId="2" fillId="2" borderId="8" xfId="0" applyFont="1" applyFill="1" applyBorder="1" applyAlignment="1">
      <alignment horizontal="center"/>
    </xf>
    <xf numFmtId="0" fontId="3" fillId="0" borderId="9" xfId="0" applyFont="1" applyBorder="1" applyAlignment="1">
      <alignment horizontal="center"/>
    </xf>
    <xf numFmtId="0" fontId="4" fillId="0" borderId="10" xfId="0" applyFont="1" applyBorder="1"/>
    <xf numFmtId="0" fontId="1" fillId="3" borderId="9" xfId="0" applyFont="1" applyFill="1" applyBorder="1" applyAlignment="1">
      <alignment horizontal="center"/>
    </xf>
    <xf numFmtId="0" fontId="4" fillId="4" borderId="10" xfId="0" applyFont="1" applyFill="1" applyBorder="1"/>
    <xf numFmtId="0" fontId="4" fillId="5" borderId="10" xfId="0" applyFont="1" applyFill="1" applyBorder="1"/>
    <xf numFmtId="0" fontId="4" fillId="0" borderId="5" xfId="0" applyFont="1" applyBorder="1" applyAlignment="1">
      <alignment horizontal="center"/>
    </xf>
    <xf numFmtId="166" fontId="4" fillId="0" borderId="5" xfId="0" applyNumberFormat="1" applyFont="1" applyBorder="1" applyAlignment="1">
      <alignment horizontal="center"/>
    </xf>
    <xf numFmtId="0" fontId="4" fillId="0" borderId="5" xfId="0" applyFont="1" applyBorder="1"/>
    <xf numFmtId="0" fontId="4" fillId="0" borderId="11" xfId="0" applyFont="1" applyBorder="1"/>
    <xf numFmtId="0" fontId="6" fillId="7" borderId="2" xfId="0" quotePrefix="1" applyFont="1" applyFill="1" applyBorder="1" applyAlignment="1">
      <alignment horizontal="center" vertical="center"/>
    </xf>
    <xf numFmtId="0" fontId="6" fillId="7" borderId="3" xfId="0" applyFont="1" applyFill="1" applyBorder="1" applyAlignment="1">
      <alignment horizontal="center" vertical="center"/>
    </xf>
    <xf numFmtId="0" fontId="6" fillId="8" borderId="2" xfId="0" applyFont="1" applyFill="1" applyBorder="1" applyAlignment="1">
      <alignment horizontal="center" vertical="center"/>
    </xf>
    <xf numFmtId="0" fontId="6" fillId="8" borderId="3" xfId="0" applyFont="1" applyFill="1" applyBorder="1" applyAlignment="1">
      <alignment horizontal="center" vertical="center"/>
    </xf>
  </cellXfs>
  <cellStyles count="1">
    <cellStyle name="Normal" xfId="0" builtinId="0"/>
  </cellStyles>
  <dxfs count="7">
    <dxf>
      <fill>
        <patternFill>
          <bgColor theme="4" tint="0.39994506668294322"/>
        </patternFill>
      </fill>
    </dxf>
    <dxf>
      <fill>
        <patternFill>
          <bgColor theme="5" tint="0.59996337778862885"/>
        </patternFill>
      </fill>
    </dxf>
    <dxf>
      <font>
        <color rgb="FF9C0006"/>
      </font>
      <fill>
        <patternFill>
          <bgColor theme="0" tint="-0.14996795556505021"/>
        </patternFill>
      </fill>
    </dxf>
    <dxf>
      <fill>
        <patternFill>
          <bgColor theme="4" tint="0.39994506668294322"/>
        </patternFill>
      </fill>
    </dxf>
    <dxf>
      <fill>
        <patternFill>
          <bgColor theme="5" tint="0.59996337778862885"/>
        </patternFill>
      </fill>
    </dxf>
    <dxf>
      <fill>
        <patternFill>
          <bgColor theme="4" tint="0.39994506668294322"/>
        </patternFill>
      </fill>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T1001"/>
  <sheetViews>
    <sheetView tabSelected="1" workbookViewId="0">
      <pane ySplit="1" topLeftCell="A2" activePane="bottomLeft" state="frozen"/>
      <selection pane="bottomLeft" activeCell="N8" sqref="A1:T250"/>
    </sheetView>
  </sheetViews>
  <sheetFormatPr defaultColWidth="12.5546875" defaultRowHeight="15" customHeight="1" x14ac:dyDescent="0.25"/>
  <cols>
    <col min="1" max="1" width="7.33203125" customWidth="1"/>
    <col min="2" max="2" width="10.5546875" customWidth="1"/>
    <col min="3" max="3" width="19.88671875" customWidth="1"/>
    <col min="4" max="4" width="12.109375" customWidth="1"/>
    <col min="11" max="11" width="11.33203125" customWidth="1"/>
    <col min="15" max="15" width="11.6640625" customWidth="1"/>
    <col min="16" max="16" width="13.5546875" customWidth="1"/>
    <col min="19" max="19" width="14.33203125" customWidth="1"/>
  </cols>
  <sheetData>
    <row r="1" spans="1:20" ht="15.75" customHeight="1" x14ac:dyDescent="0.3">
      <c r="A1" s="1" t="s">
        <v>338</v>
      </c>
      <c r="B1" s="1" t="s">
        <v>0</v>
      </c>
      <c r="C1" s="1" t="s">
        <v>1</v>
      </c>
      <c r="D1" s="2" t="s">
        <v>2</v>
      </c>
      <c r="E1" s="2" t="s">
        <v>3</v>
      </c>
      <c r="F1" s="2" t="s">
        <v>4</v>
      </c>
      <c r="G1" s="2" t="s">
        <v>5</v>
      </c>
      <c r="H1" s="2" t="s">
        <v>6</v>
      </c>
      <c r="I1" s="2" t="s">
        <v>7</v>
      </c>
      <c r="J1" s="2" t="s">
        <v>8</v>
      </c>
      <c r="K1" s="2" t="s">
        <v>9</v>
      </c>
      <c r="L1" s="2" t="s">
        <v>10</v>
      </c>
      <c r="M1" s="2" t="s">
        <v>11</v>
      </c>
      <c r="N1" s="2" t="s">
        <v>12</v>
      </c>
      <c r="O1" s="2" t="s">
        <v>13</v>
      </c>
      <c r="P1" s="2" t="s">
        <v>14</v>
      </c>
      <c r="Q1" s="2" t="s">
        <v>15</v>
      </c>
      <c r="R1" s="2" t="s">
        <v>16</v>
      </c>
      <c r="S1" s="2" t="s">
        <v>17</v>
      </c>
      <c r="T1" s="2" t="s">
        <v>18</v>
      </c>
    </row>
    <row r="2" spans="1:20" ht="15.75" customHeight="1" x14ac:dyDescent="0.3">
      <c r="A2" s="7" t="s">
        <v>336</v>
      </c>
      <c r="B2" s="8" t="s">
        <v>19</v>
      </c>
      <c r="C2" s="9" t="s">
        <v>20</v>
      </c>
      <c r="D2" s="10" t="s">
        <v>21</v>
      </c>
      <c r="E2" s="10" t="s">
        <v>21</v>
      </c>
      <c r="F2" s="10" t="s">
        <v>21</v>
      </c>
      <c r="G2" s="10" t="s">
        <v>21</v>
      </c>
      <c r="H2" s="10" t="s">
        <v>21</v>
      </c>
      <c r="I2" s="10" t="s">
        <v>21</v>
      </c>
      <c r="J2" s="10" t="s">
        <v>21</v>
      </c>
      <c r="K2" s="10" t="s">
        <v>21</v>
      </c>
      <c r="L2" s="10" t="s">
        <v>21</v>
      </c>
      <c r="M2" s="10" t="s">
        <v>21</v>
      </c>
      <c r="N2" s="10" t="s">
        <v>21</v>
      </c>
      <c r="S2" s="3"/>
      <c r="T2" s="3"/>
    </row>
    <row r="3" spans="1:20" ht="15.75" customHeight="1" x14ac:dyDescent="0.3">
      <c r="A3" s="7" t="s">
        <v>336</v>
      </c>
      <c r="B3" s="8" t="s">
        <v>19</v>
      </c>
      <c r="C3" s="9" t="s">
        <v>22</v>
      </c>
      <c r="D3" s="5">
        <v>35.5</v>
      </c>
      <c r="E3" s="5">
        <v>44.375</v>
      </c>
      <c r="F3" s="5">
        <v>47.375</v>
      </c>
      <c r="G3" s="5">
        <v>56.875</v>
      </c>
      <c r="H3" s="5">
        <v>61.25</v>
      </c>
      <c r="I3" s="5">
        <v>68.75</v>
      </c>
      <c r="J3" s="10" t="s">
        <v>21</v>
      </c>
      <c r="K3" s="10" t="s">
        <v>21</v>
      </c>
      <c r="L3" s="10" t="s">
        <v>21</v>
      </c>
      <c r="M3" s="10" t="s">
        <v>21</v>
      </c>
      <c r="N3" s="10" t="s">
        <v>21</v>
      </c>
      <c r="O3" s="11" t="s">
        <v>23</v>
      </c>
      <c r="P3" s="11" t="s">
        <v>24</v>
      </c>
      <c r="Q3" s="12">
        <v>80</v>
      </c>
      <c r="R3" s="11" t="s">
        <v>25</v>
      </c>
      <c r="S3" s="3" t="s">
        <v>343</v>
      </c>
      <c r="T3" s="3" t="s">
        <v>344</v>
      </c>
    </row>
    <row r="4" spans="1:20" ht="15.75" customHeight="1" x14ac:dyDescent="0.3">
      <c r="A4" s="7" t="s">
        <v>336</v>
      </c>
      <c r="B4" s="8" t="s">
        <v>19</v>
      </c>
      <c r="C4" s="9" t="s">
        <v>28</v>
      </c>
      <c r="D4" s="5">
        <v>21.06</v>
      </c>
      <c r="E4" s="5">
        <v>28.075000000000003</v>
      </c>
      <c r="F4" s="5">
        <v>31.662499999999998</v>
      </c>
      <c r="G4" s="5">
        <v>45.05</v>
      </c>
      <c r="H4" s="5">
        <v>70.349999999999994</v>
      </c>
      <c r="I4" s="5">
        <v>133.22499999999999</v>
      </c>
      <c r="J4" s="10" t="s">
        <v>21</v>
      </c>
      <c r="K4" s="10" t="s">
        <v>21</v>
      </c>
      <c r="L4" s="10" t="s">
        <v>21</v>
      </c>
      <c r="M4" s="10" t="s">
        <v>21</v>
      </c>
      <c r="N4" s="10" t="s">
        <v>21</v>
      </c>
      <c r="O4" s="11" t="s">
        <v>29</v>
      </c>
      <c r="P4" s="11" t="s">
        <v>30</v>
      </c>
      <c r="Q4" s="12">
        <v>80</v>
      </c>
      <c r="R4" s="11" t="s">
        <v>25</v>
      </c>
      <c r="S4" s="3" t="s">
        <v>343</v>
      </c>
      <c r="T4" s="3" t="s">
        <v>344</v>
      </c>
    </row>
    <row r="5" spans="1:20" ht="15.75" customHeight="1" x14ac:dyDescent="0.3">
      <c r="A5" s="7" t="s">
        <v>336</v>
      </c>
      <c r="B5" s="8" t="s">
        <v>19</v>
      </c>
      <c r="C5" s="9" t="s">
        <v>31</v>
      </c>
      <c r="D5" s="5">
        <v>31.72</v>
      </c>
      <c r="E5" s="5">
        <v>42.1875</v>
      </c>
      <c r="F5" s="5">
        <v>47.375</v>
      </c>
      <c r="G5" s="5">
        <v>65.45</v>
      </c>
      <c r="H5" s="10" t="s">
        <v>21</v>
      </c>
      <c r="I5" s="10" t="s">
        <v>21</v>
      </c>
      <c r="J5" s="10" t="s">
        <v>21</v>
      </c>
      <c r="K5" s="10" t="s">
        <v>21</v>
      </c>
      <c r="L5" s="10" t="s">
        <v>21</v>
      </c>
      <c r="M5" s="10" t="s">
        <v>21</v>
      </c>
      <c r="N5" s="10" t="s">
        <v>21</v>
      </c>
      <c r="O5" s="11"/>
      <c r="P5" s="11"/>
      <c r="Q5" s="11"/>
      <c r="R5" s="11"/>
      <c r="S5" s="3" t="s">
        <v>343</v>
      </c>
      <c r="T5" s="3" t="s">
        <v>344</v>
      </c>
    </row>
    <row r="6" spans="1:20" ht="15.75" customHeight="1" x14ac:dyDescent="0.3">
      <c r="A6" s="7" t="s">
        <v>336</v>
      </c>
      <c r="B6" s="8" t="s">
        <v>19</v>
      </c>
      <c r="C6" s="9" t="s">
        <v>32</v>
      </c>
      <c r="D6" s="5">
        <v>23</v>
      </c>
      <c r="E6" s="5">
        <v>24.625</v>
      </c>
      <c r="F6" s="5">
        <v>25</v>
      </c>
      <c r="G6" s="5">
        <v>26.25</v>
      </c>
      <c r="H6" s="5">
        <v>30.625</v>
      </c>
      <c r="I6" s="5">
        <v>37.5</v>
      </c>
      <c r="J6" s="10" t="s">
        <v>21</v>
      </c>
      <c r="K6" s="10" t="s">
        <v>21</v>
      </c>
      <c r="L6" s="10" t="s">
        <v>21</v>
      </c>
      <c r="M6" s="10" t="s">
        <v>21</v>
      </c>
      <c r="N6" s="10" t="s">
        <v>21</v>
      </c>
      <c r="O6" s="11" t="s">
        <v>33</v>
      </c>
      <c r="P6" s="11" t="s">
        <v>23</v>
      </c>
      <c r="Q6" s="12">
        <v>80</v>
      </c>
      <c r="R6" s="11" t="s">
        <v>25</v>
      </c>
      <c r="S6" s="3" t="s">
        <v>343</v>
      </c>
      <c r="T6" s="3" t="s">
        <v>344</v>
      </c>
    </row>
    <row r="7" spans="1:20" ht="15.75" customHeight="1" x14ac:dyDescent="0.3">
      <c r="A7" s="7" t="s">
        <v>336</v>
      </c>
      <c r="B7" s="8" t="s">
        <v>19</v>
      </c>
      <c r="C7" s="9" t="s">
        <v>34</v>
      </c>
      <c r="D7" s="5">
        <v>31.72</v>
      </c>
      <c r="E7" s="5">
        <v>42.1875</v>
      </c>
      <c r="F7" s="5">
        <v>47.375</v>
      </c>
      <c r="G7" s="5">
        <v>65.45</v>
      </c>
      <c r="H7" s="5">
        <v>93.375</v>
      </c>
      <c r="I7" s="5">
        <v>201.82500000000002</v>
      </c>
      <c r="J7" s="10" t="s">
        <v>21</v>
      </c>
      <c r="K7" s="10" t="s">
        <v>21</v>
      </c>
      <c r="L7" s="10" t="s">
        <v>21</v>
      </c>
      <c r="M7" s="10" t="s">
        <v>21</v>
      </c>
      <c r="N7" s="10" t="s">
        <v>21</v>
      </c>
      <c r="O7" s="11" t="s">
        <v>35</v>
      </c>
      <c r="P7" s="11" t="s">
        <v>36</v>
      </c>
      <c r="Q7" s="12">
        <v>80</v>
      </c>
      <c r="R7" s="11" t="s">
        <v>25</v>
      </c>
      <c r="S7" s="3" t="s">
        <v>343</v>
      </c>
      <c r="T7" s="3" t="s">
        <v>344</v>
      </c>
    </row>
    <row r="8" spans="1:20" ht="15.75" customHeight="1" x14ac:dyDescent="0.3">
      <c r="A8" s="7" t="s">
        <v>336</v>
      </c>
      <c r="B8" s="8" t="s">
        <v>19</v>
      </c>
      <c r="C8" s="9" t="s">
        <v>37</v>
      </c>
      <c r="D8" s="5">
        <v>27.47</v>
      </c>
      <c r="E8" s="5">
        <v>36.125</v>
      </c>
      <c r="F8" s="5">
        <v>40.012499999999996</v>
      </c>
      <c r="G8" s="5">
        <v>55.987499999999997</v>
      </c>
      <c r="H8" s="5">
        <v>76.5</v>
      </c>
      <c r="I8" s="5">
        <v>178.27500000000001</v>
      </c>
      <c r="J8" s="10" t="s">
        <v>21</v>
      </c>
      <c r="K8" s="10" t="s">
        <v>21</v>
      </c>
      <c r="L8" s="10" t="s">
        <v>21</v>
      </c>
      <c r="M8" s="10" t="s">
        <v>21</v>
      </c>
      <c r="N8" s="10" t="s">
        <v>21</v>
      </c>
      <c r="O8" s="11" t="s">
        <v>38</v>
      </c>
      <c r="P8" s="11" t="s">
        <v>39</v>
      </c>
      <c r="Q8" s="12">
        <v>80</v>
      </c>
      <c r="R8" s="11" t="s">
        <v>25</v>
      </c>
      <c r="S8" s="3" t="s">
        <v>343</v>
      </c>
      <c r="T8" s="3" t="s">
        <v>344</v>
      </c>
    </row>
    <row r="9" spans="1:20" ht="15.75" customHeight="1" x14ac:dyDescent="0.3">
      <c r="A9" s="7" t="s">
        <v>336</v>
      </c>
      <c r="B9" s="8" t="s">
        <v>19</v>
      </c>
      <c r="C9" s="9" t="s">
        <v>40</v>
      </c>
      <c r="D9" s="5">
        <v>27.47</v>
      </c>
      <c r="E9" s="5">
        <v>36.125</v>
      </c>
      <c r="F9" s="5">
        <v>40.012499999999996</v>
      </c>
      <c r="G9" s="5">
        <v>55.987499999999997</v>
      </c>
      <c r="H9" s="5">
        <v>76.5</v>
      </c>
      <c r="I9" s="5">
        <v>178.27500000000001</v>
      </c>
      <c r="J9" s="10" t="s">
        <v>21</v>
      </c>
      <c r="K9" s="10" t="s">
        <v>21</v>
      </c>
      <c r="L9" s="10" t="s">
        <v>21</v>
      </c>
      <c r="M9" s="10" t="s">
        <v>21</v>
      </c>
      <c r="N9" s="10" t="s">
        <v>21</v>
      </c>
      <c r="O9" s="11" t="s">
        <v>41</v>
      </c>
      <c r="P9" s="11" t="s">
        <v>23</v>
      </c>
      <c r="Q9" s="12">
        <v>80</v>
      </c>
      <c r="R9" s="11" t="s">
        <v>25</v>
      </c>
      <c r="S9" s="3" t="s">
        <v>343</v>
      </c>
      <c r="T9" s="3" t="s">
        <v>344</v>
      </c>
    </row>
    <row r="10" spans="1:20" ht="15.75" customHeight="1" x14ac:dyDescent="0.3">
      <c r="A10" s="7" t="s">
        <v>336</v>
      </c>
      <c r="B10" s="8" t="s">
        <v>19</v>
      </c>
      <c r="C10" s="9" t="s">
        <v>42</v>
      </c>
      <c r="D10" s="5">
        <v>27.47</v>
      </c>
      <c r="E10" s="5">
        <v>36.125</v>
      </c>
      <c r="F10" s="5">
        <v>40.012499999999996</v>
      </c>
      <c r="G10" s="5">
        <v>55.987499999999997</v>
      </c>
      <c r="H10" s="5">
        <v>76.5</v>
      </c>
      <c r="I10" s="5">
        <v>178.27500000000001</v>
      </c>
      <c r="J10" s="10" t="s">
        <v>21</v>
      </c>
      <c r="K10" s="10" t="s">
        <v>21</v>
      </c>
      <c r="L10" s="10" t="s">
        <v>21</v>
      </c>
      <c r="M10" s="10" t="s">
        <v>21</v>
      </c>
      <c r="N10" s="10" t="s">
        <v>21</v>
      </c>
      <c r="O10" s="11" t="s">
        <v>41</v>
      </c>
      <c r="P10" s="11" t="s">
        <v>23</v>
      </c>
      <c r="Q10" s="12">
        <v>80</v>
      </c>
      <c r="R10" s="11" t="s">
        <v>25</v>
      </c>
      <c r="S10" s="3" t="s">
        <v>343</v>
      </c>
      <c r="T10" s="3" t="s">
        <v>344</v>
      </c>
    </row>
    <row r="11" spans="1:20" ht="15.75" customHeight="1" x14ac:dyDescent="0.3">
      <c r="A11" s="7" t="s">
        <v>336</v>
      </c>
      <c r="B11" s="8" t="s">
        <v>19</v>
      </c>
      <c r="C11" s="9" t="s">
        <v>43</v>
      </c>
      <c r="D11" s="5">
        <v>21.06</v>
      </c>
      <c r="E11" s="5">
        <v>28.075000000000003</v>
      </c>
      <c r="F11" s="5">
        <v>31.662499999999998</v>
      </c>
      <c r="G11" s="5">
        <v>45.05</v>
      </c>
      <c r="H11" s="5">
        <v>70.349999999999994</v>
      </c>
      <c r="I11" s="5">
        <v>133.22499999999999</v>
      </c>
      <c r="J11" s="10" t="s">
        <v>21</v>
      </c>
      <c r="K11" s="10" t="s">
        <v>21</v>
      </c>
      <c r="L11" s="10" t="s">
        <v>21</v>
      </c>
      <c r="M11" s="10" t="s">
        <v>21</v>
      </c>
      <c r="N11" s="10" t="s">
        <v>21</v>
      </c>
      <c r="O11" s="11" t="s">
        <v>29</v>
      </c>
      <c r="P11" s="11" t="s">
        <v>30</v>
      </c>
      <c r="Q11" s="12">
        <v>80</v>
      </c>
      <c r="R11" s="11" t="s">
        <v>25</v>
      </c>
      <c r="S11" s="3" t="s">
        <v>343</v>
      </c>
      <c r="T11" s="3" t="s">
        <v>344</v>
      </c>
    </row>
    <row r="12" spans="1:20" ht="15.75" customHeight="1" x14ac:dyDescent="0.3">
      <c r="A12" s="7" t="s">
        <v>336</v>
      </c>
      <c r="B12" s="8" t="s">
        <v>19</v>
      </c>
      <c r="C12" s="9" t="s">
        <v>44</v>
      </c>
      <c r="D12" s="5">
        <v>27.47</v>
      </c>
      <c r="E12" s="5">
        <v>36.125</v>
      </c>
      <c r="F12" s="5">
        <v>40.012499999999996</v>
      </c>
      <c r="G12" s="5">
        <v>55.987499999999997</v>
      </c>
      <c r="H12" s="5">
        <v>76.5</v>
      </c>
      <c r="I12" s="5">
        <v>178.27500000000001</v>
      </c>
      <c r="J12" s="10" t="s">
        <v>21</v>
      </c>
      <c r="K12" s="10" t="s">
        <v>21</v>
      </c>
      <c r="L12" s="10" t="s">
        <v>21</v>
      </c>
      <c r="M12" s="10" t="s">
        <v>21</v>
      </c>
      <c r="N12" s="10" t="s">
        <v>21</v>
      </c>
      <c r="O12" s="11" t="s">
        <v>41</v>
      </c>
      <c r="P12" s="11" t="s">
        <v>23</v>
      </c>
      <c r="Q12" s="12">
        <v>80</v>
      </c>
      <c r="R12" s="11" t="s">
        <v>25</v>
      </c>
      <c r="S12" s="3" t="s">
        <v>343</v>
      </c>
      <c r="T12" s="3" t="s">
        <v>344</v>
      </c>
    </row>
    <row r="13" spans="1:20" ht="15.75" customHeight="1" x14ac:dyDescent="0.3">
      <c r="A13" s="7" t="s">
        <v>336</v>
      </c>
      <c r="B13" s="8" t="s">
        <v>19</v>
      </c>
      <c r="C13" s="9" t="s">
        <v>45</v>
      </c>
      <c r="D13" s="5">
        <v>47.67</v>
      </c>
      <c r="E13" s="5">
        <v>63.75</v>
      </c>
      <c r="F13" s="5">
        <v>72.325000000000003</v>
      </c>
      <c r="G13" s="5">
        <v>107.77500000000001</v>
      </c>
      <c r="H13" s="5">
        <v>153.15</v>
      </c>
      <c r="I13" s="5">
        <v>235</v>
      </c>
      <c r="J13" s="10" t="s">
        <v>21</v>
      </c>
      <c r="K13" s="10" t="s">
        <v>21</v>
      </c>
      <c r="L13" s="10" t="s">
        <v>21</v>
      </c>
      <c r="M13" s="10" t="s">
        <v>21</v>
      </c>
      <c r="N13" s="10" t="s">
        <v>21</v>
      </c>
      <c r="O13" s="11" t="s">
        <v>41</v>
      </c>
      <c r="P13" s="11" t="s">
        <v>23</v>
      </c>
      <c r="Q13" s="12">
        <v>80</v>
      </c>
      <c r="R13" s="11" t="s">
        <v>25</v>
      </c>
      <c r="S13" s="3" t="s">
        <v>343</v>
      </c>
      <c r="T13" s="3" t="s">
        <v>344</v>
      </c>
    </row>
    <row r="14" spans="1:20" ht="15.75" customHeight="1" x14ac:dyDescent="0.3">
      <c r="A14" s="7" t="s">
        <v>336</v>
      </c>
      <c r="B14" s="8" t="s">
        <v>19</v>
      </c>
      <c r="C14" s="13" t="s">
        <v>46</v>
      </c>
      <c r="D14" s="14">
        <v>23</v>
      </c>
      <c r="E14" s="14">
        <v>24.625</v>
      </c>
      <c r="F14" s="14">
        <v>25</v>
      </c>
      <c r="G14" s="14">
        <v>26.25</v>
      </c>
      <c r="H14" s="14">
        <v>30.625</v>
      </c>
      <c r="I14" s="14">
        <v>37.5</v>
      </c>
      <c r="J14" s="14">
        <v>47.5</v>
      </c>
      <c r="K14" s="14">
        <v>52.5</v>
      </c>
      <c r="L14" s="14">
        <v>52.5</v>
      </c>
      <c r="M14" s="14">
        <v>84.375</v>
      </c>
      <c r="N14" s="14">
        <v>86.25</v>
      </c>
      <c r="O14" s="15" t="s">
        <v>29</v>
      </c>
      <c r="P14" s="15" t="s">
        <v>23</v>
      </c>
      <c r="Q14" s="16">
        <v>80</v>
      </c>
      <c r="R14" s="15" t="s">
        <v>25</v>
      </c>
      <c r="S14" s="3" t="s">
        <v>343</v>
      </c>
      <c r="T14" s="3" t="s">
        <v>344</v>
      </c>
    </row>
    <row r="15" spans="1:20" ht="15.75" customHeight="1" x14ac:dyDescent="0.3">
      <c r="A15" s="7" t="s">
        <v>336</v>
      </c>
      <c r="B15" s="8" t="s">
        <v>19</v>
      </c>
      <c r="C15" s="9" t="s">
        <v>47</v>
      </c>
      <c r="D15" s="5">
        <v>21.06</v>
      </c>
      <c r="E15" s="5">
        <v>28.075000000000003</v>
      </c>
      <c r="F15" s="5">
        <v>31.662499999999998</v>
      </c>
      <c r="G15" s="5">
        <v>45.05</v>
      </c>
      <c r="H15" s="5">
        <v>70.349999999999994</v>
      </c>
      <c r="I15" s="5">
        <v>133.22499999999999</v>
      </c>
      <c r="J15" s="10" t="s">
        <v>21</v>
      </c>
      <c r="K15" s="10" t="s">
        <v>21</v>
      </c>
      <c r="L15" s="10" t="s">
        <v>21</v>
      </c>
      <c r="M15" s="10" t="s">
        <v>21</v>
      </c>
      <c r="N15" s="10" t="s">
        <v>21</v>
      </c>
      <c r="O15" s="11" t="s">
        <v>29</v>
      </c>
      <c r="P15" s="11" t="s">
        <v>30</v>
      </c>
      <c r="Q15" s="12">
        <v>80</v>
      </c>
      <c r="R15" s="11" t="s">
        <v>25</v>
      </c>
      <c r="S15" s="3" t="s">
        <v>343</v>
      </c>
      <c r="T15" s="3" t="s">
        <v>344</v>
      </c>
    </row>
    <row r="16" spans="1:20" ht="15.75" customHeight="1" x14ac:dyDescent="0.3">
      <c r="A16" s="7" t="s">
        <v>336</v>
      </c>
      <c r="B16" s="8" t="s">
        <v>19</v>
      </c>
      <c r="C16" s="9" t="s">
        <v>48</v>
      </c>
      <c r="D16" s="5">
        <v>27.47</v>
      </c>
      <c r="E16" s="5">
        <v>36.125</v>
      </c>
      <c r="F16" s="5">
        <v>40.012499999999996</v>
      </c>
      <c r="G16" s="5">
        <v>55.987499999999997</v>
      </c>
      <c r="H16" s="5">
        <v>76.5</v>
      </c>
      <c r="I16" s="5">
        <v>178.27500000000001</v>
      </c>
      <c r="J16" s="10" t="s">
        <v>21</v>
      </c>
      <c r="K16" s="10" t="s">
        <v>21</v>
      </c>
      <c r="L16" s="10" t="s">
        <v>21</v>
      </c>
      <c r="M16" s="10" t="s">
        <v>21</v>
      </c>
      <c r="N16" s="10" t="s">
        <v>21</v>
      </c>
      <c r="O16" s="11" t="s">
        <v>41</v>
      </c>
      <c r="P16" s="11" t="s">
        <v>23</v>
      </c>
      <c r="Q16" s="12">
        <v>80</v>
      </c>
      <c r="R16" s="11" t="s">
        <v>25</v>
      </c>
      <c r="S16" s="3" t="s">
        <v>343</v>
      </c>
      <c r="T16" s="3" t="s">
        <v>344</v>
      </c>
    </row>
    <row r="17" spans="1:20" ht="15.75" customHeight="1" x14ac:dyDescent="0.3">
      <c r="A17" s="7" t="s">
        <v>336</v>
      </c>
      <c r="B17" s="8" t="s">
        <v>19</v>
      </c>
      <c r="C17" s="9" t="s">
        <v>49</v>
      </c>
      <c r="D17" s="5">
        <v>21.06</v>
      </c>
      <c r="E17" s="5">
        <v>28.075000000000003</v>
      </c>
      <c r="F17" s="5">
        <v>31.662499999999998</v>
      </c>
      <c r="G17" s="5">
        <v>45.05</v>
      </c>
      <c r="H17" s="5">
        <v>70.349999999999994</v>
      </c>
      <c r="I17" s="5">
        <v>133.22499999999999</v>
      </c>
      <c r="J17" s="10" t="s">
        <v>21</v>
      </c>
      <c r="K17" s="10" t="s">
        <v>21</v>
      </c>
      <c r="L17" s="10" t="s">
        <v>21</v>
      </c>
      <c r="M17" s="10" t="s">
        <v>21</v>
      </c>
      <c r="N17" s="10" t="s">
        <v>21</v>
      </c>
      <c r="O17" s="11" t="s">
        <v>29</v>
      </c>
      <c r="P17" s="11" t="s">
        <v>30</v>
      </c>
      <c r="Q17" s="12">
        <v>80</v>
      </c>
      <c r="R17" s="11" t="s">
        <v>25</v>
      </c>
      <c r="S17" s="3" t="s">
        <v>343</v>
      </c>
      <c r="T17" s="3" t="s">
        <v>344</v>
      </c>
    </row>
    <row r="18" spans="1:20" ht="15.75" customHeight="1" x14ac:dyDescent="0.3">
      <c r="A18" s="7" t="s">
        <v>336</v>
      </c>
      <c r="B18" s="8" t="s">
        <v>19</v>
      </c>
      <c r="C18" s="9" t="s">
        <v>50</v>
      </c>
      <c r="D18" s="5">
        <v>21.06</v>
      </c>
      <c r="E18" s="5">
        <v>28.075000000000003</v>
      </c>
      <c r="F18" s="5">
        <v>31.662499999999998</v>
      </c>
      <c r="G18" s="5">
        <v>45.05</v>
      </c>
      <c r="H18" s="5">
        <v>70.349999999999994</v>
      </c>
      <c r="I18" s="5">
        <v>133.22499999999999</v>
      </c>
      <c r="J18" s="10" t="s">
        <v>21</v>
      </c>
      <c r="K18" s="10" t="s">
        <v>21</v>
      </c>
      <c r="L18" s="10" t="s">
        <v>21</v>
      </c>
      <c r="M18" s="10" t="s">
        <v>21</v>
      </c>
      <c r="N18" s="10" t="s">
        <v>21</v>
      </c>
      <c r="O18" s="11" t="s">
        <v>29</v>
      </c>
      <c r="P18" s="11" t="s">
        <v>30</v>
      </c>
      <c r="Q18" s="12">
        <v>80</v>
      </c>
      <c r="R18" s="11" t="s">
        <v>25</v>
      </c>
      <c r="S18" s="3" t="s">
        <v>343</v>
      </c>
      <c r="T18" s="3" t="s">
        <v>344</v>
      </c>
    </row>
    <row r="19" spans="1:20" ht="15.75" customHeight="1" x14ac:dyDescent="0.3">
      <c r="A19" s="7" t="s">
        <v>336</v>
      </c>
      <c r="B19" s="8" t="s">
        <v>19</v>
      </c>
      <c r="C19" s="9" t="s">
        <v>51</v>
      </c>
      <c r="D19" s="5">
        <v>27.47</v>
      </c>
      <c r="E19" s="5">
        <v>36.125</v>
      </c>
      <c r="F19" s="5">
        <v>40.012499999999996</v>
      </c>
      <c r="G19" s="5">
        <v>55.987499999999997</v>
      </c>
      <c r="H19" s="5">
        <v>76.5</v>
      </c>
      <c r="I19" s="5">
        <v>178.27500000000001</v>
      </c>
      <c r="J19" s="10" t="s">
        <v>21</v>
      </c>
      <c r="K19" s="10" t="s">
        <v>21</v>
      </c>
      <c r="L19" s="10" t="s">
        <v>21</v>
      </c>
      <c r="M19" s="10" t="s">
        <v>21</v>
      </c>
      <c r="N19" s="10" t="s">
        <v>21</v>
      </c>
      <c r="O19" s="11" t="s">
        <v>41</v>
      </c>
      <c r="P19" s="11" t="s">
        <v>23</v>
      </c>
      <c r="Q19" s="12">
        <v>80</v>
      </c>
      <c r="R19" s="11" t="s">
        <v>25</v>
      </c>
      <c r="S19" s="3" t="s">
        <v>343</v>
      </c>
      <c r="T19" s="3" t="s">
        <v>344</v>
      </c>
    </row>
    <row r="20" spans="1:20" ht="15.75" customHeight="1" x14ac:dyDescent="0.3">
      <c r="A20" s="7" t="s">
        <v>336</v>
      </c>
      <c r="B20" s="8" t="s">
        <v>19</v>
      </c>
      <c r="C20" s="9" t="s">
        <v>52</v>
      </c>
      <c r="D20" s="10" t="s">
        <v>21</v>
      </c>
      <c r="E20" s="10" t="s">
        <v>21</v>
      </c>
      <c r="F20" s="10" t="s">
        <v>21</v>
      </c>
      <c r="G20" s="10" t="s">
        <v>21</v>
      </c>
      <c r="H20" s="10" t="s">
        <v>21</v>
      </c>
      <c r="I20" s="10" t="s">
        <v>21</v>
      </c>
      <c r="J20" s="10" t="s">
        <v>21</v>
      </c>
      <c r="K20" s="10" t="s">
        <v>21</v>
      </c>
      <c r="L20" s="10" t="s">
        <v>21</v>
      </c>
      <c r="M20" s="10" t="s">
        <v>21</v>
      </c>
      <c r="N20" s="10" t="s">
        <v>21</v>
      </c>
      <c r="O20" s="11"/>
      <c r="P20" s="11"/>
      <c r="Q20" s="11"/>
      <c r="R20" s="11"/>
      <c r="S20" s="3" t="s">
        <v>343</v>
      </c>
      <c r="T20" s="3" t="s">
        <v>344</v>
      </c>
    </row>
    <row r="21" spans="1:20" ht="15.75" customHeight="1" x14ac:dyDescent="0.3">
      <c r="A21" s="7" t="s">
        <v>336</v>
      </c>
      <c r="B21" s="8" t="s">
        <v>19</v>
      </c>
      <c r="C21" s="13" t="s">
        <v>53</v>
      </c>
      <c r="D21" s="14">
        <v>21.5</v>
      </c>
      <c r="E21" s="14">
        <v>23.875</v>
      </c>
      <c r="F21" s="14">
        <v>26.25</v>
      </c>
      <c r="G21" s="14">
        <v>28.75</v>
      </c>
      <c r="H21" s="14">
        <v>31.25</v>
      </c>
      <c r="I21" s="14">
        <v>36.25</v>
      </c>
      <c r="J21" s="14">
        <v>45</v>
      </c>
      <c r="K21" s="14">
        <v>51.25</v>
      </c>
      <c r="L21" s="14">
        <v>78.75</v>
      </c>
      <c r="M21" s="14">
        <v>86.25</v>
      </c>
      <c r="N21" s="14">
        <v>91.25</v>
      </c>
      <c r="O21" s="15" t="s">
        <v>29</v>
      </c>
      <c r="P21" s="15" t="s">
        <v>41</v>
      </c>
      <c r="Q21" s="16">
        <v>80</v>
      </c>
      <c r="R21" s="15" t="s">
        <v>25</v>
      </c>
      <c r="S21" s="3" t="s">
        <v>343</v>
      </c>
      <c r="T21" s="3" t="s">
        <v>344</v>
      </c>
    </row>
    <row r="22" spans="1:20" ht="15.75" customHeight="1" x14ac:dyDescent="0.3">
      <c r="A22" s="7" t="s">
        <v>336</v>
      </c>
      <c r="B22" s="8" t="s">
        <v>19</v>
      </c>
      <c r="C22" s="9" t="s">
        <v>54</v>
      </c>
      <c r="D22" s="5">
        <v>27.47</v>
      </c>
      <c r="E22" s="5">
        <v>36.125</v>
      </c>
      <c r="F22" s="5">
        <v>40.012499999999996</v>
      </c>
      <c r="G22" s="5">
        <v>55.987499999999997</v>
      </c>
      <c r="H22" s="5">
        <v>76.5</v>
      </c>
      <c r="I22" s="5">
        <v>178.27500000000001</v>
      </c>
      <c r="J22" s="10" t="s">
        <v>21</v>
      </c>
      <c r="K22" s="10" t="s">
        <v>21</v>
      </c>
      <c r="L22" s="10" t="s">
        <v>21</v>
      </c>
      <c r="M22" s="10" t="s">
        <v>21</v>
      </c>
      <c r="N22" s="10" t="s">
        <v>21</v>
      </c>
      <c r="O22" s="11" t="s">
        <v>41</v>
      </c>
      <c r="P22" s="11" t="s">
        <v>23</v>
      </c>
      <c r="Q22" s="12">
        <v>80</v>
      </c>
      <c r="R22" s="11" t="s">
        <v>25</v>
      </c>
      <c r="S22" s="3" t="s">
        <v>343</v>
      </c>
      <c r="T22" s="3" t="s">
        <v>344</v>
      </c>
    </row>
    <row r="23" spans="1:20" ht="15.75" customHeight="1" x14ac:dyDescent="0.3">
      <c r="A23" s="7" t="s">
        <v>336</v>
      </c>
      <c r="B23" s="8" t="s">
        <v>19</v>
      </c>
      <c r="C23" s="9" t="s">
        <v>55</v>
      </c>
      <c r="D23" s="5">
        <v>34.520000000000003</v>
      </c>
      <c r="E23" s="5">
        <v>42.1875</v>
      </c>
      <c r="F23" s="5">
        <v>47.375</v>
      </c>
      <c r="G23" s="5">
        <v>65.45</v>
      </c>
      <c r="H23" s="5">
        <v>93.375</v>
      </c>
      <c r="I23" s="5">
        <v>201.82500000000002</v>
      </c>
      <c r="J23" s="10" t="s">
        <v>21</v>
      </c>
      <c r="K23" s="10" t="s">
        <v>21</v>
      </c>
      <c r="L23" s="10" t="s">
        <v>21</v>
      </c>
      <c r="M23" s="10" t="s">
        <v>21</v>
      </c>
      <c r="N23" s="10" t="s">
        <v>21</v>
      </c>
      <c r="O23" s="11" t="s">
        <v>41</v>
      </c>
      <c r="P23" s="11" t="s">
        <v>24</v>
      </c>
      <c r="Q23" s="12">
        <v>80</v>
      </c>
      <c r="R23" s="11" t="s">
        <v>25</v>
      </c>
      <c r="S23" s="3" t="s">
        <v>343</v>
      </c>
      <c r="T23" s="3" t="s">
        <v>344</v>
      </c>
    </row>
    <row r="24" spans="1:20" ht="15.75" customHeight="1" x14ac:dyDescent="0.3">
      <c r="A24" s="7" t="s">
        <v>336</v>
      </c>
      <c r="B24" s="8" t="s">
        <v>19</v>
      </c>
      <c r="C24" s="9" t="s">
        <v>56</v>
      </c>
      <c r="D24" s="5">
        <v>27.47</v>
      </c>
      <c r="E24" s="5">
        <v>36.125</v>
      </c>
      <c r="F24" s="5">
        <v>40.012499999999996</v>
      </c>
      <c r="G24" s="5">
        <v>55.987499999999997</v>
      </c>
      <c r="H24" s="5">
        <v>76.5</v>
      </c>
      <c r="I24" s="5">
        <v>178.27500000000001</v>
      </c>
      <c r="J24" s="10" t="s">
        <v>21</v>
      </c>
      <c r="K24" s="10" t="s">
        <v>21</v>
      </c>
      <c r="L24" s="10" t="s">
        <v>21</v>
      </c>
      <c r="M24" s="10" t="s">
        <v>21</v>
      </c>
      <c r="N24" s="10" t="s">
        <v>21</v>
      </c>
      <c r="O24" s="11" t="s">
        <v>41</v>
      </c>
      <c r="P24" s="11" t="s">
        <v>23</v>
      </c>
      <c r="Q24" s="12">
        <v>80</v>
      </c>
      <c r="R24" s="11" t="s">
        <v>25</v>
      </c>
      <c r="S24" s="3" t="s">
        <v>343</v>
      </c>
      <c r="T24" s="3" t="s">
        <v>344</v>
      </c>
    </row>
    <row r="25" spans="1:20" ht="15.75" customHeight="1" x14ac:dyDescent="0.3">
      <c r="A25" s="7" t="s">
        <v>336</v>
      </c>
      <c r="B25" s="8" t="s">
        <v>19</v>
      </c>
      <c r="C25" s="9" t="s">
        <v>57</v>
      </c>
      <c r="D25" s="5">
        <v>21.06</v>
      </c>
      <c r="E25" s="5">
        <v>28.075000000000003</v>
      </c>
      <c r="F25" s="5">
        <v>31.662499999999998</v>
      </c>
      <c r="G25" s="5">
        <v>45.05</v>
      </c>
      <c r="H25" s="5">
        <v>70.349999999999994</v>
      </c>
      <c r="I25" s="5">
        <v>133.22499999999999</v>
      </c>
      <c r="J25" s="10" t="s">
        <v>21</v>
      </c>
      <c r="K25" s="10" t="s">
        <v>21</v>
      </c>
      <c r="L25" s="10" t="s">
        <v>21</v>
      </c>
      <c r="M25" s="10" t="s">
        <v>21</v>
      </c>
      <c r="N25" s="10" t="s">
        <v>21</v>
      </c>
      <c r="O25" s="11" t="s">
        <v>29</v>
      </c>
      <c r="P25" s="11" t="s">
        <v>30</v>
      </c>
      <c r="Q25" s="12">
        <v>80</v>
      </c>
      <c r="R25" s="11" t="s">
        <v>25</v>
      </c>
      <c r="S25" s="3" t="s">
        <v>343</v>
      </c>
      <c r="T25" s="3" t="s">
        <v>344</v>
      </c>
    </row>
    <row r="26" spans="1:20" ht="15.75" customHeight="1" x14ac:dyDescent="0.3">
      <c r="A26" s="7" t="s">
        <v>336</v>
      </c>
      <c r="B26" s="8" t="s">
        <v>19</v>
      </c>
      <c r="C26" s="9" t="s">
        <v>58</v>
      </c>
      <c r="D26" s="5">
        <v>30.11</v>
      </c>
      <c r="E26" s="5">
        <v>36.125</v>
      </c>
      <c r="F26" s="5">
        <v>40.012499999999996</v>
      </c>
      <c r="G26" s="5">
        <v>55.987499999999997</v>
      </c>
      <c r="H26" s="5">
        <v>76.5</v>
      </c>
      <c r="I26" s="5">
        <v>178.27500000000001</v>
      </c>
      <c r="J26" s="10" t="s">
        <v>21</v>
      </c>
      <c r="K26" s="10" t="s">
        <v>21</v>
      </c>
      <c r="L26" s="10" t="s">
        <v>21</v>
      </c>
      <c r="M26" s="10" t="s">
        <v>21</v>
      </c>
      <c r="N26" s="10" t="s">
        <v>21</v>
      </c>
      <c r="O26" s="11" t="s">
        <v>23</v>
      </c>
      <c r="P26" s="11" t="s">
        <v>24</v>
      </c>
      <c r="Q26" s="12">
        <v>80</v>
      </c>
      <c r="R26" s="11" t="s">
        <v>25</v>
      </c>
      <c r="S26" s="3" t="s">
        <v>343</v>
      </c>
      <c r="T26" s="3" t="s">
        <v>344</v>
      </c>
    </row>
    <row r="27" spans="1:20" ht="15.75" customHeight="1" x14ac:dyDescent="0.3">
      <c r="A27" s="7" t="s">
        <v>336</v>
      </c>
      <c r="B27" s="8" t="s">
        <v>19</v>
      </c>
      <c r="C27" s="9" t="s">
        <v>59</v>
      </c>
      <c r="D27" s="5">
        <v>30.11</v>
      </c>
      <c r="E27" s="5">
        <v>36.125</v>
      </c>
      <c r="F27" s="5">
        <v>40.012499999999996</v>
      </c>
      <c r="G27" s="5">
        <v>55.987499999999997</v>
      </c>
      <c r="H27" s="5">
        <v>76.5</v>
      </c>
      <c r="I27" s="5">
        <v>178.27500000000001</v>
      </c>
      <c r="J27" s="10" t="s">
        <v>21</v>
      </c>
      <c r="K27" s="10" t="s">
        <v>21</v>
      </c>
      <c r="L27" s="10" t="s">
        <v>21</v>
      </c>
      <c r="M27" s="10" t="s">
        <v>21</v>
      </c>
      <c r="N27" s="10" t="s">
        <v>21</v>
      </c>
      <c r="O27" s="11" t="s">
        <v>23</v>
      </c>
      <c r="P27" s="11" t="s">
        <v>24</v>
      </c>
      <c r="Q27" s="12">
        <v>80</v>
      </c>
      <c r="R27" s="11" t="s">
        <v>25</v>
      </c>
      <c r="S27" s="3" t="s">
        <v>343</v>
      </c>
      <c r="T27" s="3" t="s">
        <v>344</v>
      </c>
    </row>
    <row r="28" spans="1:20" ht="15.75" customHeight="1" x14ac:dyDescent="0.3">
      <c r="A28" s="7" t="s">
        <v>336</v>
      </c>
      <c r="B28" s="8" t="s">
        <v>19</v>
      </c>
      <c r="C28" s="9" t="s">
        <v>60</v>
      </c>
      <c r="D28" s="5">
        <v>35.5</v>
      </c>
      <c r="E28" s="5">
        <v>44.375</v>
      </c>
      <c r="F28" s="5">
        <v>47.375</v>
      </c>
      <c r="G28" s="5">
        <v>56.875</v>
      </c>
      <c r="H28" s="5">
        <v>61.25</v>
      </c>
      <c r="I28" s="5">
        <v>68.75</v>
      </c>
      <c r="J28" s="10" t="s">
        <v>21</v>
      </c>
      <c r="K28" s="10" t="s">
        <v>21</v>
      </c>
      <c r="L28" s="10" t="s">
        <v>21</v>
      </c>
      <c r="M28" s="10" t="s">
        <v>21</v>
      </c>
      <c r="N28" s="10" t="s">
        <v>21</v>
      </c>
      <c r="O28" s="11" t="s">
        <v>29</v>
      </c>
      <c r="P28" s="11" t="s">
        <v>61</v>
      </c>
      <c r="Q28" s="12">
        <v>80</v>
      </c>
      <c r="R28" s="11" t="s">
        <v>25</v>
      </c>
      <c r="S28" s="3" t="s">
        <v>343</v>
      </c>
      <c r="T28" s="3" t="s">
        <v>344</v>
      </c>
    </row>
    <row r="29" spans="1:20" ht="15.75" customHeight="1" x14ac:dyDescent="0.3">
      <c r="A29" s="7" t="s">
        <v>336</v>
      </c>
      <c r="B29" s="8" t="s">
        <v>19</v>
      </c>
      <c r="C29" s="9" t="s">
        <v>62</v>
      </c>
      <c r="D29" s="5">
        <v>31.72</v>
      </c>
      <c r="E29" s="5">
        <v>42.1875</v>
      </c>
      <c r="F29" s="5">
        <v>47.375</v>
      </c>
      <c r="G29" s="5">
        <v>65.45</v>
      </c>
      <c r="H29" s="5">
        <v>93.375</v>
      </c>
      <c r="I29" s="5">
        <v>201.82500000000002</v>
      </c>
      <c r="J29" s="10" t="s">
        <v>21</v>
      </c>
      <c r="K29" s="10" t="s">
        <v>21</v>
      </c>
      <c r="L29" s="10" t="s">
        <v>21</v>
      </c>
      <c r="M29" s="10" t="s">
        <v>21</v>
      </c>
      <c r="N29" s="10" t="s">
        <v>21</v>
      </c>
      <c r="O29" s="11" t="s">
        <v>35</v>
      </c>
      <c r="P29" s="11" t="s">
        <v>36</v>
      </c>
      <c r="Q29" s="12">
        <v>80</v>
      </c>
      <c r="R29" s="11" t="s">
        <v>25</v>
      </c>
      <c r="S29" s="3" t="s">
        <v>343</v>
      </c>
      <c r="T29" s="3" t="s">
        <v>344</v>
      </c>
    </row>
    <row r="30" spans="1:20" ht="15.75" customHeight="1" x14ac:dyDescent="0.3">
      <c r="A30" s="7" t="s">
        <v>336</v>
      </c>
      <c r="B30" s="8" t="s">
        <v>19</v>
      </c>
      <c r="C30" s="9" t="s">
        <v>63</v>
      </c>
      <c r="D30" s="5">
        <v>27.47</v>
      </c>
      <c r="E30" s="5">
        <v>36.125</v>
      </c>
      <c r="F30" s="5">
        <v>40.012499999999996</v>
      </c>
      <c r="G30" s="5">
        <v>55.987499999999997</v>
      </c>
      <c r="H30" s="5">
        <v>76.5</v>
      </c>
      <c r="I30" s="5">
        <v>178.27500000000001</v>
      </c>
      <c r="J30" s="10" t="s">
        <v>21</v>
      </c>
      <c r="K30" s="10" t="s">
        <v>21</v>
      </c>
      <c r="L30" s="10" t="s">
        <v>21</v>
      </c>
      <c r="M30" s="10" t="s">
        <v>21</v>
      </c>
      <c r="N30" s="10" t="s">
        <v>21</v>
      </c>
      <c r="O30" s="11" t="s">
        <v>41</v>
      </c>
      <c r="P30" s="11" t="s">
        <v>23</v>
      </c>
      <c r="Q30" s="12">
        <v>80</v>
      </c>
      <c r="R30" s="11" t="s">
        <v>25</v>
      </c>
      <c r="S30" s="3" t="s">
        <v>343</v>
      </c>
      <c r="T30" s="3" t="s">
        <v>344</v>
      </c>
    </row>
    <row r="31" spans="1:20" ht="15.75" customHeight="1" x14ac:dyDescent="0.3">
      <c r="A31" s="7" t="s">
        <v>336</v>
      </c>
      <c r="B31" s="8" t="s">
        <v>19</v>
      </c>
      <c r="C31" s="9" t="s">
        <v>64</v>
      </c>
      <c r="D31" s="5">
        <v>30.11</v>
      </c>
      <c r="E31" s="5">
        <v>36.125</v>
      </c>
      <c r="F31" s="5">
        <v>40.012499999999996</v>
      </c>
      <c r="G31" s="5">
        <v>55.987499999999997</v>
      </c>
      <c r="H31" s="5">
        <v>76.5</v>
      </c>
      <c r="I31" s="5">
        <v>178.27500000000001</v>
      </c>
      <c r="J31" s="10" t="s">
        <v>21</v>
      </c>
      <c r="K31" s="10" t="s">
        <v>21</v>
      </c>
      <c r="L31" s="10" t="s">
        <v>21</v>
      </c>
      <c r="M31" s="10" t="s">
        <v>21</v>
      </c>
      <c r="N31" s="10" t="s">
        <v>21</v>
      </c>
      <c r="O31" s="11" t="s">
        <v>23</v>
      </c>
      <c r="P31" s="11" t="s">
        <v>24</v>
      </c>
      <c r="Q31" s="12">
        <v>80</v>
      </c>
      <c r="R31" s="11" t="s">
        <v>25</v>
      </c>
      <c r="S31" s="3" t="s">
        <v>343</v>
      </c>
      <c r="T31" s="3" t="s">
        <v>344</v>
      </c>
    </row>
    <row r="32" spans="1:20" ht="15.75" customHeight="1" x14ac:dyDescent="0.3">
      <c r="A32" s="7" t="s">
        <v>336</v>
      </c>
      <c r="B32" s="8" t="s">
        <v>19</v>
      </c>
      <c r="C32" s="9" t="s">
        <v>65</v>
      </c>
      <c r="D32" s="5">
        <v>21.06</v>
      </c>
      <c r="E32" s="5">
        <v>28.075000000000003</v>
      </c>
      <c r="F32" s="5">
        <v>31.662499999999998</v>
      </c>
      <c r="G32" s="5">
        <v>45.05</v>
      </c>
      <c r="H32" s="5">
        <v>70.349999999999994</v>
      </c>
      <c r="I32" s="5">
        <v>133.22499999999999</v>
      </c>
      <c r="J32" s="10" t="s">
        <v>21</v>
      </c>
      <c r="K32" s="10" t="s">
        <v>21</v>
      </c>
      <c r="L32" s="10" t="s">
        <v>21</v>
      </c>
      <c r="M32" s="10" t="s">
        <v>21</v>
      </c>
      <c r="N32" s="10" t="s">
        <v>21</v>
      </c>
      <c r="O32" s="11" t="s">
        <v>29</v>
      </c>
      <c r="P32" s="11" t="s">
        <v>30</v>
      </c>
      <c r="Q32" s="12">
        <v>80</v>
      </c>
      <c r="R32" s="11" t="s">
        <v>25</v>
      </c>
      <c r="S32" s="3" t="s">
        <v>343</v>
      </c>
      <c r="T32" s="3" t="s">
        <v>344</v>
      </c>
    </row>
    <row r="33" spans="1:20" ht="15.75" customHeight="1" x14ac:dyDescent="0.3">
      <c r="A33" s="7" t="s">
        <v>336</v>
      </c>
      <c r="B33" s="8" t="s">
        <v>19</v>
      </c>
      <c r="C33" s="13" t="s">
        <v>66</v>
      </c>
      <c r="D33" s="14">
        <v>28</v>
      </c>
      <c r="E33" s="14">
        <v>33.75</v>
      </c>
      <c r="F33" s="14">
        <v>36.25</v>
      </c>
      <c r="G33" s="14">
        <v>38.75</v>
      </c>
      <c r="H33" s="14">
        <v>41.25</v>
      </c>
      <c r="I33" s="14">
        <v>55</v>
      </c>
      <c r="J33" s="14">
        <v>62.5</v>
      </c>
      <c r="K33" s="14">
        <v>71.25</v>
      </c>
      <c r="L33" s="14">
        <v>98.75</v>
      </c>
      <c r="M33" s="14">
        <v>106.25</v>
      </c>
      <c r="N33" s="14">
        <v>111.25</v>
      </c>
      <c r="O33" s="15" t="s">
        <v>61</v>
      </c>
      <c r="P33" s="15" t="s">
        <v>67</v>
      </c>
      <c r="Q33" s="16">
        <v>80</v>
      </c>
      <c r="R33" s="15" t="s">
        <v>25</v>
      </c>
      <c r="S33" s="3" t="s">
        <v>343</v>
      </c>
      <c r="T33" s="3" t="s">
        <v>344</v>
      </c>
    </row>
    <row r="34" spans="1:20" ht="15.75" customHeight="1" x14ac:dyDescent="0.3">
      <c r="A34" s="7" t="s">
        <v>336</v>
      </c>
      <c r="B34" s="8" t="s">
        <v>19</v>
      </c>
      <c r="C34" s="9" t="s">
        <v>68</v>
      </c>
      <c r="D34" s="5">
        <v>32</v>
      </c>
      <c r="E34" s="5">
        <v>42.1875</v>
      </c>
      <c r="F34" s="5">
        <v>47.375</v>
      </c>
      <c r="G34" s="5">
        <v>65.45</v>
      </c>
      <c r="H34" s="5">
        <v>93.375</v>
      </c>
      <c r="I34" s="5">
        <v>201.82500000000002</v>
      </c>
      <c r="J34" s="10" t="s">
        <v>21</v>
      </c>
      <c r="K34" s="10" t="s">
        <v>21</v>
      </c>
      <c r="L34" s="10" t="s">
        <v>21</v>
      </c>
      <c r="M34" s="10" t="s">
        <v>21</v>
      </c>
      <c r="N34" s="10" t="s">
        <v>21</v>
      </c>
      <c r="O34" s="11" t="s">
        <v>24</v>
      </c>
      <c r="P34" s="11" t="s">
        <v>69</v>
      </c>
      <c r="Q34" s="12">
        <v>80</v>
      </c>
      <c r="R34" s="11" t="s">
        <v>25</v>
      </c>
      <c r="S34" s="3" t="s">
        <v>343</v>
      </c>
      <c r="T34" s="3" t="s">
        <v>344</v>
      </c>
    </row>
    <row r="35" spans="1:20" ht="15.75" customHeight="1" x14ac:dyDescent="0.3">
      <c r="A35" s="7" t="s">
        <v>336</v>
      </c>
      <c r="B35" s="8" t="s">
        <v>19</v>
      </c>
      <c r="C35" s="9" t="s">
        <v>70</v>
      </c>
      <c r="D35" s="5">
        <v>32</v>
      </c>
      <c r="E35" s="5">
        <v>42.1875</v>
      </c>
      <c r="F35" s="5">
        <v>47.375</v>
      </c>
      <c r="G35" s="5">
        <v>65.45</v>
      </c>
      <c r="H35" s="5">
        <v>93.375</v>
      </c>
      <c r="I35" s="5">
        <v>201.82500000000002</v>
      </c>
      <c r="J35" s="10" t="s">
        <v>21</v>
      </c>
      <c r="K35" s="10" t="s">
        <v>21</v>
      </c>
      <c r="L35" s="10" t="s">
        <v>21</v>
      </c>
      <c r="M35" s="10" t="s">
        <v>21</v>
      </c>
      <c r="N35" s="10" t="s">
        <v>21</v>
      </c>
      <c r="O35" s="11" t="s">
        <v>24</v>
      </c>
      <c r="P35" s="11" t="s">
        <v>69</v>
      </c>
      <c r="Q35" s="12">
        <v>80</v>
      </c>
      <c r="R35" s="11" t="s">
        <v>25</v>
      </c>
      <c r="S35" s="3" t="s">
        <v>343</v>
      </c>
      <c r="T35" s="3" t="s">
        <v>344</v>
      </c>
    </row>
    <row r="36" spans="1:20" ht="15.75" customHeight="1" x14ac:dyDescent="0.3">
      <c r="A36" s="7" t="s">
        <v>336</v>
      </c>
      <c r="B36" s="8" t="s">
        <v>19</v>
      </c>
      <c r="C36" s="9" t="s">
        <v>71</v>
      </c>
      <c r="D36" s="5">
        <v>25.05</v>
      </c>
      <c r="E36" s="5">
        <v>33.050000000000004</v>
      </c>
      <c r="F36" s="5">
        <v>37.587499999999999</v>
      </c>
      <c r="G36" s="5">
        <v>54.837499999999999</v>
      </c>
      <c r="H36" s="5">
        <v>77.575000000000003</v>
      </c>
      <c r="I36" s="5">
        <v>137.91249999999999</v>
      </c>
      <c r="J36" s="10" t="s">
        <v>21</v>
      </c>
      <c r="K36" s="10" t="s">
        <v>21</v>
      </c>
      <c r="L36" s="10" t="s">
        <v>21</v>
      </c>
      <c r="M36" s="10" t="s">
        <v>21</v>
      </c>
      <c r="N36" s="10" t="s">
        <v>21</v>
      </c>
      <c r="O36" s="11" t="s">
        <v>38</v>
      </c>
      <c r="P36" s="11" t="s">
        <v>72</v>
      </c>
      <c r="Q36" s="12">
        <v>80</v>
      </c>
      <c r="R36" s="11" t="s">
        <v>25</v>
      </c>
      <c r="S36" s="3" t="s">
        <v>343</v>
      </c>
      <c r="T36" s="3" t="s">
        <v>344</v>
      </c>
    </row>
    <row r="37" spans="1:20" ht="15.75" customHeight="1" x14ac:dyDescent="0.3">
      <c r="A37" s="7" t="s">
        <v>336</v>
      </c>
      <c r="B37" s="8" t="s">
        <v>19</v>
      </c>
      <c r="C37" s="9" t="s">
        <v>73</v>
      </c>
      <c r="D37" s="5">
        <v>31.72</v>
      </c>
      <c r="E37" s="5">
        <v>42.1875</v>
      </c>
      <c r="F37" s="5">
        <v>47.375</v>
      </c>
      <c r="G37" s="5">
        <v>65.45</v>
      </c>
      <c r="H37" s="5">
        <v>93.375</v>
      </c>
      <c r="I37" s="5">
        <v>201.82500000000002</v>
      </c>
      <c r="J37" s="10" t="s">
        <v>21</v>
      </c>
      <c r="K37" s="10" t="s">
        <v>21</v>
      </c>
      <c r="L37" s="10" t="s">
        <v>21</v>
      </c>
      <c r="M37" s="10" t="s">
        <v>21</v>
      </c>
      <c r="N37" s="10" t="s">
        <v>21</v>
      </c>
      <c r="O37" s="11" t="s">
        <v>35</v>
      </c>
      <c r="P37" s="11" t="s">
        <v>36</v>
      </c>
      <c r="Q37" s="12">
        <v>80</v>
      </c>
      <c r="R37" s="11" t="s">
        <v>25</v>
      </c>
      <c r="S37" s="3" t="s">
        <v>343</v>
      </c>
      <c r="T37" s="3" t="s">
        <v>344</v>
      </c>
    </row>
    <row r="38" spans="1:20" ht="15.75" customHeight="1" x14ac:dyDescent="0.3">
      <c r="A38" s="7" t="s">
        <v>336</v>
      </c>
      <c r="B38" s="8" t="s">
        <v>19</v>
      </c>
      <c r="C38" s="9" t="s">
        <v>74</v>
      </c>
      <c r="D38" s="5">
        <v>29.45</v>
      </c>
      <c r="E38" s="5">
        <v>29.8125</v>
      </c>
      <c r="F38" s="5">
        <v>33.875</v>
      </c>
      <c r="G38" s="5">
        <v>51.150000000000006</v>
      </c>
      <c r="H38" s="5">
        <v>71.325000000000003</v>
      </c>
      <c r="I38" s="5">
        <v>139.88749999999999</v>
      </c>
      <c r="J38" s="10" t="s">
        <v>21</v>
      </c>
      <c r="K38" s="10" t="s">
        <v>21</v>
      </c>
      <c r="L38" s="10" t="s">
        <v>21</v>
      </c>
      <c r="M38" s="10" t="s">
        <v>21</v>
      </c>
      <c r="N38" s="10" t="s">
        <v>21</v>
      </c>
      <c r="O38" s="11" t="s">
        <v>35</v>
      </c>
      <c r="P38" s="11" t="s">
        <v>75</v>
      </c>
      <c r="Q38" s="12">
        <v>80</v>
      </c>
      <c r="R38" s="11" t="s">
        <v>25</v>
      </c>
      <c r="S38" s="3" t="s">
        <v>343</v>
      </c>
      <c r="T38" s="3" t="s">
        <v>344</v>
      </c>
    </row>
    <row r="39" spans="1:20" ht="15.75" customHeight="1" x14ac:dyDescent="0.3">
      <c r="A39" s="7" t="s">
        <v>336</v>
      </c>
      <c r="B39" s="8" t="s">
        <v>19</v>
      </c>
      <c r="C39" s="9" t="s">
        <v>76</v>
      </c>
      <c r="D39" s="5">
        <v>31.72</v>
      </c>
      <c r="E39" s="5">
        <v>42.1875</v>
      </c>
      <c r="F39" s="5">
        <v>47.375</v>
      </c>
      <c r="G39" s="5">
        <v>65.45</v>
      </c>
      <c r="H39" s="5">
        <v>93.375</v>
      </c>
      <c r="I39" s="5">
        <v>201.82500000000002</v>
      </c>
      <c r="J39" s="10" t="s">
        <v>21</v>
      </c>
      <c r="K39" s="10" t="s">
        <v>21</v>
      </c>
      <c r="L39" s="10" t="s">
        <v>21</v>
      </c>
      <c r="M39" s="10" t="s">
        <v>21</v>
      </c>
      <c r="N39" s="10" t="s">
        <v>21</v>
      </c>
      <c r="O39" s="11" t="s">
        <v>35</v>
      </c>
      <c r="P39" s="11" t="s">
        <v>36</v>
      </c>
      <c r="Q39" s="12">
        <v>80</v>
      </c>
      <c r="R39" s="11" t="s">
        <v>25</v>
      </c>
      <c r="S39" s="3" t="s">
        <v>343</v>
      </c>
      <c r="T39" s="3" t="s">
        <v>344</v>
      </c>
    </row>
    <row r="40" spans="1:20" ht="15.75" customHeight="1" x14ac:dyDescent="0.3">
      <c r="A40" s="7" t="s">
        <v>336</v>
      </c>
      <c r="B40" s="8" t="s">
        <v>19</v>
      </c>
      <c r="C40" s="9" t="s">
        <v>77</v>
      </c>
      <c r="D40" s="5">
        <v>27.47</v>
      </c>
      <c r="E40" s="5">
        <v>36.125</v>
      </c>
      <c r="F40" s="5">
        <v>40.012499999999996</v>
      </c>
      <c r="G40" s="5">
        <v>55.987499999999997</v>
      </c>
      <c r="H40" s="5">
        <v>76.5</v>
      </c>
      <c r="I40" s="5">
        <v>178.27500000000001</v>
      </c>
      <c r="J40" s="10" t="s">
        <v>21</v>
      </c>
      <c r="K40" s="10" t="s">
        <v>21</v>
      </c>
      <c r="L40" s="10" t="s">
        <v>21</v>
      </c>
      <c r="M40" s="10" t="s">
        <v>21</v>
      </c>
      <c r="N40" s="10" t="s">
        <v>21</v>
      </c>
      <c r="O40" s="11" t="s">
        <v>41</v>
      </c>
      <c r="P40" s="11" t="s">
        <v>23</v>
      </c>
      <c r="Q40" s="12">
        <v>80</v>
      </c>
      <c r="R40" s="11" t="s">
        <v>25</v>
      </c>
      <c r="S40" s="3" t="s">
        <v>343</v>
      </c>
      <c r="T40" s="3" t="s">
        <v>344</v>
      </c>
    </row>
    <row r="41" spans="1:20" ht="15.75" customHeight="1" x14ac:dyDescent="0.3">
      <c r="A41" s="7" t="s">
        <v>336</v>
      </c>
      <c r="B41" s="8" t="s">
        <v>19</v>
      </c>
      <c r="C41" s="9" t="s">
        <v>78</v>
      </c>
      <c r="D41" s="10" t="s">
        <v>21</v>
      </c>
      <c r="E41" s="10" t="s">
        <v>21</v>
      </c>
      <c r="F41" s="10" t="s">
        <v>21</v>
      </c>
      <c r="G41" s="10" t="s">
        <v>21</v>
      </c>
      <c r="H41" s="10" t="s">
        <v>21</v>
      </c>
      <c r="I41" s="10" t="s">
        <v>21</v>
      </c>
      <c r="J41" s="10" t="s">
        <v>21</v>
      </c>
      <c r="K41" s="10" t="s">
        <v>21</v>
      </c>
      <c r="L41" s="10" t="s">
        <v>21</v>
      </c>
      <c r="M41" s="10" t="s">
        <v>21</v>
      </c>
      <c r="N41" s="10" t="s">
        <v>21</v>
      </c>
      <c r="O41" s="11"/>
      <c r="P41" s="11"/>
      <c r="Q41" s="11"/>
      <c r="R41" s="11"/>
      <c r="S41" s="3" t="s">
        <v>343</v>
      </c>
      <c r="T41" s="3" t="s">
        <v>344</v>
      </c>
    </row>
    <row r="42" spans="1:20" ht="15.75" customHeight="1" x14ac:dyDescent="0.3">
      <c r="A42" s="7" t="s">
        <v>336</v>
      </c>
      <c r="B42" s="8" t="s">
        <v>19</v>
      </c>
      <c r="C42" s="9" t="s">
        <v>79</v>
      </c>
      <c r="D42" s="5">
        <v>31.72</v>
      </c>
      <c r="E42" s="5">
        <v>42.1875</v>
      </c>
      <c r="F42" s="5">
        <v>47.375</v>
      </c>
      <c r="G42" s="5">
        <v>65.45</v>
      </c>
      <c r="H42" s="5">
        <v>93.375</v>
      </c>
      <c r="I42" s="5">
        <v>201.82500000000002</v>
      </c>
      <c r="J42" s="10" t="s">
        <v>21</v>
      </c>
      <c r="K42" s="10" t="s">
        <v>21</v>
      </c>
      <c r="L42" s="10" t="s">
        <v>21</v>
      </c>
      <c r="M42" s="10" t="s">
        <v>21</v>
      </c>
      <c r="N42" s="10" t="s">
        <v>21</v>
      </c>
      <c r="O42" s="11" t="s">
        <v>35</v>
      </c>
      <c r="P42" s="11" t="s">
        <v>36</v>
      </c>
      <c r="Q42" s="12">
        <v>80</v>
      </c>
      <c r="R42" s="11" t="s">
        <v>25</v>
      </c>
      <c r="S42" s="3" t="s">
        <v>343</v>
      </c>
      <c r="T42" s="3" t="s">
        <v>344</v>
      </c>
    </row>
    <row r="43" spans="1:20" ht="15.75" customHeight="1" x14ac:dyDescent="0.3">
      <c r="A43" s="7" t="s">
        <v>336</v>
      </c>
      <c r="B43" s="8" t="s">
        <v>19</v>
      </c>
      <c r="C43" s="9" t="s">
        <v>80</v>
      </c>
      <c r="D43" s="5">
        <v>27.47</v>
      </c>
      <c r="E43" s="5">
        <v>36.125</v>
      </c>
      <c r="F43" s="5">
        <v>40.012499999999996</v>
      </c>
      <c r="G43" s="5">
        <v>55.987499999999997</v>
      </c>
      <c r="H43" s="5">
        <v>76.5</v>
      </c>
      <c r="I43" s="5">
        <v>178.27500000000001</v>
      </c>
      <c r="J43" s="10" t="s">
        <v>21</v>
      </c>
      <c r="K43" s="10" t="s">
        <v>21</v>
      </c>
      <c r="L43" s="10" t="s">
        <v>21</v>
      </c>
      <c r="M43" s="10" t="s">
        <v>21</v>
      </c>
      <c r="N43" s="10" t="s">
        <v>21</v>
      </c>
      <c r="O43" s="11" t="s">
        <v>41</v>
      </c>
      <c r="P43" s="11" t="s">
        <v>23</v>
      </c>
      <c r="Q43" s="12">
        <v>80</v>
      </c>
      <c r="R43" s="11" t="s">
        <v>25</v>
      </c>
      <c r="S43" s="3" t="s">
        <v>343</v>
      </c>
      <c r="T43" s="3" t="s">
        <v>344</v>
      </c>
    </row>
    <row r="44" spans="1:20" ht="15.75" customHeight="1" x14ac:dyDescent="0.3">
      <c r="A44" s="7" t="s">
        <v>336</v>
      </c>
      <c r="B44" s="8" t="s">
        <v>19</v>
      </c>
      <c r="C44" s="9" t="s">
        <v>81</v>
      </c>
      <c r="D44" s="5">
        <v>18.61</v>
      </c>
      <c r="E44" s="5">
        <v>60.425000000000004</v>
      </c>
      <c r="F44" s="5">
        <v>63.612499999999997</v>
      </c>
      <c r="G44" s="5">
        <v>76.55</v>
      </c>
      <c r="H44" s="5">
        <v>90.525000000000006</v>
      </c>
      <c r="I44" s="5">
        <v>155.6</v>
      </c>
      <c r="J44" s="10" t="s">
        <v>21</v>
      </c>
      <c r="K44" s="10" t="s">
        <v>21</v>
      </c>
      <c r="L44" s="10" t="s">
        <v>21</v>
      </c>
      <c r="M44" s="10" t="s">
        <v>21</v>
      </c>
      <c r="N44" s="10" t="s">
        <v>21</v>
      </c>
      <c r="O44" s="11" t="s">
        <v>30</v>
      </c>
      <c r="P44" s="11" t="s">
        <v>82</v>
      </c>
      <c r="Q44" s="12">
        <v>80</v>
      </c>
      <c r="R44" s="11"/>
      <c r="S44" s="3" t="s">
        <v>343</v>
      </c>
      <c r="T44" s="3" t="s">
        <v>344</v>
      </c>
    </row>
    <row r="45" spans="1:20" ht="15.75" customHeight="1" x14ac:dyDescent="0.3">
      <c r="A45" s="7" t="s">
        <v>336</v>
      </c>
      <c r="B45" s="8" t="s">
        <v>19</v>
      </c>
      <c r="C45" s="9" t="s">
        <v>83</v>
      </c>
      <c r="D45" s="10" t="s">
        <v>21</v>
      </c>
      <c r="E45" s="10" t="s">
        <v>21</v>
      </c>
      <c r="F45" s="10" t="s">
        <v>21</v>
      </c>
      <c r="G45" s="10" t="s">
        <v>21</v>
      </c>
      <c r="H45" s="10" t="s">
        <v>21</v>
      </c>
      <c r="I45" s="10" t="s">
        <v>21</v>
      </c>
      <c r="J45" s="10" t="s">
        <v>21</v>
      </c>
      <c r="K45" s="10" t="s">
        <v>21</v>
      </c>
      <c r="L45" s="10" t="s">
        <v>21</v>
      </c>
      <c r="M45" s="10" t="s">
        <v>21</v>
      </c>
      <c r="N45" s="10" t="s">
        <v>21</v>
      </c>
      <c r="O45" s="11"/>
      <c r="P45" s="11"/>
      <c r="Q45" s="11"/>
      <c r="R45" s="11"/>
      <c r="S45" s="3" t="s">
        <v>343</v>
      </c>
      <c r="T45" s="3" t="s">
        <v>344</v>
      </c>
    </row>
    <row r="46" spans="1:20" ht="15.75" customHeight="1" x14ac:dyDescent="0.3">
      <c r="A46" s="7" t="s">
        <v>336</v>
      </c>
      <c r="B46" s="8" t="s">
        <v>19</v>
      </c>
      <c r="C46" s="9" t="s">
        <v>84</v>
      </c>
      <c r="D46" s="10" t="s">
        <v>21</v>
      </c>
      <c r="E46" s="10" t="s">
        <v>21</v>
      </c>
      <c r="F46" s="10" t="s">
        <v>21</v>
      </c>
      <c r="G46" s="10" t="s">
        <v>21</v>
      </c>
      <c r="H46" s="10" t="s">
        <v>21</v>
      </c>
      <c r="I46" s="10" t="s">
        <v>21</v>
      </c>
      <c r="J46" s="10" t="s">
        <v>21</v>
      </c>
      <c r="K46" s="10" t="s">
        <v>21</v>
      </c>
      <c r="L46" s="10" t="s">
        <v>21</v>
      </c>
      <c r="M46" s="10" t="s">
        <v>21</v>
      </c>
      <c r="N46" s="10" t="s">
        <v>21</v>
      </c>
      <c r="O46" s="11"/>
      <c r="P46" s="11"/>
      <c r="Q46" s="11"/>
      <c r="R46" s="11"/>
      <c r="S46" s="3" t="s">
        <v>343</v>
      </c>
      <c r="T46" s="3" t="s">
        <v>344</v>
      </c>
    </row>
    <row r="47" spans="1:20" ht="15.75" customHeight="1" x14ac:dyDescent="0.3">
      <c r="A47" s="7" t="s">
        <v>336</v>
      </c>
      <c r="B47" s="8" t="s">
        <v>19</v>
      </c>
      <c r="C47" s="9" t="s">
        <v>85</v>
      </c>
      <c r="D47" s="5">
        <v>27.47</v>
      </c>
      <c r="E47" s="5">
        <v>36.125</v>
      </c>
      <c r="F47" s="5">
        <v>40.012499999999996</v>
      </c>
      <c r="G47" s="5">
        <v>55.987499999999997</v>
      </c>
      <c r="H47" s="5">
        <v>76.5</v>
      </c>
      <c r="I47" s="5">
        <v>178.27500000000001</v>
      </c>
      <c r="J47" s="10" t="s">
        <v>21</v>
      </c>
      <c r="K47" s="10" t="s">
        <v>21</v>
      </c>
      <c r="L47" s="10" t="s">
        <v>21</v>
      </c>
      <c r="M47" s="10" t="s">
        <v>21</v>
      </c>
      <c r="N47" s="10" t="s">
        <v>21</v>
      </c>
      <c r="O47" s="11" t="s">
        <v>41</v>
      </c>
      <c r="P47" s="11" t="s">
        <v>23</v>
      </c>
      <c r="Q47" s="12">
        <v>80</v>
      </c>
      <c r="R47" s="11" t="s">
        <v>25</v>
      </c>
      <c r="S47" s="3" t="s">
        <v>343</v>
      </c>
      <c r="T47" s="3" t="s">
        <v>344</v>
      </c>
    </row>
    <row r="48" spans="1:20" ht="15.75" customHeight="1" x14ac:dyDescent="0.3">
      <c r="A48" s="7" t="s">
        <v>336</v>
      </c>
      <c r="B48" s="8" t="s">
        <v>19</v>
      </c>
      <c r="C48" s="9" t="s">
        <v>86</v>
      </c>
      <c r="D48" s="10" t="s">
        <v>21</v>
      </c>
      <c r="E48" s="10" t="s">
        <v>21</v>
      </c>
      <c r="F48" s="10" t="s">
        <v>21</v>
      </c>
      <c r="G48" s="10" t="s">
        <v>21</v>
      </c>
      <c r="H48" s="10" t="s">
        <v>21</v>
      </c>
      <c r="I48" s="10" t="s">
        <v>21</v>
      </c>
      <c r="J48" s="10" t="s">
        <v>21</v>
      </c>
      <c r="K48" s="10" t="s">
        <v>21</v>
      </c>
      <c r="L48" s="10" t="s">
        <v>21</v>
      </c>
      <c r="M48" s="10" t="s">
        <v>21</v>
      </c>
      <c r="N48" s="10" t="s">
        <v>21</v>
      </c>
      <c r="O48" s="11"/>
      <c r="P48" s="11"/>
      <c r="Q48" s="11"/>
      <c r="R48" s="11"/>
      <c r="S48" s="3" t="s">
        <v>343</v>
      </c>
      <c r="T48" s="3" t="s">
        <v>344</v>
      </c>
    </row>
    <row r="49" spans="1:20" ht="15.75" customHeight="1" x14ac:dyDescent="0.3">
      <c r="A49" s="7" t="s">
        <v>336</v>
      </c>
      <c r="B49" s="8" t="s">
        <v>19</v>
      </c>
      <c r="C49" s="9" t="s">
        <v>87</v>
      </c>
      <c r="D49" s="5">
        <v>31.72</v>
      </c>
      <c r="E49" s="5">
        <v>42.1875</v>
      </c>
      <c r="F49" s="5">
        <v>47.375</v>
      </c>
      <c r="G49" s="5">
        <v>65.45</v>
      </c>
      <c r="H49" s="5">
        <v>93.375</v>
      </c>
      <c r="I49" s="5">
        <v>201.82500000000002</v>
      </c>
      <c r="J49" s="10" t="s">
        <v>21</v>
      </c>
      <c r="K49" s="10" t="s">
        <v>21</v>
      </c>
      <c r="L49" s="10" t="s">
        <v>21</v>
      </c>
      <c r="M49" s="10" t="s">
        <v>21</v>
      </c>
      <c r="N49" s="10" t="s">
        <v>21</v>
      </c>
      <c r="O49" s="11" t="s">
        <v>35</v>
      </c>
      <c r="P49" s="11" t="s">
        <v>36</v>
      </c>
      <c r="Q49" s="12">
        <v>80</v>
      </c>
      <c r="R49" s="11" t="s">
        <v>25</v>
      </c>
      <c r="S49" s="3" t="s">
        <v>343</v>
      </c>
      <c r="T49" s="3" t="s">
        <v>344</v>
      </c>
    </row>
    <row r="50" spans="1:20" ht="15.75" customHeight="1" x14ac:dyDescent="0.3">
      <c r="A50" s="7" t="s">
        <v>336</v>
      </c>
      <c r="B50" s="8" t="s">
        <v>19</v>
      </c>
      <c r="C50" s="9" t="s">
        <v>88</v>
      </c>
      <c r="D50" s="5">
        <v>31.72</v>
      </c>
      <c r="E50" s="5">
        <v>42.1875</v>
      </c>
      <c r="F50" s="5">
        <v>47.375</v>
      </c>
      <c r="G50" s="5">
        <v>65.45</v>
      </c>
      <c r="H50" s="5">
        <v>93.375</v>
      </c>
      <c r="I50" s="5">
        <v>201.82500000000002</v>
      </c>
      <c r="J50" s="10" t="s">
        <v>21</v>
      </c>
      <c r="K50" s="10" t="s">
        <v>21</v>
      </c>
      <c r="L50" s="10" t="s">
        <v>21</v>
      </c>
      <c r="M50" s="10" t="s">
        <v>21</v>
      </c>
      <c r="N50" s="10" t="s">
        <v>21</v>
      </c>
      <c r="O50" s="11" t="s">
        <v>35</v>
      </c>
      <c r="P50" s="11" t="s">
        <v>36</v>
      </c>
      <c r="Q50" s="12">
        <v>80</v>
      </c>
      <c r="R50" s="11" t="s">
        <v>25</v>
      </c>
      <c r="S50" s="3" t="s">
        <v>343</v>
      </c>
      <c r="T50" s="3" t="s">
        <v>344</v>
      </c>
    </row>
    <row r="51" spans="1:20" ht="15.75" customHeight="1" x14ac:dyDescent="0.3">
      <c r="A51" s="7" t="s">
        <v>336</v>
      </c>
      <c r="B51" s="8" t="s">
        <v>19</v>
      </c>
      <c r="C51" s="9" t="s">
        <v>89</v>
      </c>
      <c r="D51" s="5">
        <v>27.47</v>
      </c>
      <c r="E51" s="5">
        <v>36.125</v>
      </c>
      <c r="F51" s="5">
        <v>40.012499999999996</v>
      </c>
      <c r="G51" s="5">
        <v>55.987499999999997</v>
      </c>
      <c r="H51" s="5">
        <v>76.5</v>
      </c>
      <c r="I51" s="5">
        <v>178.27500000000001</v>
      </c>
      <c r="J51" s="10" t="s">
        <v>21</v>
      </c>
      <c r="K51" s="10" t="s">
        <v>21</v>
      </c>
      <c r="L51" s="10" t="s">
        <v>21</v>
      </c>
      <c r="M51" s="10" t="s">
        <v>21</v>
      </c>
      <c r="N51" s="10" t="s">
        <v>21</v>
      </c>
      <c r="O51" s="11" t="s">
        <v>41</v>
      </c>
      <c r="P51" s="11" t="s">
        <v>23</v>
      </c>
      <c r="Q51" s="12">
        <v>80</v>
      </c>
      <c r="R51" s="11" t="s">
        <v>25</v>
      </c>
      <c r="S51" s="3" t="s">
        <v>343</v>
      </c>
      <c r="T51" s="3" t="s">
        <v>344</v>
      </c>
    </row>
    <row r="52" spans="1:20" ht="15.75" customHeight="1" x14ac:dyDescent="0.3">
      <c r="A52" s="7" t="s">
        <v>336</v>
      </c>
      <c r="B52" s="8" t="s">
        <v>19</v>
      </c>
      <c r="C52" s="13" t="s">
        <v>90</v>
      </c>
      <c r="D52" s="14">
        <v>28</v>
      </c>
      <c r="E52" s="14">
        <v>33.75</v>
      </c>
      <c r="F52" s="14">
        <v>36.25</v>
      </c>
      <c r="G52" s="14">
        <v>38.75</v>
      </c>
      <c r="H52" s="14">
        <v>41.25</v>
      </c>
      <c r="I52" s="14">
        <v>55</v>
      </c>
      <c r="J52" s="14">
        <v>62.5</v>
      </c>
      <c r="K52" s="14">
        <v>71.25</v>
      </c>
      <c r="L52" s="14">
        <v>98.75</v>
      </c>
      <c r="M52" s="14">
        <v>106.25</v>
      </c>
      <c r="N52" s="14">
        <v>111.25</v>
      </c>
      <c r="O52" s="15" t="s">
        <v>61</v>
      </c>
      <c r="P52" s="15" t="s">
        <v>67</v>
      </c>
      <c r="Q52" s="16">
        <v>80</v>
      </c>
      <c r="R52" s="15" t="s">
        <v>25</v>
      </c>
      <c r="S52" s="3" t="s">
        <v>343</v>
      </c>
      <c r="T52" s="3" t="s">
        <v>344</v>
      </c>
    </row>
    <row r="53" spans="1:20" ht="15.75" customHeight="1" x14ac:dyDescent="0.3">
      <c r="A53" s="7" t="s">
        <v>336</v>
      </c>
      <c r="B53" s="8" t="s">
        <v>19</v>
      </c>
      <c r="C53" s="9" t="s">
        <v>91</v>
      </c>
      <c r="D53" s="10" t="s">
        <v>21</v>
      </c>
      <c r="E53" s="10" t="s">
        <v>21</v>
      </c>
      <c r="F53" s="10" t="s">
        <v>21</v>
      </c>
      <c r="G53" s="10" t="s">
        <v>21</v>
      </c>
      <c r="H53" s="10" t="s">
        <v>21</v>
      </c>
      <c r="I53" s="10" t="s">
        <v>21</v>
      </c>
      <c r="J53" s="10" t="s">
        <v>21</v>
      </c>
      <c r="K53" s="10" t="s">
        <v>21</v>
      </c>
      <c r="L53" s="10" t="s">
        <v>21</v>
      </c>
      <c r="M53" s="10" t="s">
        <v>21</v>
      </c>
      <c r="N53" s="10" t="s">
        <v>21</v>
      </c>
      <c r="O53" s="11"/>
      <c r="P53" s="11"/>
      <c r="Q53" s="11"/>
      <c r="R53" s="11"/>
      <c r="S53" s="3" t="s">
        <v>343</v>
      </c>
      <c r="T53" s="3" t="s">
        <v>344</v>
      </c>
    </row>
    <row r="54" spans="1:20" ht="15.75" customHeight="1" x14ac:dyDescent="0.3">
      <c r="A54" s="7" t="s">
        <v>336</v>
      </c>
      <c r="B54" s="8" t="s">
        <v>19</v>
      </c>
      <c r="C54" s="9" t="s">
        <v>92</v>
      </c>
      <c r="D54" s="5">
        <v>27.47</v>
      </c>
      <c r="E54" s="5">
        <v>36.125</v>
      </c>
      <c r="F54" s="5">
        <v>40.012499999999996</v>
      </c>
      <c r="G54" s="5">
        <v>55.987499999999997</v>
      </c>
      <c r="H54" s="5">
        <v>76.5</v>
      </c>
      <c r="I54" s="5">
        <v>178.27500000000001</v>
      </c>
      <c r="J54" s="10" t="s">
        <v>21</v>
      </c>
      <c r="K54" s="10" t="s">
        <v>21</v>
      </c>
      <c r="L54" s="10" t="s">
        <v>21</v>
      </c>
      <c r="M54" s="10" t="s">
        <v>21</v>
      </c>
      <c r="N54" s="10" t="s">
        <v>21</v>
      </c>
      <c r="O54" s="11" t="s">
        <v>41</v>
      </c>
      <c r="P54" s="11" t="s">
        <v>23</v>
      </c>
      <c r="Q54" s="12">
        <v>80</v>
      </c>
      <c r="R54" s="11" t="s">
        <v>25</v>
      </c>
      <c r="S54" s="3" t="s">
        <v>343</v>
      </c>
      <c r="T54" s="3" t="s">
        <v>344</v>
      </c>
    </row>
    <row r="55" spans="1:20" ht="15.75" customHeight="1" x14ac:dyDescent="0.3">
      <c r="A55" s="7" t="s">
        <v>336</v>
      </c>
      <c r="B55" s="8" t="s">
        <v>19</v>
      </c>
      <c r="C55" s="13" t="s">
        <v>93</v>
      </c>
      <c r="D55" s="14">
        <v>45</v>
      </c>
      <c r="E55" s="14">
        <v>55</v>
      </c>
      <c r="F55" s="14">
        <v>55</v>
      </c>
      <c r="G55" s="14">
        <v>61.25</v>
      </c>
      <c r="H55" s="14">
        <v>68.75</v>
      </c>
      <c r="I55" s="14">
        <v>82.5</v>
      </c>
      <c r="J55" s="14">
        <v>95</v>
      </c>
      <c r="K55" s="14">
        <v>106.25</v>
      </c>
      <c r="L55" s="14">
        <v>136.25</v>
      </c>
      <c r="M55" s="14">
        <v>146.25</v>
      </c>
      <c r="N55" s="14">
        <v>168.75</v>
      </c>
      <c r="O55" s="15" t="s">
        <v>61</v>
      </c>
      <c r="P55" s="15" t="s">
        <v>94</v>
      </c>
      <c r="Q55" s="16">
        <v>80</v>
      </c>
      <c r="R55" s="15" t="s">
        <v>25</v>
      </c>
      <c r="S55" s="3" t="s">
        <v>343</v>
      </c>
      <c r="T55" s="3" t="s">
        <v>344</v>
      </c>
    </row>
    <row r="56" spans="1:20" ht="15.75" customHeight="1" x14ac:dyDescent="0.3">
      <c r="A56" s="7" t="s">
        <v>336</v>
      </c>
      <c r="B56" s="8" t="s">
        <v>19</v>
      </c>
      <c r="C56" s="13" t="s">
        <v>95</v>
      </c>
      <c r="D56" s="14">
        <v>28</v>
      </c>
      <c r="E56" s="14">
        <v>33.75</v>
      </c>
      <c r="F56" s="14">
        <v>36.25</v>
      </c>
      <c r="G56" s="14">
        <v>38.75</v>
      </c>
      <c r="H56" s="14">
        <v>41.25</v>
      </c>
      <c r="I56" s="14">
        <v>55</v>
      </c>
      <c r="J56" s="14">
        <v>62.5</v>
      </c>
      <c r="K56" s="14">
        <v>71.25</v>
      </c>
      <c r="L56" s="14">
        <v>73.75</v>
      </c>
      <c r="M56" s="14">
        <v>81.25</v>
      </c>
      <c r="N56" s="14">
        <v>86.25</v>
      </c>
      <c r="O56" s="15" t="s">
        <v>61</v>
      </c>
      <c r="P56" s="15" t="s">
        <v>67</v>
      </c>
      <c r="Q56" s="16">
        <v>80</v>
      </c>
      <c r="R56" s="15" t="s">
        <v>25</v>
      </c>
      <c r="S56" s="3" t="s">
        <v>343</v>
      </c>
      <c r="T56" s="3" t="s">
        <v>344</v>
      </c>
    </row>
    <row r="57" spans="1:20" ht="15.75" customHeight="1" x14ac:dyDescent="0.3">
      <c r="A57" s="7" t="s">
        <v>336</v>
      </c>
      <c r="B57" s="8" t="s">
        <v>19</v>
      </c>
      <c r="C57" s="13" t="s">
        <v>96</v>
      </c>
      <c r="D57" s="14">
        <v>21.45</v>
      </c>
      <c r="E57" s="14">
        <v>24.512499999999999</v>
      </c>
      <c r="F57" s="14">
        <v>25</v>
      </c>
      <c r="G57" s="14">
        <v>27.5</v>
      </c>
      <c r="H57" s="14">
        <v>33.75</v>
      </c>
      <c r="I57" s="14">
        <v>40.4</v>
      </c>
      <c r="J57" s="14">
        <v>46.612499999999997</v>
      </c>
      <c r="K57" s="14">
        <v>52.824999999999996</v>
      </c>
      <c r="L57" s="14">
        <v>58.75</v>
      </c>
      <c r="M57" s="14">
        <v>71.612499999999997</v>
      </c>
      <c r="N57" s="14">
        <v>86.25</v>
      </c>
      <c r="O57" s="15" t="s">
        <v>29</v>
      </c>
      <c r="P57" s="15" t="s">
        <v>33</v>
      </c>
      <c r="Q57" s="16">
        <v>80</v>
      </c>
      <c r="R57" s="15" t="s">
        <v>25</v>
      </c>
      <c r="S57" s="3" t="s">
        <v>343</v>
      </c>
      <c r="T57" s="3" t="s">
        <v>344</v>
      </c>
    </row>
    <row r="58" spans="1:20" ht="15.75" customHeight="1" x14ac:dyDescent="0.3">
      <c r="A58" s="7" t="s">
        <v>336</v>
      </c>
      <c r="B58" s="8" t="s">
        <v>19</v>
      </c>
      <c r="C58" s="9" t="s">
        <v>97</v>
      </c>
      <c r="D58" s="5">
        <v>31.72</v>
      </c>
      <c r="E58" s="5">
        <v>42.1875</v>
      </c>
      <c r="F58" s="5">
        <v>47.375</v>
      </c>
      <c r="G58" s="5">
        <v>65.45</v>
      </c>
      <c r="H58" s="5">
        <v>93.375</v>
      </c>
      <c r="I58" s="5">
        <v>201.82500000000002</v>
      </c>
      <c r="J58" s="10" t="s">
        <v>21</v>
      </c>
      <c r="K58" s="10" t="s">
        <v>21</v>
      </c>
      <c r="L58" s="10" t="s">
        <v>21</v>
      </c>
      <c r="M58" s="10" t="s">
        <v>21</v>
      </c>
      <c r="N58" s="10" t="s">
        <v>21</v>
      </c>
      <c r="O58" s="11" t="s">
        <v>35</v>
      </c>
      <c r="P58" s="11" t="s">
        <v>36</v>
      </c>
      <c r="Q58" s="12">
        <v>80</v>
      </c>
      <c r="R58" s="11" t="s">
        <v>25</v>
      </c>
      <c r="S58" s="3" t="s">
        <v>343</v>
      </c>
      <c r="T58" s="3" t="s">
        <v>344</v>
      </c>
    </row>
    <row r="59" spans="1:20" ht="15.75" customHeight="1" x14ac:dyDescent="0.3">
      <c r="A59" s="7" t="s">
        <v>336</v>
      </c>
      <c r="B59" s="8" t="s">
        <v>19</v>
      </c>
      <c r="C59" s="9" t="s">
        <v>98</v>
      </c>
      <c r="D59" s="5">
        <v>27.47</v>
      </c>
      <c r="E59" s="5">
        <v>36.125</v>
      </c>
      <c r="F59" s="5">
        <v>40.012499999999996</v>
      </c>
      <c r="G59" s="5">
        <v>55.987499999999997</v>
      </c>
      <c r="H59" s="5">
        <v>76.5</v>
      </c>
      <c r="I59" s="5">
        <v>178.27500000000001</v>
      </c>
      <c r="J59" s="10" t="s">
        <v>21</v>
      </c>
      <c r="K59" s="10" t="s">
        <v>21</v>
      </c>
      <c r="L59" s="10" t="s">
        <v>21</v>
      </c>
      <c r="M59" s="10" t="s">
        <v>21</v>
      </c>
      <c r="N59" s="10" t="s">
        <v>21</v>
      </c>
      <c r="O59" s="11" t="s">
        <v>41</v>
      </c>
      <c r="P59" s="11" t="s">
        <v>23</v>
      </c>
      <c r="Q59" s="12">
        <v>80</v>
      </c>
      <c r="R59" s="11" t="s">
        <v>25</v>
      </c>
      <c r="S59" s="3" t="s">
        <v>343</v>
      </c>
      <c r="T59" s="3" t="s">
        <v>344</v>
      </c>
    </row>
    <row r="60" spans="1:20" ht="15.75" customHeight="1" x14ac:dyDescent="0.3">
      <c r="A60" s="7" t="s">
        <v>336</v>
      </c>
      <c r="B60" s="8" t="s">
        <v>19</v>
      </c>
      <c r="C60" s="9" t="s">
        <v>99</v>
      </c>
      <c r="D60" s="5">
        <v>27.47</v>
      </c>
      <c r="E60" s="5">
        <v>36.125</v>
      </c>
      <c r="F60" s="5">
        <v>40.012499999999996</v>
      </c>
      <c r="G60" s="5">
        <v>55.987499999999997</v>
      </c>
      <c r="H60" s="5">
        <v>76.5</v>
      </c>
      <c r="I60" s="5">
        <v>178.27500000000001</v>
      </c>
      <c r="J60" s="10" t="s">
        <v>21</v>
      </c>
      <c r="K60" s="10" t="s">
        <v>21</v>
      </c>
      <c r="L60" s="10" t="s">
        <v>21</v>
      </c>
      <c r="M60" s="10" t="s">
        <v>21</v>
      </c>
      <c r="N60" s="10" t="s">
        <v>21</v>
      </c>
      <c r="O60" s="11" t="s">
        <v>41</v>
      </c>
      <c r="P60" s="11" t="s">
        <v>23</v>
      </c>
      <c r="Q60" s="12">
        <v>80</v>
      </c>
      <c r="R60" s="11" t="s">
        <v>25</v>
      </c>
      <c r="S60" s="3" t="s">
        <v>343</v>
      </c>
      <c r="T60" s="3" t="s">
        <v>344</v>
      </c>
    </row>
    <row r="61" spans="1:20" ht="15.75" customHeight="1" x14ac:dyDescent="0.3">
      <c r="A61" s="7" t="s">
        <v>336</v>
      </c>
      <c r="B61" s="8" t="s">
        <v>19</v>
      </c>
      <c r="C61" s="9" t="s">
        <v>100</v>
      </c>
      <c r="D61" s="5">
        <v>31.72</v>
      </c>
      <c r="E61" s="5">
        <v>42.1875</v>
      </c>
      <c r="F61" s="5">
        <v>47.375</v>
      </c>
      <c r="G61" s="5">
        <v>65.45</v>
      </c>
      <c r="H61" s="5">
        <v>93.375</v>
      </c>
      <c r="I61" s="5">
        <v>201.82500000000002</v>
      </c>
      <c r="J61" s="10" t="s">
        <v>21</v>
      </c>
      <c r="K61" s="10" t="s">
        <v>21</v>
      </c>
      <c r="L61" s="10" t="s">
        <v>21</v>
      </c>
      <c r="M61" s="10" t="s">
        <v>21</v>
      </c>
      <c r="N61" s="10" t="s">
        <v>21</v>
      </c>
      <c r="O61" s="11" t="s">
        <v>35</v>
      </c>
      <c r="P61" s="11" t="s">
        <v>36</v>
      </c>
      <c r="Q61" s="12">
        <v>80</v>
      </c>
      <c r="R61" s="11" t="s">
        <v>25</v>
      </c>
      <c r="S61" s="3" t="s">
        <v>343</v>
      </c>
      <c r="T61" s="3" t="s">
        <v>344</v>
      </c>
    </row>
    <row r="62" spans="1:20" ht="15.75" customHeight="1" x14ac:dyDescent="0.3">
      <c r="A62" s="7" t="s">
        <v>336</v>
      </c>
      <c r="B62" s="8" t="s">
        <v>19</v>
      </c>
      <c r="C62" s="9" t="s">
        <v>101</v>
      </c>
      <c r="D62" s="10" t="s">
        <v>21</v>
      </c>
      <c r="E62" s="10" t="s">
        <v>21</v>
      </c>
      <c r="F62" s="10" t="s">
        <v>21</v>
      </c>
      <c r="G62" s="10" t="s">
        <v>21</v>
      </c>
      <c r="H62" s="10" t="s">
        <v>21</v>
      </c>
      <c r="I62" s="10" t="s">
        <v>21</v>
      </c>
      <c r="J62" s="10" t="s">
        <v>21</v>
      </c>
      <c r="K62" s="10" t="s">
        <v>21</v>
      </c>
      <c r="L62" s="10" t="s">
        <v>21</v>
      </c>
      <c r="M62" s="10" t="s">
        <v>21</v>
      </c>
      <c r="N62" s="10" t="s">
        <v>21</v>
      </c>
      <c r="O62" s="11"/>
      <c r="P62" s="11"/>
      <c r="Q62" s="11"/>
      <c r="R62" s="11"/>
      <c r="S62" s="3" t="s">
        <v>343</v>
      </c>
      <c r="T62" s="3" t="s">
        <v>344</v>
      </c>
    </row>
    <row r="63" spans="1:20" ht="15.75" customHeight="1" x14ac:dyDescent="0.3">
      <c r="A63" s="7" t="s">
        <v>336</v>
      </c>
      <c r="B63" s="8" t="s">
        <v>19</v>
      </c>
      <c r="C63" s="9" t="s">
        <v>102</v>
      </c>
      <c r="D63" s="10" t="s">
        <v>21</v>
      </c>
      <c r="E63" s="10" t="s">
        <v>21</v>
      </c>
      <c r="F63" s="10" t="s">
        <v>21</v>
      </c>
      <c r="G63" s="10" t="s">
        <v>21</v>
      </c>
      <c r="H63" s="10" t="s">
        <v>21</v>
      </c>
      <c r="I63" s="10" t="s">
        <v>21</v>
      </c>
      <c r="J63" s="10" t="s">
        <v>21</v>
      </c>
      <c r="K63" s="10" t="s">
        <v>21</v>
      </c>
      <c r="L63" s="10" t="s">
        <v>21</v>
      </c>
      <c r="M63" s="10" t="s">
        <v>21</v>
      </c>
      <c r="N63" s="10" t="s">
        <v>21</v>
      </c>
      <c r="O63" s="11"/>
      <c r="P63" s="11"/>
      <c r="Q63" s="11"/>
      <c r="R63" s="11"/>
      <c r="S63" s="3" t="s">
        <v>343</v>
      </c>
      <c r="T63" s="3" t="s">
        <v>344</v>
      </c>
    </row>
    <row r="64" spans="1:20" ht="15.75" customHeight="1" x14ac:dyDescent="0.3">
      <c r="A64" s="7" t="s">
        <v>336</v>
      </c>
      <c r="B64" s="8" t="s">
        <v>19</v>
      </c>
      <c r="C64" s="9" t="s">
        <v>103</v>
      </c>
      <c r="D64" s="5">
        <v>21.06</v>
      </c>
      <c r="E64" s="5">
        <v>28.075000000000003</v>
      </c>
      <c r="F64" s="5">
        <v>31.662499999999998</v>
      </c>
      <c r="G64" s="5">
        <v>45.05</v>
      </c>
      <c r="H64" s="5">
        <v>70.349999999999994</v>
      </c>
      <c r="I64" s="5">
        <v>133.22499999999999</v>
      </c>
      <c r="J64" s="10" t="s">
        <v>21</v>
      </c>
      <c r="K64" s="10" t="s">
        <v>21</v>
      </c>
      <c r="L64" s="10" t="s">
        <v>21</v>
      </c>
      <c r="M64" s="10" t="s">
        <v>21</v>
      </c>
      <c r="N64" s="10" t="s">
        <v>21</v>
      </c>
      <c r="O64" s="11" t="s">
        <v>29</v>
      </c>
      <c r="P64" s="11" t="s">
        <v>30</v>
      </c>
      <c r="Q64" s="12">
        <v>80</v>
      </c>
      <c r="R64" s="11" t="s">
        <v>25</v>
      </c>
      <c r="S64" s="3" t="s">
        <v>343</v>
      </c>
      <c r="T64" s="3" t="s">
        <v>344</v>
      </c>
    </row>
    <row r="65" spans="1:20" ht="15.75" customHeight="1" x14ac:dyDescent="0.3">
      <c r="A65" s="7" t="s">
        <v>336</v>
      </c>
      <c r="B65" s="8" t="s">
        <v>19</v>
      </c>
      <c r="C65" s="9" t="s">
        <v>104</v>
      </c>
      <c r="D65" s="5">
        <v>27.47</v>
      </c>
      <c r="E65" s="5">
        <v>36.125</v>
      </c>
      <c r="F65" s="5">
        <v>40.012499999999996</v>
      </c>
      <c r="G65" s="5">
        <v>55.987499999999997</v>
      </c>
      <c r="H65" s="5">
        <v>76.5</v>
      </c>
      <c r="I65" s="5">
        <v>178.27500000000001</v>
      </c>
      <c r="J65" s="10" t="s">
        <v>21</v>
      </c>
      <c r="K65" s="10" t="s">
        <v>21</v>
      </c>
      <c r="L65" s="10" t="s">
        <v>21</v>
      </c>
      <c r="M65" s="10" t="s">
        <v>21</v>
      </c>
      <c r="N65" s="10" t="s">
        <v>21</v>
      </c>
      <c r="O65" s="11" t="s">
        <v>41</v>
      </c>
      <c r="P65" s="11" t="s">
        <v>23</v>
      </c>
      <c r="Q65" s="12">
        <v>80</v>
      </c>
      <c r="R65" s="11" t="s">
        <v>25</v>
      </c>
      <c r="S65" s="3" t="s">
        <v>343</v>
      </c>
      <c r="T65" s="3" t="s">
        <v>344</v>
      </c>
    </row>
    <row r="66" spans="1:20" ht="15.75" customHeight="1" x14ac:dyDescent="0.3">
      <c r="A66" s="7" t="s">
        <v>336</v>
      </c>
      <c r="B66" s="8" t="s">
        <v>19</v>
      </c>
      <c r="C66" s="9" t="s">
        <v>105</v>
      </c>
      <c r="D66" s="10" t="s">
        <v>21</v>
      </c>
      <c r="E66" s="10" t="s">
        <v>21</v>
      </c>
      <c r="F66" s="10" t="s">
        <v>21</v>
      </c>
      <c r="G66" s="10" t="s">
        <v>21</v>
      </c>
      <c r="H66" s="10" t="s">
        <v>21</v>
      </c>
      <c r="I66" s="10" t="s">
        <v>21</v>
      </c>
      <c r="J66" s="10" t="s">
        <v>21</v>
      </c>
      <c r="K66" s="10" t="s">
        <v>21</v>
      </c>
      <c r="L66" s="10" t="s">
        <v>21</v>
      </c>
      <c r="M66" s="10" t="s">
        <v>21</v>
      </c>
      <c r="N66" s="10" t="s">
        <v>21</v>
      </c>
      <c r="O66" s="11"/>
      <c r="P66" s="11"/>
      <c r="Q66" s="11"/>
      <c r="R66" s="11"/>
      <c r="S66" s="3" t="s">
        <v>343</v>
      </c>
      <c r="T66" s="3" t="s">
        <v>344</v>
      </c>
    </row>
    <row r="67" spans="1:20" ht="15.75" customHeight="1" x14ac:dyDescent="0.3">
      <c r="A67" s="7" t="s">
        <v>336</v>
      </c>
      <c r="B67" s="8" t="s">
        <v>19</v>
      </c>
      <c r="C67" s="9" t="s">
        <v>106</v>
      </c>
      <c r="D67" s="5">
        <v>31.72</v>
      </c>
      <c r="E67" s="5">
        <v>42.1875</v>
      </c>
      <c r="F67" s="5">
        <v>47.375</v>
      </c>
      <c r="G67" s="5">
        <v>65.45</v>
      </c>
      <c r="H67" s="5">
        <v>93.375</v>
      </c>
      <c r="I67" s="5">
        <v>201.82500000000002</v>
      </c>
      <c r="J67" s="10" t="s">
        <v>21</v>
      </c>
      <c r="K67" s="10" t="s">
        <v>21</v>
      </c>
      <c r="L67" s="10" t="s">
        <v>21</v>
      </c>
      <c r="M67" s="10" t="s">
        <v>21</v>
      </c>
      <c r="N67" s="10" t="s">
        <v>21</v>
      </c>
      <c r="O67" s="11" t="s">
        <v>35</v>
      </c>
      <c r="P67" s="11" t="s">
        <v>36</v>
      </c>
      <c r="Q67" s="12">
        <v>80</v>
      </c>
      <c r="R67" s="11" t="s">
        <v>25</v>
      </c>
      <c r="S67" s="3" t="s">
        <v>343</v>
      </c>
      <c r="T67" s="3" t="s">
        <v>344</v>
      </c>
    </row>
    <row r="68" spans="1:20" ht="15.75" customHeight="1" x14ac:dyDescent="0.3">
      <c r="A68" s="7" t="s">
        <v>336</v>
      </c>
      <c r="B68" s="8" t="s">
        <v>19</v>
      </c>
      <c r="C68" s="13" t="s">
        <v>107</v>
      </c>
      <c r="D68" s="14">
        <v>26.62</v>
      </c>
      <c r="E68" s="14">
        <v>32.262499999999996</v>
      </c>
      <c r="F68" s="14">
        <v>32.5</v>
      </c>
      <c r="G68" s="14">
        <v>36.25</v>
      </c>
      <c r="H68" s="14">
        <v>38.174999999999997</v>
      </c>
      <c r="I68" s="14">
        <v>53.9</v>
      </c>
      <c r="J68" s="14">
        <v>62.25</v>
      </c>
      <c r="K68" s="14">
        <v>70.612499999999997</v>
      </c>
      <c r="L68" s="14">
        <v>63.174999999999997</v>
      </c>
      <c r="M68" s="14">
        <v>85.55</v>
      </c>
      <c r="N68" s="14">
        <v>105.42500000000001</v>
      </c>
      <c r="O68" s="15" t="s">
        <v>29</v>
      </c>
      <c r="P68" s="15" t="s">
        <v>69</v>
      </c>
      <c r="Q68" s="16">
        <v>80</v>
      </c>
      <c r="R68" s="15" t="s">
        <v>25</v>
      </c>
      <c r="S68" s="3" t="s">
        <v>343</v>
      </c>
      <c r="T68" s="3" t="s">
        <v>344</v>
      </c>
    </row>
    <row r="69" spans="1:20" ht="15.75" customHeight="1" x14ac:dyDescent="0.3">
      <c r="A69" s="7" t="s">
        <v>336</v>
      </c>
      <c r="B69" s="8" t="s">
        <v>19</v>
      </c>
      <c r="C69" s="9" t="s">
        <v>108</v>
      </c>
      <c r="D69" s="5">
        <v>31.72</v>
      </c>
      <c r="E69" s="5">
        <v>42.1875</v>
      </c>
      <c r="F69" s="5">
        <v>47.375</v>
      </c>
      <c r="G69" s="5">
        <v>65.45</v>
      </c>
      <c r="H69" s="5">
        <v>93.375</v>
      </c>
      <c r="I69" s="5">
        <v>201.82500000000002</v>
      </c>
      <c r="J69" s="10" t="s">
        <v>21</v>
      </c>
      <c r="K69" s="10" t="s">
        <v>21</v>
      </c>
      <c r="L69" s="10" t="s">
        <v>21</v>
      </c>
      <c r="M69" s="10" t="s">
        <v>21</v>
      </c>
      <c r="N69" s="10" t="s">
        <v>21</v>
      </c>
      <c r="O69" s="11" t="s">
        <v>35</v>
      </c>
      <c r="P69" s="11" t="s">
        <v>36</v>
      </c>
      <c r="Q69" s="12">
        <v>80</v>
      </c>
      <c r="R69" s="11" t="s">
        <v>25</v>
      </c>
      <c r="S69" s="3" t="s">
        <v>343</v>
      </c>
      <c r="T69" s="3" t="s">
        <v>344</v>
      </c>
    </row>
    <row r="70" spans="1:20" ht="15.75" customHeight="1" x14ac:dyDescent="0.3">
      <c r="A70" s="7" t="s">
        <v>336</v>
      </c>
      <c r="B70" s="8" t="s">
        <v>19</v>
      </c>
      <c r="C70" s="9" t="s">
        <v>109</v>
      </c>
      <c r="D70" s="5">
        <v>31.72</v>
      </c>
      <c r="E70" s="5">
        <v>42.1875</v>
      </c>
      <c r="F70" s="5">
        <v>47.375</v>
      </c>
      <c r="G70" s="5">
        <v>65.45</v>
      </c>
      <c r="H70" s="5">
        <v>93.375</v>
      </c>
      <c r="I70" s="5">
        <v>201.82500000000002</v>
      </c>
      <c r="J70" s="10" t="s">
        <v>21</v>
      </c>
      <c r="K70" s="10" t="s">
        <v>21</v>
      </c>
      <c r="L70" s="10" t="s">
        <v>21</v>
      </c>
      <c r="M70" s="10" t="s">
        <v>21</v>
      </c>
      <c r="N70" s="10" t="s">
        <v>21</v>
      </c>
      <c r="O70" s="11" t="s">
        <v>35</v>
      </c>
      <c r="P70" s="11" t="s">
        <v>36</v>
      </c>
      <c r="Q70" s="12">
        <v>80</v>
      </c>
      <c r="R70" s="11" t="s">
        <v>25</v>
      </c>
      <c r="S70" s="3" t="s">
        <v>343</v>
      </c>
      <c r="T70" s="3" t="s">
        <v>344</v>
      </c>
    </row>
    <row r="71" spans="1:20" ht="15.75" customHeight="1" x14ac:dyDescent="0.3">
      <c r="A71" s="7" t="s">
        <v>336</v>
      </c>
      <c r="B71" s="8" t="s">
        <v>19</v>
      </c>
      <c r="C71" s="9" t="s">
        <v>110</v>
      </c>
      <c r="D71" s="10" t="s">
        <v>21</v>
      </c>
      <c r="E71" s="10" t="s">
        <v>21</v>
      </c>
      <c r="F71" s="10" t="s">
        <v>21</v>
      </c>
      <c r="G71" s="10" t="s">
        <v>21</v>
      </c>
      <c r="H71" s="10" t="s">
        <v>21</v>
      </c>
      <c r="I71" s="10" t="s">
        <v>21</v>
      </c>
      <c r="J71" s="10" t="s">
        <v>21</v>
      </c>
      <c r="K71" s="10" t="s">
        <v>21</v>
      </c>
      <c r="L71" s="10" t="s">
        <v>21</v>
      </c>
      <c r="M71" s="10" t="s">
        <v>21</v>
      </c>
      <c r="N71" s="10" t="s">
        <v>21</v>
      </c>
      <c r="O71" s="11"/>
      <c r="P71" s="11"/>
      <c r="Q71" s="11"/>
      <c r="R71" s="11"/>
      <c r="S71" s="3" t="s">
        <v>343</v>
      </c>
      <c r="T71" s="3" t="s">
        <v>344</v>
      </c>
    </row>
    <row r="72" spans="1:20" ht="15.75" customHeight="1" x14ac:dyDescent="0.3">
      <c r="A72" s="7" t="s">
        <v>336</v>
      </c>
      <c r="B72" s="8" t="s">
        <v>19</v>
      </c>
      <c r="C72" s="13" t="s">
        <v>111</v>
      </c>
      <c r="D72" s="14">
        <v>17.440000000000001</v>
      </c>
      <c r="E72" s="14">
        <v>24.512499999999999</v>
      </c>
      <c r="F72" s="14">
        <v>25</v>
      </c>
      <c r="G72" s="14">
        <v>27.5</v>
      </c>
      <c r="H72" s="14">
        <v>33.75</v>
      </c>
      <c r="I72" s="14">
        <v>40.4</v>
      </c>
      <c r="J72" s="14">
        <v>46.612499999999997</v>
      </c>
      <c r="K72" s="14">
        <v>52.824999999999996</v>
      </c>
      <c r="L72" s="14">
        <v>58.75</v>
      </c>
      <c r="M72" s="14">
        <v>71.612499999999997</v>
      </c>
      <c r="N72" s="14">
        <v>86.25</v>
      </c>
      <c r="O72" s="15" t="s">
        <v>29</v>
      </c>
      <c r="P72" s="15" t="s">
        <v>33</v>
      </c>
      <c r="Q72" s="16">
        <v>80</v>
      </c>
      <c r="R72" s="15" t="s">
        <v>25</v>
      </c>
      <c r="S72" s="3" t="s">
        <v>343</v>
      </c>
      <c r="T72" s="3" t="s">
        <v>344</v>
      </c>
    </row>
    <row r="73" spans="1:20" ht="15.75" customHeight="1" x14ac:dyDescent="0.3">
      <c r="A73" s="7" t="s">
        <v>336</v>
      </c>
      <c r="B73" s="8" t="s">
        <v>19</v>
      </c>
      <c r="C73" s="9" t="s">
        <v>112</v>
      </c>
      <c r="D73" s="5">
        <v>31.72</v>
      </c>
      <c r="E73" s="5">
        <v>42.1875</v>
      </c>
      <c r="F73" s="5">
        <v>47.375</v>
      </c>
      <c r="G73" s="5">
        <v>65.45</v>
      </c>
      <c r="H73" s="5">
        <v>93.375</v>
      </c>
      <c r="I73" s="5">
        <v>201.82500000000002</v>
      </c>
      <c r="J73" s="10" t="s">
        <v>21</v>
      </c>
      <c r="K73" s="10" t="s">
        <v>21</v>
      </c>
      <c r="L73" s="10" t="s">
        <v>21</v>
      </c>
      <c r="M73" s="10" t="s">
        <v>21</v>
      </c>
      <c r="N73" s="10" t="s">
        <v>21</v>
      </c>
      <c r="O73" s="11" t="s">
        <v>35</v>
      </c>
      <c r="P73" s="11" t="s">
        <v>36</v>
      </c>
      <c r="Q73" s="12">
        <v>80</v>
      </c>
      <c r="R73" s="11" t="s">
        <v>25</v>
      </c>
      <c r="S73" s="3" t="s">
        <v>343</v>
      </c>
      <c r="T73" s="3" t="s">
        <v>344</v>
      </c>
    </row>
    <row r="74" spans="1:20" ht="15.75" customHeight="1" x14ac:dyDescent="0.3">
      <c r="A74" s="7" t="s">
        <v>336</v>
      </c>
      <c r="B74" s="8" t="s">
        <v>19</v>
      </c>
      <c r="C74" s="13" t="s">
        <v>113</v>
      </c>
      <c r="D74" s="14">
        <v>21.45</v>
      </c>
      <c r="E74" s="14">
        <v>24.512499999999999</v>
      </c>
      <c r="F74" s="14">
        <v>25</v>
      </c>
      <c r="G74" s="14">
        <v>27.5</v>
      </c>
      <c r="H74" s="14">
        <v>33.75</v>
      </c>
      <c r="I74" s="14">
        <v>40.4</v>
      </c>
      <c r="J74" s="14">
        <v>46.612499999999997</v>
      </c>
      <c r="K74" s="14">
        <v>52.824999999999996</v>
      </c>
      <c r="L74" s="14">
        <v>58.75</v>
      </c>
      <c r="M74" s="14">
        <v>71.612499999999997</v>
      </c>
      <c r="N74" s="14">
        <v>86.25</v>
      </c>
      <c r="O74" s="15" t="s">
        <v>29</v>
      </c>
      <c r="P74" s="15" t="s">
        <v>33</v>
      </c>
      <c r="Q74" s="16">
        <v>80</v>
      </c>
      <c r="R74" s="15" t="s">
        <v>25</v>
      </c>
      <c r="S74" s="3" t="s">
        <v>343</v>
      </c>
      <c r="T74" s="3" t="s">
        <v>344</v>
      </c>
    </row>
    <row r="75" spans="1:20" ht="15.75" customHeight="1" x14ac:dyDescent="0.3">
      <c r="A75" s="7" t="s">
        <v>336</v>
      </c>
      <c r="B75" s="8" t="s">
        <v>19</v>
      </c>
      <c r="C75" s="13" t="s">
        <v>114</v>
      </c>
      <c r="D75" s="14">
        <v>21.5</v>
      </c>
      <c r="E75" s="14">
        <v>23.875</v>
      </c>
      <c r="F75" s="14">
        <v>26.25</v>
      </c>
      <c r="G75" s="14">
        <v>28.75</v>
      </c>
      <c r="H75" s="14">
        <v>31.25</v>
      </c>
      <c r="I75" s="14">
        <v>36.25</v>
      </c>
      <c r="J75" s="14">
        <v>45</v>
      </c>
      <c r="K75" s="14">
        <v>51.25</v>
      </c>
      <c r="L75" s="14">
        <v>78.75</v>
      </c>
      <c r="M75" s="14">
        <v>86.25</v>
      </c>
      <c r="N75" s="14">
        <v>91.25</v>
      </c>
      <c r="O75" s="15" t="s">
        <v>29</v>
      </c>
      <c r="P75" s="15" t="s">
        <v>33</v>
      </c>
      <c r="Q75" s="16">
        <v>80</v>
      </c>
      <c r="R75" s="15" t="s">
        <v>25</v>
      </c>
      <c r="S75" s="3" t="s">
        <v>343</v>
      </c>
      <c r="T75" s="3" t="s">
        <v>344</v>
      </c>
    </row>
    <row r="76" spans="1:20" ht="15.75" customHeight="1" x14ac:dyDescent="0.3">
      <c r="A76" s="7" t="s">
        <v>336</v>
      </c>
      <c r="B76" s="8" t="s">
        <v>19</v>
      </c>
      <c r="C76" s="9" t="s">
        <v>115</v>
      </c>
      <c r="D76" s="5">
        <v>27.47</v>
      </c>
      <c r="E76" s="5">
        <v>36.125</v>
      </c>
      <c r="F76" s="5">
        <v>40.012499999999996</v>
      </c>
      <c r="G76" s="5">
        <v>55.987499999999997</v>
      </c>
      <c r="H76" s="5">
        <v>76.5</v>
      </c>
      <c r="I76" s="5">
        <v>178.27500000000001</v>
      </c>
      <c r="J76" s="10" t="s">
        <v>21</v>
      </c>
      <c r="K76" s="10" t="s">
        <v>21</v>
      </c>
      <c r="L76" s="10" t="s">
        <v>21</v>
      </c>
      <c r="M76" s="10" t="s">
        <v>21</v>
      </c>
      <c r="N76" s="10" t="s">
        <v>21</v>
      </c>
      <c r="O76" s="11" t="s">
        <v>41</v>
      </c>
      <c r="P76" s="11" t="s">
        <v>23</v>
      </c>
      <c r="Q76" s="12">
        <v>80</v>
      </c>
      <c r="R76" s="11" t="s">
        <v>25</v>
      </c>
      <c r="S76" s="3" t="s">
        <v>343</v>
      </c>
      <c r="T76" s="3" t="s">
        <v>344</v>
      </c>
    </row>
    <row r="77" spans="1:20" ht="15.75" customHeight="1" x14ac:dyDescent="0.3">
      <c r="A77" s="7" t="s">
        <v>336</v>
      </c>
      <c r="B77" s="8" t="s">
        <v>19</v>
      </c>
      <c r="C77" s="9" t="s">
        <v>116</v>
      </c>
      <c r="D77" s="5">
        <v>27.47</v>
      </c>
      <c r="E77" s="5">
        <v>36.125</v>
      </c>
      <c r="F77" s="5">
        <v>40.012499999999996</v>
      </c>
      <c r="G77" s="5">
        <v>55.987499999999997</v>
      </c>
      <c r="H77" s="5">
        <v>76.5</v>
      </c>
      <c r="I77" s="5">
        <v>178.27500000000001</v>
      </c>
      <c r="J77" s="10" t="s">
        <v>21</v>
      </c>
      <c r="K77" s="10" t="s">
        <v>21</v>
      </c>
      <c r="L77" s="10" t="s">
        <v>21</v>
      </c>
      <c r="M77" s="10" t="s">
        <v>21</v>
      </c>
      <c r="N77" s="10" t="s">
        <v>21</v>
      </c>
      <c r="O77" s="11" t="s">
        <v>41</v>
      </c>
      <c r="P77" s="11" t="s">
        <v>23</v>
      </c>
      <c r="Q77" s="12">
        <v>80</v>
      </c>
      <c r="R77" s="11" t="s">
        <v>25</v>
      </c>
      <c r="S77" s="3" t="s">
        <v>343</v>
      </c>
      <c r="T77" s="3" t="s">
        <v>344</v>
      </c>
    </row>
    <row r="78" spans="1:20" ht="15.75" customHeight="1" x14ac:dyDescent="0.3">
      <c r="A78" s="7" t="s">
        <v>336</v>
      </c>
      <c r="B78" s="8" t="s">
        <v>19</v>
      </c>
      <c r="C78" s="9" t="s">
        <v>117</v>
      </c>
      <c r="D78" s="5">
        <v>31.72</v>
      </c>
      <c r="E78" s="5">
        <v>42.1875</v>
      </c>
      <c r="F78" s="5">
        <v>47.375</v>
      </c>
      <c r="G78" s="5">
        <v>65.45</v>
      </c>
      <c r="H78" s="5">
        <v>93.375</v>
      </c>
      <c r="I78" s="5">
        <v>201.82500000000002</v>
      </c>
      <c r="J78" s="10" t="s">
        <v>21</v>
      </c>
      <c r="K78" s="10" t="s">
        <v>21</v>
      </c>
      <c r="L78" s="10" t="s">
        <v>21</v>
      </c>
      <c r="M78" s="10" t="s">
        <v>21</v>
      </c>
      <c r="N78" s="10" t="s">
        <v>21</v>
      </c>
      <c r="O78" s="11" t="s">
        <v>35</v>
      </c>
      <c r="P78" s="11" t="s">
        <v>36</v>
      </c>
      <c r="Q78" s="12">
        <v>80</v>
      </c>
      <c r="R78" s="11" t="s">
        <v>25</v>
      </c>
      <c r="S78" s="3" t="s">
        <v>343</v>
      </c>
      <c r="T78" s="3" t="s">
        <v>344</v>
      </c>
    </row>
    <row r="79" spans="1:20" ht="15.75" customHeight="1" x14ac:dyDescent="0.3">
      <c r="A79" s="7" t="s">
        <v>336</v>
      </c>
      <c r="B79" s="8" t="s">
        <v>19</v>
      </c>
      <c r="C79" s="9" t="s">
        <v>118</v>
      </c>
      <c r="D79" s="5">
        <v>31.72</v>
      </c>
      <c r="E79" s="5">
        <v>42.1875</v>
      </c>
      <c r="F79" s="5">
        <v>47.375</v>
      </c>
      <c r="G79" s="5">
        <v>65.45</v>
      </c>
      <c r="H79" s="5">
        <v>93.375</v>
      </c>
      <c r="I79" s="5">
        <v>201.82500000000002</v>
      </c>
      <c r="J79" s="10" t="s">
        <v>21</v>
      </c>
      <c r="K79" s="10" t="s">
        <v>21</v>
      </c>
      <c r="L79" s="10" t="s">
        <v>21</v>
      </c>
      <c r="M79" s="10" t="s">
        <v>21</v>
      </c>
      <c r="N79" s="10" t="s">
        <v>21</v>
      </c>
      <c r="O79" s="11" t="s">
        <v>24</v>
      </c>
      <c r="P79" s="11" t="s">
        <v>69</v>
      </c>
      <c r="Q79" s="12">
        <v>80</v>
      </c>
      <c r="R79" s="11" t="s">
        <v>25</v>
      </c>
      <c r="S79" s="3" t="s">
        <v>343</v>
      </c>
      <c r="T79" s="3" t="s">
        <v>344</v>
      </c>
    </row>
    <row r="80" spans="1:20" ht="15.75" customHeight="1" x14ac:dyDescent="0.3">
      <c r="A80" s="7" t="s">
        <v>336</v>
      </c>
      <c r="B80" s="8" t="s">
        <v>19</v>
      </c>
      <c r="C80" s="9" t="s">
        <v>119</v>
      </c>
      <c r="D80" s="5">
        <v>21.06</v>
      </c>
      <c r="E80" s="5">
        <v>28.075000000000003</v>
      </c>
      <c r="F80" s="5">
        <v>31.662499999999998</v>
      </c>
      <c r="G80" s="5">
        <v>45.05</v>
      </c>
      <c r="H80" s="5">
        <v>70.349999999999994</v>
      </c>
      <c r="I80" s="5">
        <v>133.22499999999999</v>
      </c>
      <c r="J80" s="10" t="s">
        <v>21</v>
      </c>
      <c r="K80" s="10" t="s">
        <v>21</v>
      </c>
      <c r="L80" s="10" t="s">
        <v>21</v>
      </c>
      <c r="M80" s="10" t="s">
        <v>21</v>
      </c>
      <c r="N80" s="10" t="s">
        <v>21</v>
      </c>
      <c r="O80" s="11" t="s">
        <v>29</v>
      </c>
      <c r="P80" s="11" t="s">
        <v>30</v>
      </c>
      <c r="Q80" s="12">
        <v>80</v>
      </c>
      <c r="R80" s="11" t="s">
        <v>25</v>
      </c>
      <c r="S80" s="3" t="s">
        <v>343</v>
      </c>
      <c r="T80" s="3" t="s">
        <v>344</v>
      </c>
    </row>
    <row r="81" spans="1:20" ht="15.75" customHeight="1" x14ac:dyDescent="0.3">
      <c r="A81" s="7" t="s">
        <v>336</v>
      </c>
      <c r="B81" s="8" t="s">
        <v>19</v>
      </c>
      <c r="C81" s="13" t="s">
        <v>120</v>
      </c>
      <c r="D81" s="14">
        <v>21.5</v>
      </c>
      <c r="E81" s="14">
        <v>23.875</v>
      </c>
      <c r="F81" s="14">
        <v>26.25</v>
      </c>
      <c r="G81" s="14">
        <v>28.75</v>
      </c>
      <c r="H81" s="14">
        <v>31.25</v>
      </c>
      <c r="I81" s="14">
        <v>36.25</v>
      </c>
      <c r="J81" s="14">
        <v>45</v>
      </c>
      <c r="K81" s="14">
        <v>51.25</v>
      </c>
      <c r="L81" s="14">
        <v>78.75</v>
      </c>
      <c r="M81" s="14">
        <v>86.25</v>
      </c>
      <c r="N81" s="14">
        <v>91.25</v>
      </c>
      <c r="O81" s="15" t="s">
        <v>29</v>
      </c>
      <c r="P81" s="15" t="s">
        <v>41</v>
      </c>
      <c r="Q81" s="16">
        <v>80</v>
      </c>
      <c r="R81" s="15" t="s">
        <v>25</v>
      </c>
      <c r="S81" s="3" t="s">
        <v>343</v>
      </c>
      <c r="T81" s="3" t="s">
        <v>344</v>
      </c>
    </row>
    <row r="82" spans="1:20" ht="15.75" customHeight="1" x14ac:dyDescent="0.3">
      <c r="A82" s="7" t="s">
        <v>336</v>
      </c>
      <c r="B82" s="8" t="s">
        <v>19</v>
      </c>
      <c r="C82" s="9" t="s">
        <v>121</v>
      </c>
      <c r="D82" s="5">
        <v>31.72</v>
      </c>
      <c r="E82" s="5">
        <v>42.1875</v>
      </c>
      <c r="F82" s="5">
        <v>47.375</v>
      </c>
      <c r="G82" s="5">
        <v>65.45</v>
      </c>
      <c r="H82" s="5">
        <v>93.375</v>
      </c>
      <c r="I82" s="5">
        <v>201.82500000000002</v>
      </c>
      <c r="J82" s="10" t="s">
        <v>21</v>
      </c>
      <c r="K82" s="10" t="s">
        <v>21</v>
      </c>
      <c r="L82" s="10" t="s">
        <v>21</v>
      </c>
      <c r="M82" s="10" t="s">
        <v>21</v>
      </c>
      <c r="N82" s="10" t="s">
        <v>21</v>
      </c>
      <c r="O82" s="11" t="s">
        <v>35</v>
      </c>
      <c r="P82" s="11" t="s">
        <v>36</v>
      </c>
      <c r="Q82" s="12">
        <v>80</v>
      </c>
      <c r="R82" s="11" t="s">
        <v>25</v>
      </c>
      <c r="S82" s="3" t="s">
        <v>343</v>
      </c>
      <c r="T82" s="3" t="s">
        <v>344</v>
      </c>
    </row>
    <row r="83" spans="1:20" ht="15.75" customHeight="1" x14ac:dyDescent="0.3">
      <c r="A83" s="7" t="s">
        <v>336</v>
      </c>
      <c r="B83" s="8" t="s">
        <v>19</v>
      </c>
      <c r="C83" s="9" t="s">
        <v>122</v>
      </c>
      <c r="D83" s="5">
        <v>17.440000000000001</v>
      </c>
      <c r="E83" s="5">
        <v>24.512499999999999</v>
      </c>
      <c r="F83" s="5">
        <v>25</v>
      </c>
      <c r="G83" s="5">
        <v>27.5</v>
      </c>
      <c r="H83" s="5">
        <v>33.75</v>
      </c>
      <c r="I83" s="5">
        <v>40.4</v>
      </c>
      <c r="J83" s="10" t="s">
        <v>21</v>
      </c>
      <c r="K83" s="10" t="s">
        <v>21</v>
      </c>
      <c r="L83" s="10" t="s">
        <v>21</v>
      </c>
      <c r="M83" s="10" t="s">
        <v>21</v>
      </c>
      <c r="N83" s="10" t="s">
        <v>21</v>
      </c>
      <c r="O83" s="11" t="s">
        <v>29</v>
      </c>
      <c r="P83" s="11" t="s">
        <v>33</v>
      </c>
      <c r="Q83" s="12">
        <v>80</v>
      </c>
      <c r="R83" s="11" t="s">
        <v>25</v>
      </c>
      <c r="S83" s="3" t="s">
        <v>343</v>
      </c>
      <c r="T83" s="3" t="s">
        <v>344</v>
      </c>
    </row>
    <row r="84" spans="1:20" ht="15.75" customHeight="1" x14ac:dyDescent="0.3">
      <c r="A84" s="7" t="s">
        <v>336</v>
      </c>
      <c r="B84" s="8" t="s">
        <v>19</v>
      </c>
      <c r="C84" s="13" t="s">
        <v>123</v>
      </c>
      <c r="D84" s="14">
        <v>22</v>
      </c>
      <c r="E84" s="14">
        <v>27.5</v>
      </c>
      <c r="F84" s="14">
        <v>35</v>
      </c>
      <c r="G84" s="14">
        <v>37.5</v>
      </c>
      <c r="H84" s="14">
        <v>40</v>
      </c>
      <c r="I84" s="14">
        <v>42.5</v>
      </c>
      <c r="J84" s="14">
        <v>48.75</v>
      </c>
      <c r="K84" s="14">
        <v>55</v>
      </c>
      <c r="L84" s="14">
        <v>65</v>
      </c>
      <c r="M84" s="14">
        <v>112.5</v>
      </c>
      <c r="N84" s="14">
        <v>136.25</v>
      </c>
      <c r="O84" s="15" t="s">
        <v>61</v>
      </c>
      <c r="P84" s="15" t="s">
        <v>124</v>
      </c>
      <c r="Q84" s="16">
        <v>80</v>
      </c>
      <c r="R84" s="15" t="s">
        <v>25</v>
      </c>
      <c r="S84" s="3" t="s">
        <v>343</v>
      </c>
      <c r="T84" s="3" t="s">
        <v>344</v>
      </c>
    </row>
    <row r="85" spans="1:20" ht="15.75" customHeight="1" x14ac:dyDescent="0.3">
      <c r="A85" s="7" t="s">
        <v>336</v>
      </c>
      <c r="B85" s="8" t="s">
        <v>19</v>
      </c>
      <c r="C85" s="13" t="s">
        <v>125</v>
      </c>
      <c r="D85" s="14">
        <v>57</v>
      </c>
      <c r="E85" s="14">
        <v>71.25</v>
      </c>
      <c r="F85" s="14">
        <v>71.25</v>
      </c>
      <c r="G85" s="14">
        <v>66.25</v>
      </c>
      <c r="H85" s="14">
        <v>78.75</v>
      </c>
      <c r="I85" s="14">
        <v>87.5</v>
      </c>
      <c r="J85" s="14">
        <v>87.5</v>
      </c>
      <c r="K85" s="14">
        <v>96.25</v>
      </c>
      <c r="L85" s="14">
        <v>103.75</v>
      </c>
      <c r="M85" s="14">
        <v>145</v>
      </c>
      <c r="N85" s="14">
        <v>152.5</v>
      </c>
      <c r="O85" s="15" t="s">
        <v>33</v>
      </c>
      <c r="P85" s="15" t="s">
        <v>126</v>
      </c>
      <c r="Q85" s="16">
        <v>80</v>
      </c>
      <c r="R85" s="15" t="s">
        <v>25</v>
      </c>
      <c r="S85" s="3" t="s">
        <v>343</v>
      </c>
      <c r="T85" s="3" t="s">
        <v>344</v>
      </c>
    </row>
    <row r="86" spans="1:20" ht="15.75" customHeight="1" x14ac:dyDescent="0.3">
      <c r="A86" s="7" t="s">
        <v>336</v>
      </c>
      <c r="B86" s="8" t="s">
        <v>19</v>
      </c>
      <c r="C86" s="13" t="s">
        <v>127</v>
      </c>
      <c r="D86" s="14">
        <v>17.440000000000001</v>
      </c>
      <c r="E86" s="14">
        <v>24.512499999999999</v>
      </c>
      <c r="F86" s="14">
        <v>25</v>
      </c>
      <c r="G86" s="14">
        <v>27.5</v>
      </c>
      <c r="H86" s="14">
        <v>33.75</v>
      </c>
      <c r="I86" s="14">
        <v>40.4</v>
      </c>
      <c r="J86" s="14">
        <v>46.612499999999997</v>
      </c>
      <c r="K86" s="14">
        <v>52.824999999999996</v>
      </c>
      <c r="L86" s="14">
        <v>58.75</v>
      </c>
      <c r="M86" s="14">
        <v>71.612499999999997</v>
      </c>
      <c r="N86" s="14">
        <v>86.25</v>
      </c>
      <c r="O86" s="15" t="s">
        <v>29</v>
      </c>
      <c r="P86" s="15" t="s">
        <v>33</v>
      </c>
      <c r="Q86" s="16">
        <v>80</v>
      </c>
      <c r="R86" s="15" t="s">
        <v>25</v>
      </c>
      <c r="S86" s="3" t="s">
        <v>343</v>
      </c>
      <c r="T86" s="3" t="s">
        <v>344</v>
      </c>
    </row>
    <row r="87" spans="1:20" ht="15.75" customHeight="1" x14ac:dyDescent="0.3">
      <c r="A87" s="7" t="s">
        <v>336</v>
      </c>
      <c r="B87" s="8" t="s">
        <v>19</v>
      </c>
      <c r="C87" s="9" t="s">
        <v>128</v>
      </c>
      <c r="D87" s="5">
        <v>27.47</v>
      </c>
      <c r="E87" s="5">
        <v>36.125</v>
      </c>
      <c r="F87" s="5">
        <v>40.012499999999996</v>
      </c>
      <c r="G87" s="5">
        <v>55.987499999999997</v>
      </c>
      <c r="H87" s="5">
        <v>76.5</v>
      </c>
      <c r="I87" s="5">
        <v>178.27500000000001</v>
      </c>
      <c r="J87" s="10" t="s">
        <v>21</v>
      </c>
      <c r="K87" s="10" t="s">
        <v>21</v>
      </c>
      <c r="L87" s="10" t="s">
        <v>21</v>
      </c>
      <c r="M87" s="10" t="s">
        <v>21</v>
      </c>
      <c r="N87" s="10" t="s">
        <v>21</v>
      </c>
      <c r="O87" s="11" t="s">
        <v>41</v>
      </c>
      <c r="P87" s="11" t="s">
        <v>23</v>
      </c>
      <c r="Q87" s="12">
        <v>80</v>
      </c>
      <c r="R87" s="11" t="s">
        <v>25</v>
      </c>
      <c r="S87" s="3" t="s">
        <v>343</v>
      </c>
      <c r="T87" s="3" t="s">
        <v>344</v>
      </c>
    </row>
    <row r="88" spans="1:20" ht="15.75" customHeight="1" x14ac:dyDescent="0.3">
      <c r="A88" s="7" t="s">
        <v>336</v>
      </c>
      <c r="B88" s="8" t="s">
        <v>19</v>
      </c>
      <c r="C88" s="9" t="s">
        <v>129</v>
      </c>
      <c r="D88" s="5">
        <v>27.47</v>
      </c>
      <c r="E88" s="5">
        <v>36.125</v>
      </c>
      <c r="F88" s="5">
        <v>40.012499999999996</v>
      </c>
      <c r="G88" s="5">
        <v>55.987499999999997</v>
      </c>
      <c r="H88" s="5">
        <v>76.5</v>
      </c>
      <c r="I88" s="5">
        <v>178.27500000000001</v>
      </c>
      <c r="J88" s="10" t="s">
        <v>21</v>
      </c>
      <c r="K88" s="10" t="s">
        <v>21</v>
      </c>
      <c r="L88" s="10" t="s">
        <v>21</v>
      </c>
      <c r="M88" s="10" t="s">
        <v>21</v>
      </c>
      <c r="N88" s="10" t="s">
        <v>21</v>
      </c>
      <c r="O88" s="11" t="s">
        <v>41</v>
      </c>
      <c r="P88" s="11" t="s">
        <v>23</v>
      </c>
      <c r="Q88" s="12">
        <v>80</v>
      </c>
      <c r="R88" s="11" t="s">
        <v>25</v>
      </c>
      <c r="S88" s="3" t="s">
        <v>343</v>
      </c>
      <c r="T88" s="3" t="s">
        <v>344</v>
      </c>
    </row>
    <row r="89" spans="1:20" ht="15.75" customHeight="1" x14ac:dyDescent="0.3">
      <c r="A89" s="7" t="s">
        <v>336</v>
      </c>
      <c r="B89" s="8" t="s">
        <v>19</v>
      </c>
      <c r="C89" s="9" t="s">
        <v>130</v>
      </c>
      <c r="D89" s="5">
        <v>31.72</v>
      </c>
      <c r="E89" s="5">
        <v>42.1875</v>
      </c>
      <c r="F89" s="5">
        <v>47.375</v>
      </c>
      <c r="G89" s="5">
        <v>65.45</v>
      </c>
      <c r="H89" s="5">
        <v>93.375</v>
      </c>
      <c r="I89" s="5">
        <v>201.82500000000002</v>
      </c>
      <c r="J89" s="10" t="s">
        <v>21</v>
      </c>
      <c r="K89" s="10" t="s">
        <v>21</v>
      </c>
      <c r="L89" s="10" t="s">
        <v>21</v>
      </c>
      <c r="M89" s="10" t="s">
        <v>21</v>
      </c>
      <c r="N89" s="10" t="s">
        <v>21</v>
      </c>
      <c r="O89" s="11" t="s">
        <v>35</v>
      </c>
      <c r="P89" s="11" t="s">
        <v>36</v>
      </c>
      <c r="Q89" s="12">
        <v>80</v>
      </c>
      <c r="R89" s="11" t="s">
        <v>25</v>
      </c>
      <c r="S89" s="3" t="s">
        <v>343</v>
      </c>
      <c r="T89" s="3" t="s">
        <v>344</v>
      </c>
    </row>
    <row r="90" spans="1:20" ht="15.75" customHeight="1" x14ac:dyDescent="0.3">
      <c r="A90" s="7" t="s">
        <v>336</v>
      </c>
      <c r="B90" s="8" t="s">
        <v>19</v>
      </c>
      <c r="C90" s="9" t="s">
        <v>131</v>
      </c>
      <c r="D90" s="5">
        <v>27.47</v>
      </c>
      <c r="E90" s="5">
        <v>36.125</v>
      </c>
      <c r="F90" s="5">
        <v>40.012499999999996</v>
      </c>
      <c r="G90" s="5">
        <v>55.987499999999997</v>
      </c>
      <c r="H90" s="5">
        <v>76.5</v>
      </c>
      <c r="I90" s="5">
        <v>178.27500000000001</v>
      </c>
      <c r="J90" s="10" t="s">
        <v>21</v>
      </c>
      <c r="K90" s="10" t="s">
        <v>21</v>
      </c>
      <c r="L90" s="10" t="s">
        <v>21</v>
      </c>
      <c r="M90" s="10" t="s">
        <v>21</v>
      </c>
      <c r="N90" s="10" t="s">
        <v>21</v>
      </c>
      <c r="O90" s="11" t="s">
        <v>41</v>
      </c>
      <c r="P90" s="11" t="s">
        <v>23</v>
      </c>
      <c r="Q90" s="12">
        <v>80</v>
      </c>
      <c r="R90" s="11" t="s">
        <v>25</v>
      </c>
      <c r="S90" s="3" t="s">
        <v>343</v>
      </c>
      <c r="T90" s="3" t="s">
        <v>344</v>
      </c>
    </row>
    <row r="91" spans="1:20" ht="15.75" customHeight="1" x14ac:dyDescent="0.3">
      <c r="A91" s="7" t="s">
        <v>336</v>
      </c>
      <c r="B91" s="8" t="s">
        <v>19</v>
      </c>
      <c r="C91" s="9" t="s">
        <v>132</v>
      </c>
      <c r="D91" s="10" t="s">
        <v>21</v>
      </c>
      <c r="E91" s="10" t="s">
        <v>21</v>
      </c>
      <c r="F91" s="10" t="s">
        <v>21</v>
      </c>
      <c r="G91" s="10" t="s">
        <v>21</v>
      </c>
      <c r="H91" s="10" t="s">
        <v>21</v>
      </c>
      <c r="I91" s="10" t="s">
        <v>21</v>
      </c>
      <c r="J91" s="10" t="s">
        <v>21</v>
      </c>
      <c r="K91" s="10" t="s">
        <v>21</v>
      </c>
      <c r="L91" s="10" t="s">
        <v>21</v>
      </c>
      <c r="M91" s="10" t="s">
        <v>21</v>
      </c>
      <c r="N91" s="10" t="s">
        <v>21</v>
      </c>
      <c r="O91" s="11"/>
      <c r="P91" s="11"/>
      <c r="Q91" s="11"/>
      <c r="R91" s="11"/>
      <c r="S91" s="3" t="s">
        <v>343</v>
      </c>
      <c r="T91" s="3" t="s">
        <v>344</v>
      </c>
    </row>
    <row r="92" spans="1:20" ht="15.75" customHeight="1" x14ac:dyDescent="0.3">
      <c r="A92" s="7" t="s">
        <v>336</v>
      </c>
      <c r="B92" s="8" t="s">
        <v>19</v>
      </c>
      <c r="C92" s="9" t="s">
        <v>133</v>
      </c>
      <c r="D92" s="5">
        <v>31.72</v>
      </c>
      <c r="E92" s="5">
        <v>42.1875</v>
      </c>
      <c r="F92" s="5">
        <v>47.375</v>
      </c>
      <c r="G92" s="5">
        <v>65.45</v>
      </c>
      <c r="H92" s="5">
        <v>93.375</v>
      </c>
      <c r="I92" s="5">
        <v>201.82500000000002</v>
      </c>
      <c r="J92" s="10" t="s">
        <v>21</v>
      </c>
      <c r="K92" s="10" t="s">
        <v>21</v>
      </c>
      <c r="L92" s="10" t="s">
        <v>21</v>
      </c>
      <c r="M92" s="10" t="s">
        <v>21</v>
      </c>
      <c r="N92" s="10" t="s">
        <v>21</v>
      </c>
      <c r="O92" s="11" t="s">
        <v>35</v>
      </c>
      <c r="P92" s="11" t="s">
        <v>36</v>
      </c>
      <c r="Q92" s="12">
        <v>80</v>
      </c>
      <c r="R92" s="11" t="s">
        <v>25</v>
      </c>
      <c r="S92" s="3" t="s">
        <v>343</v>
      </c>
      <c r="T92" s="3" t="s">
        <v>344</v>
      </c>
    </row>
    <row r="93" spans="1:20" ht="15.75" customHeight="1" x14ac:dyDescent="0.3">
      <c r="A93" s="7" t="s">
        <v>336</v>
      </c>
      <c r="B93" s="8" t="s">
        <v>19</v>
      </c>
      <c r="C93" s="9" t="s">
        <v>134</v>
      </c>
      <c r="D93" s="10" t="s">
        <v>21</v>
      </c>
      <c r="E93" s="10" t="s">
        <v>21</v>
      </c>
      <c r="F93" s="10" t="s">
        <v>21</v>
      </c>
      <c r="G93" s="10" t="s">
        <v>21</v>
      </c>
      <c r="H93" s="10" t="s">
        <v>21</v>
      </c>
      <c r="I93" s="10" t="s">
        <v>21</v>
      </c>
      <c r="J93" s="10" t="s">
        <v>21</v>
      </c>
      <c r="K93" s="10" t="s">
        <v>21</v>
      </c>
      <c r="L93" s="10" t="s">
        <v>21</v>
      </c>
      <c r="M93" s="10" t="s">
        <v>21</v>
      </c>
      <c r="N93" s="10" t="s">
        <v>21</v>
      </c>
      <c r="O93" s="11"/>
      <c r="P93" s="11"/>
      <c r="Q93" s="11"/>
      <c r="R93" s="11"/>
      <c r="S93" s="3" t="s">
        <v>343</v>
      </c>
      <c r="T93" s="3" t="s">
        <v>344</v>
      </c>
    </row>
    <row r="94" spans="1:20" ht="15.75" customHeight="1" x14ac:dyDescent="0.3">
      <c r="A94" s="7" t="s">
        <v>336</v>
      </c>
      <c r="B94" s="8" t="s">
        <v>19</v>
      </c>
      <c r="C94" s="9" t="s">
        <v>135</v>
      </c>
      <c r="D94" s="5">
        <v>27.47</v>
      </c>
      <c r="E94" s="5">
        <v>36.125</v>
      </c>
      <c r="F94" s="5">
        <v>40.012499999999996</v>
      </c>
      <c r="G94" s="5">
        <v>55.987499999999997</v>
      </c>
      <c r="H94" s="5">
        <v>76.5</v>
      </c>
      <c r="I94" s="5">
        <v>178.27500000000001</v>
      </c>
      <c r="J94" s="10" t="s">
        <v>21</v>
      </c>
      <c r="K94" s="10" t="s">
        <v>21</v>
      </c>
      <c r="L94" s="10" t="s">
        <v>21</v>
      </c>
      <c r="M94" s="10" t="s">
        <v>21</v>
      </c>
      <c r="N94" s="10" t="s">
        <v>21</v>
      </c>
      <c r="O94" s="11" t="s">
        <v>41</v>
      </c>
      <c r="P94" s="11" t="s">
        <v>23</v>
      </c>
      <c r="Q94" s="12">
        <v>80</v>
      </c>
      <c r="R94" s="11" t="s">
        <v>25</v>
      </c>
      <c r="S94" s="3" t="s">
        <v>343</v>
      </c>
      <c r="T94" s="3" t="s">
        <v>344</v>
      </c>
    </row>
    <row r="95" spans="1:20" ht="15.75" customHeight="1" x14ac:dyDescent="0.3">
      <c r="A95" s="7" t="s">
        <v>336</v>
      </c>
      <c r="B95" s="8" t="s">
        <v>19</v>
      </c>
      <c r="C95" s="9" t="s">
        <v>136</v>
      </c>
      <c r="D95" s="5">
        <v>27.47</v>
      </c>
      <c r="E95" s="5">
        <v>36.125</v>
      </c>
      <c r="F95" s="5">
        <v>40.012499999999996</v>
      </c>
      <c r="G95" s="5">
        <v>55.987499999999997</v>
      </c>
      <c r="H95" s="5">
        <v>76.5</v>
      </c>
      <c r="I95" s="5">
        <v>178.27500000000001</v>
      </c>
      <c r="J95" s="10" t="s">
        <v>21</v>
      </c>
      <c r="K95" s="10" t="s">
        <v>21</v>
      </c>
      <c r="L95" s="10" t="s">
        <v>21</v>
      </c>
      <c r="M95" s="10" t="s">
        <v>21</v>
      </c>
      <c r="N95" s="10" t="s">
        <v>21</v>
      </c>
      <c r="O95" s="11" t="s">
        <v>41</v>
      </c>
      <c r="P95" s="11" t="s">
        <v>23</v>
      </c>
      <c r="Q95" s="12">
        <v>80</v>
      </c>
      <c r="R95" s="11" t="s">
        <v>25</v>
      </c>
      <c r="S95" s="3" t="s">
        <v>343</v>
      </c>
      <c r="T95" s="3" t="s">
        <v>344</v>
      </c>
    </row>
    <row r="96" spans="1:20" ht="15.75" customHeight="1" x14ac:dyDescent="0.3">
      <c r="A96" s="7" t="s">
        <v>336</v>
      </c>
      <c r="B96" s="8" t="s">
        <v>19</v>
      </c>
      <c r="C96" s="9" t="s">
        <v>137</v>
      </c>
      <c r="D96" s="5">
        <v>27.47</v>
      </c>
      <c r="E96" s="5">
        <v>36.125</v>
      </c>
      <c r="F96" s="5">
        <v>40.012499999999996</v>
      </c>
      <c r="G96" s="5">
        <v>55.987499999999997</v>
      </c>
      <c r="H96" s="5">
        <v>76.5</v>
      </c>
      <c r="I96" s="5">
        <v>178.27500000000001</v>
      </c>
      <c r="J96" s="10" t="s">
        <v>21</v>
      </c>
      <c r="K96" s="10" t="s">
        <v>21</v>
      </c>
      <c r="L96" s="10" t="s">
        <v>21</v>
      </c>
      <c r="M96" s="10" t="s">
        <v>21</v>
      </c>
      <c r="N96" s="10" t="s">
        <v>21</v>
      </c>
      <c r="O96" s="11" t="s">
        <v>41</v>
      </c>
      <c r="P96" s="11" t="s">
        <v>23</v>
      </c>
      <c r="Q96" s="12">
        <v>80</v>
      </c>
      <c r="R96" s="11" t="s">
        <v>25</v>
      </c>
      <c r="S96" s="3" t="s">
        <v>343</v>
      </c>
      <c r="T96" s="3" t="s">
        <v>344</v>
      </c>
    </row>
    <row r="97" spans="1:20" ht="15.75" customHeight="1" x14ac:dyDescent="0.3">
      <c r="A97" s="7" t="s">
        <v>336</v>
      </c>
      <c r="B97" s="8" t="s">
        <v>19</v>
      </c>
      <c r="C97" s="9" t="s">
        <v>138</v>
      </c>
      <c r="D97" s="5">
        <v>18.61</v>
      </c>
      <c r="E97" s="5">
        <v>60.425000000000004</v>
      </c>
      <c r="F97" s="5">
        <v>63.612499999999997</v>
      </c>
      <c r="G97" s="5">
        <v>76.55</v>
      </c>
      <c r="H97" s="5">
        <v>90.525000000000006</v>
      </c>
      <c r="I97" s="5">
        <v>155.6</v>
      </c>
      <c r="J97" s="10" t="s">
        <v>21</v>
      </c>
      <c r="K97" s="10" t="s">
        <v>21</v>
      </c>
      <c r="L97" s="10" t="s">
        <v>21</v>
      </c>
      <c r="M97" s="10" t="s">
        <v>21</v>
      </c>
      <c r="N97" s="10" t="s">
        <v>21</v>
      </c>
      <c r="O97" s="11" t="s">
        <v>30</v>
      </c>
      <c r="P97" s="11" t="s">
        <v>82</v>
      </c>
      <c r="Q97" s="12">
        <v>80</v>
      </c>
      <c r="R97" s="11" t="s">
        <v>25</v>
      </c>
      <c r="S97" s="3" t="s">
        <v>343</v>
      </c>
      <c r="T97" s="3" t="s">
        <v>344</v>
      </c>
    </row>
    <row r="98" spans="1:20" ht="15.75" customHeight="1" x14ac:dyDescent="0.3">
      <c r="A98" s="7" t="s">
        <v>336</v>
      </c>
      <c r="B98" s="8" t="s">
        <v>19</v>
      </c>
      <c r="C98" s="13" t="s">
        <v>139</v>
      </c>
      <c r="D98" s="14">
        <v>27</v>
      </c>
      <c r="E98" s="14">
        <v>33.75</v>
      </c>
      <c r="F98" s="14">
        <v>36.25</v>
      </c>
      <c r="G98" s="14">
        <v>38.75</v>
      </c>
      <c r="H98" s="14">
        <v>41.25</v>
      </c>
      <c r="I98" s="14">
        <v>55</v>
      </c>
      <c r="J98" s="14">
        <v>62.5</v>
      </c>
      <c r="K98" s="14">
        <v>71.25</v>
      </c>
      <c r="L98" s="14">
        <v>98.75</v>
      </c>
      <c r="M98" s="14">
        <v>106.25</v>
      </c>
      <c r="N98" s="14">
        <v>111.25</v>
      </c>
      <c r="O98" s="15" t="s">
        <v>29</v>
      </c>
      <c r="P98" s="15" t="s">
        <v>94</v>
      </c>
      <c r="Q98" s="16">
        <v>80</v>
      </c>
      <c r="R98" s="15" t="s">
        <v>25</v>
      </c>
      <c r="S98" s="3" t="s">
        <v>343</v>
      </c>
      <c r="T98" s="3" t="s">
        <v>344</v>
      </c>
    </row>
    <row r="99" spans="1:20" ht="15.75" customHeight="1" x14ac:dyDescent="0.3">
      <c r="A99" s="7" t="s">
        <v>336</v>
      </c>
      <c r="B99" s="8" t="s">
        <v>19</v>
      </c>
      <c r="C99" s="13" t="s">
        <v>140</v>
      </c>
      <c r="D99" s="14">
        <v>35.64</v>
      </c>
      <c r="E99" s="14">
        <v>60</v>
      </c>
      <c r="F99" s="14">
        <v>60</v>
      </c>
      <c r="G99" s="14">
        <v>64.125</v>
      </c>
      <c r="H99" s="14">
        <v>76.25</v>
      </c>
      <c r="I99" s="14">
        <v>83.75</v>
      </c>
      <c r="J99" s="14">
        <v>92.5</v>
      </c>
      <c r="K99" s="14">
        <v>101.25</v>
      </c>
      <c r="L99" s="14">
        <v>101.25</v>
      </c>
      <c r="M99" s="14">
        <v>117.5</v>
      </c>
      <c r="N99" s="14">
        <v>135</v>
      </c>
      <c r="O99" s="15" t="s">
        <v>61</v>
      </c>
      <c r="P99" s="15" t="s">
        <v>24</v>
      </c>
      <c r="Q99" s="16">
        <v>80</v>
      </c>
      <c r="R99" s="15" t="s">
        <v>25</v>
      </c>
      <c r="S99" s="3" t="s">
        <v>343</v>
      </c>
      <c r="T99" s="3" t="s">
        <v>344</v>
      </c>
    </row>
    <row r="100" spans="1:20" ht="15.75" customHeight="1" x14ac:dyDescent="0.3">
      <c r="A100" s="7" t="s">
        <v>336</v>
      </c>
      <c r="B100" s="8" t="s">
        <v>19</v>
      </c>
      <c r="C100" s="9" t="s">
        <v>141</v>
      </c>
      <c r="D100" s="5">
        <v>21.06</v>
      </c>
      <c r="E100" s="5">
        <v>28.075000000000003</v>
      </c>
      <c r="F100" s="5">
        <v>31.662499999999998</v>
      </c>
      <c r="G100" s="5">
        <v>45.05</v>
      </c>
      <c r="H100" s="5">
        <v>70.349999999999994</v>
      </c>
      <c r="I100" s="5">
        <v>133.22499999999999</v>
      </c>
      <c r="J100" s="10" t="s">
        <v>21</v>
      </c>
      <c r="K100" s="10" t="s">
        <v>21</v>
      </c>
      <c r="L100" s="10" t="s">
        <v>21</v>
      </c>
      <c r="M100" s="10" t="s">
        <v>21</v>
      </c>
      <c r="N100" s="10" t="s">
        <v>21</v>
      </c>
      <c r="O100" s="11" t="s">
        <v>61</v>
      </c>
      <c r="P100" s="11" t="s">
        <v>94</v>
      </c>
      <c r="Q100" s="12">
        <v>80</v>
      </c>
      <c r="R100" s="11" t="s">
        <v>25</v>
      </c>
      <c r="S100" s="3" t="s">
        <v>343</v>
      </c>
      <c r="T100" s="3" t="s">
        <v>344</v>
      </c>
    </row>
    <row r="101" spans="1:20" ht="15.75" customHeight="1" x14ac:dyDescent="0.3">
      <c r="A101" s="7" t="s">
        <v>336</v>
      </c>
      <c r="B101" s="8" t="s">
        <v>19</v>
      </c>
      <c r="C101" s="9" t="s">
        <v>142</v>
      </c>
      <c r="D101" s="5">
        <v>29</v>
      </c>
      <c r="E101" s="5">
        <v>33.050000000000004</v>
      </c>
      <c r="F101" s="5">
        <v>38.75</v>
      </c>
      <c r="G101" s="5">
        <v>54.875</v>
      </c>
      <c r="H101" s="5">
        <v>78.75</v>
      </c>
      <c r="I101" s="5">
        <v>138.75</v>
      </c>
      <c r="J101" s="10" t="s">
        <v>21</v>
      </c>
      <c r="K101" s="10" t="s">
        <v>21</v>
      </c>
      <c r="L101" s="10" t="s">
        <v>21</v>
      </c>
      <c r="M101" s="10" t="s">
        <v>21</v>
      </c>
      <c r="N101" s="10" t="s">
        <v>21</v>
      </c>
      <c r="O101" s="11" t="s">
        <v>41</v>
      </c>
      <c r="P101" s="11" t="s">
        <v>143</v>
      </c>
      <c r="Q101" s="12">
        <v>80</v>
      </c>
      <c r="R101" s="11" t="s">
        <v>25</v>
      </c>
      <c r="S101" s="3" t="s">
        <v>343</v>
      </c>
      <c r="T101" s="3" t="s">
        <v>344</v>
      </c>
    </row>
    <row r="102" spans="1:20" ht="15.75" customHeight="1" x14ac:dyDescent="0.3">
      <c r="A102" s="7" t="s">
        <v>336</v>
      </c>
      <c r="B102" s="8" t="s">
        <v>19</v>
      </c>
      <c r="C102" s="9" t="s">
        <v>144</v>
      </c>
      <c r="D102" s="10" t="s">
        <v>21</v>
      </c>
      <c r="E102" s="10" t="s">
        <v>21</v>
      </c>
      <c r="F102" s="10" t="s">
        <v>21</v>
      </c>
      <c r="G102" s="10" t="s">
        <v>21</v>
      </c>
      <c r="H102" s="10" t="s">
        <v>21</v>
      </c>
      <c r="I102" s="10" t="s">
        <v>21</v>
      </c>
      <c r="J102" s="10" t="s">
        <v>21</v>
      </c>
      <c r="K102" s="10" t="s">
        <v>21</v>
      </c>
      <c r="L102" s="10" t="s">
        <v>21</v>
      </c>
      <c r="M102" s="10" t="s">
        <v>21</v>
      </c>
      <c r="N102" s="10" t="s">
        <v>21</v>
      </c>
      <c r="O102" s="11"/>
      <c r="P102" s="11"/>
      <c r="Q102" s="11"/>
      <c r="R102" s="11"/>
      <c r="S102" s="3" t="s">
        <v>343</v>
      </c>
      <c r="T102" s="3" t="s">
        <v>344</v>
      </c>
    </row>
    <row r="103" spans="1:20" ht="15.75" customHeight="1" x14ac:dyDescent="0.3">
      <c r="A103" s="7" t="s">
        <v>337</v>
      </c>
      <c r="B103" s="8" t="s">
        <v>19</v>
      </c>
      <c r="C103" s="18" t="s">
        <v>19</v>
      </c>
      <c r="D103" s="19">
        <v>23</v>
      </c>
      <c r="E103" s="19">
        <v>20</v>
      </c>
      <c r="F103" s="19">
        <v>20</v>
      </c>
      <c r="G103" s="19">
        <v>20</v>
      </c>
      <c r="H103" s="19">
        <v>20</v>
      </c>
      <c r="I103" s="19">
        <v>20</v>
      </c>
      <c r="J103" s="20" t="s">
        <v>21</v>
      </c>
      <c r="K103" s="20" t="s">
        <v>21</v>
      </c>
      <c r="L103" s="20" t="s">
        <v>21</v>
      </c>
      <c r="M103" s="20" t="s">
        <v>21</v>
      </c>
      <c r="N103" s="20" t="s">
        <v>21</v>
      </c>
      <c r="O103" s="21" t="s">
        <v>145</v>
      </c>
      <c r="P103" s="21" t="s">
        <v>145</v>
      </c>
      <c r="Q103" s="22">
        <v>80</v>
      </c>
      <c r="R103" s="21" t="s">
        <v>25</v>
      </c>
      <c r="S103" s="3" t="s">
        <v>343</v>
      </c>
      <c r="T103" s="3" t="s">
        <v>344</v>
      </c>
    </row>
    <row r="104" spans="1:20" ht="15.75" customHeight="1" x14ac:dyDescent="0.3">
      <c r="A104" s="7" t="s">
        <v>336</v>
      </c>
      <c r="B104" s="8" t="s">
        <v>19</v>
      </c>
      <c r="C104" s="9" t="s">
        <v>146</v>
      </c>
      <c r="D104" s="5">
        <v>31.72</v>
      </c>
      <c r="E104" s="5">
        <v>42.1875</v>
      </c>
      <c r="F104" s="5">
        <v>47.375</v>
      </c>
      <c r="G104" s="5">
        <v>65.45</v>
      </c>
      <c r="H104" s="5">
        <v>93.375</v>
      </c>
      <c r="I104" s="5">
        <v>201.82500000000002</v>
      </c>
      <c r="J104" s="10" t="s">
        <v>21</v>
      </c>
      <c r="K104" s="10" t="s">
        <v>21</v>
      </c>
      <c r="L104" s="10" t="s">
        <v>21</v>
      </c>
      <c r="M104" s="10" t="s">
        <v>21</v>
      </c>
      <c r="N104" s="10" t="s">
        <v>21</v>
      </c>
      <c r="O104" s="11" t="s">
        <v>35</v>
      </c>
      <c r="P104" s="11" t="s">
        <v>36</v>
      </c>
      <c r="Q104" s="12">
        <v>80</v>
      </c>
      <c r="R104" s="11" t="s">
        <v>25</v>
      </c>
      <c r="S104" s="3" t="s">
        <v>343</v>
      </c>
      <c r="T104" s="3" t="s">
        <v>344</v>
      </c>
    </row>
    <row r="105" spans="1:20" ht="15.75" customHeight="1" x14ac:dyDescent="0.3">
      <c r="A105" s="7" t="s">
        <v>336</v>
      </c>
      <c r="B105" s="8" t="s">
        <v>19</v>
      </c>
      <c r="C105" s="9" t="s">
        <v>147</v>
      </c>
      <c r="D105" s="10" t="s">
        <v>21</v>
      </c>
      <c r="E105" s="10" t="s">
        <v>21</v>
      </c>
      <c r="F105" s="10" t="s">
        <v>21</v>
      </c>
      <c r="G105" s="10" t="s">
        <v>21</v>
      </c>
      <c r="H105" s="10" t="s">
        <v>21</v>
      </c>
      <c r="I105" s="10" t="s">
        <v>21</v>
      </c>
      <c r="J105" s="10" t="s">
        <v>21</v>
      </c>
      <c r="K105" s="10" t="s">
        <v>21</v>
      </c>
      <c r="L105" s="10" t="s">
        <v>21</v>
      </c>
      <c r="M105" s="10" t="s">
        <v>21</v>
      </c>
      <c r="N105" s="10" t="s">
        <v>21</v>
      </c>
      <c r="O105" s="11"/>
      <c r="P105" s="11"/>
      <c r="Q105" s="11"/>
      <c r="R105" s="11" t="s">
        <v>25</v>
      </c>
      <c r="S105" s="3" t="s">
        <v>343</v>
      </c>
      <c r="T105" s="3" t="s">
        <v>344</v>
      </c>
    </row>
    <row r="106" spans="1:20" ht="15.75" customHeight="1" x14ac:dyDescent="0.3">
      <c r="A106" s="7" t="s">
        <v>336</v>
      </c>
      <c r="B106" s="8" t="s">
        <v>19</v>
      </c>
      <c r="C106" s="9" t="s">
        <v>148</v>
      </c>
      <c r="D106" s="5">
        <v>21.06</v>
      </c>
      <c r="E106" s="5">
        <v>28.075000000000003</v>
      </c>
      <c r="F106" s="5">
        <v>31.662499999999998</v>
      </c>
      <c r="G106" s="5">
        <v>45.05</v>
      </c>
      <c r="H106" s="5">
        <v>70.349999999999994</v>
      </c>
      <c r="I106" s="5">
        <v>133.22499999999999</v>
      </c>
      <c r="J106" s="10" t="s">
        <v>21</v>
      </c>
      <c r="K106" s="10" t="s">
        <v>21</v>
      </c>
      <c r="L106" s="10" t="s">
        <v>21</v>
      </c>
      <c r="M106" s="10" t="s">
        <v>21</v>
      </c>
      <c r="N106" s="10" t="s">
        <v>21</v>
      </c>
      <c r="O106" s="11" t="s">
        <v>29</v>
      </c>
      <c r="P106" s="11" t="s">
        <v>30</v>
      </c>
      <c r="Q106" s="12">
        <v>80</v>
      </c>
      <c r="R106" s="11" t="s">
        <v>25</v>
      </c>
      <c r="S106" s="3" t="s">
        <v>343</v>
      </c>
      <c r="T106" s="3" t="s">
        <v>344</v>
      </c>
    </row>
    <row r="107" spans="1:20" ht="15.75" customHeight="1" x14ac:dyDescent="0.3">
      <c r="A107" s="7" t="s">
        <v>336</v>
      </c>
      <c r="B107" s="8" t="s">
        <v>19</v>
      </c>
      <c r="C107" s="13" t="s">
        <v>149</v>
      </c>
      <c r="D107" s="14">
        <v>22.28</v>
      </c>
      <c r="E107" s="14">
        <v>24.512499999999999</v>
      </c>
      <c r="F107" s="14">
        <v>25</v>
      </c>
      <c r="G107" s="14">
        <v>27.5</v>
      </c>
      <c r="H107" s="14">
        <v>33.75</v>
      </c>
      <c r="I107" s="14">
        <v>40.4</v>
      </c>
      <c r="J107" s="14">
        <v>46.612499999999997</v>
      </c>
      <c r="K107" s="14">
        <v>52.824999999999996</v>
      </c>
      <c r="L107" s="14">
        <v>58.75</v>
      </c>
      <c r="M107" s="14">
        <v>71.612499999999997</v>
      </c>
      <c r="N107" s="14">
        <v>86.25</v>
      </c>
      <c r="O107" s="15" t="s">
        <v>29</v>
      </c>
      <c r="P107" s="15" t="s">
        <v>38</v>
      </c>
      <c r="Q107" s="16">
        <v>80</v>
      </c>
      <c r="R107" s="15" t="s">
        <v>25</v>
      </c>
      <c r="S107" s="3" t="s">
        <v>343</v>
      </c>
      <c r="T107" s="3" t="s">
        <v>344</v>
      </c>
    </row>
    <row r="108" spans="1:20" ht="15.75" customHeight="1" x14ac:dyDescent="0.3">
      <c r="A108" s="7" t="s">
        <v>336</v>
      </c>
      <c r="B108" s="8" t="s">
        <v>19</v>
      </c>
      <c r="C108" s="13" t="s">
        <v>150</v>
      </c>
      <c r="D108" s="14">
        <v>39.5</v>
      </c>
      <c r="E108" s="14">
        <v>63.912500000000001</v>
      </c>
      <c r="F108" s="14">
        <v>65</v>
      </c>
      <c r="G108" s="14">
        <v>71.25</v>
      </c>
      <c r="H108" s="14">
        <v>77.5</v>
      </c>
      <c r="I108" s="14">
        <v>81.25</v>
      </c>
      <c r="J108" s="14">
        <v>88.75</v>
      </c>
      <c r="K108" s="14">
        <v>103.75</v>
      </c>
      <c r="L108" s="14">
        <v>102.5</v>
      </c>
      <c r="M108" s="14">
        <v>113.75</v>
      </c>
      <c r="N108" s="14">
        <v>130</v>
      </c>
      <c r="O108" s="15" t="s">
        <v>23</v>
      </c>
      <c r="P108" s="15" t="s">
        <v>39</v>
      </c>
      <c r="Q108" s="16">
        <v>80</v>
      </c>
      <c r="R108" s="15" t="s">
        <v>25</v>
      </c>
      <c r="S108" s="3" t="s">
        <v>343</v>
      </c>
      <c r="T108" s="3" t="s">
        <v>344</v>
      </c>
    </row>
    <row r="109" spans="1:20" ht="15.75" customHeight="1" x14ac:dyDescent="0.3">
      <c r="A109" s="7" t="s">
        <v>336</v>
      </c>
      <c r="B109" s="8" t="s">
        <v>19</v>
      </c>
      <c r="C109" s="9" t="s">
        <v>151</v>
      </c>
      <c r="D109" s="5">
        <v>31.72</v>
      </c>
      <c r="E109" s="5">
        <v>42.1875</v>
      </c>
      <c r="F109" s="5">
        <v>47.375</v>
      </c>
      <c r="G109" s="5">
        <v>65.45</v>
      </c>
      <c r="H109" s="5">
        <v>93.375</v>
      </c>
      <c r="I109" s="5">
        <v>201.82500000000002</v>
      </c>
      <c r="J109" s="10" t="s">
        <v>21</v>
      </c>
      <c r="K109" s="10" t="s">
        <v>21</v>
      </c>
      <c r="L109" s="10" t="s">
        <v>21</v>
      </c>
      <c r="M109" s="10" t="s">
        <v>21</v>
      </c>
      <c r="N109" s="10" t="s">
        <v>21</v>
      </c>
      <c r="O109" s="11" t="s">
        <v>35</v>
      </c>
      <c r="P109" s="11" t="s">
        <v>36</v>
      </c>
      <c r="Q109" s="12">
        <v>80</v>
      </c>
      <c r="R109" s="11" t="s">
        <v>25</v>
      </c>
      <c r="S109" s="3" t="s">
        <v>343</v>
      </c>
      <c r="T109" s="3" t="s">
        <v>344</v>
      </c>
    </row>
    <row r="110" spans="1:20" ht="15.75" customHeight="1" x14ac:dyDescent="0.3">
      <c r="A110" s="7" t="s">
        <v>336</v>
      </c>
      <c r="B110" s="8" t="s">
        <v>19</v>
      </c>
      <c r="C110" s="9" t="s">
        <v>152</v>
      </c>
      <c r="D110" s="5">
        <v>27.47</v>
      </c>
      <c r="E110" s="5">
        <v>36.125</v>
      </c>
      <c r="F110" s="5">
        <v>40.012499999999996</v>
      </c>
      <c r="G110" s="5">
        <v>55.987499999999997</v>
      </c>
      <c r="H110" s="5">
        <v>76.5</v>
      </c>
      <c r="I110" s="5">
        <v>178.27500000000001</v>
      </c>
      <c r="J110" s="10" t="s">
        <v>21</v>
      </c>
      <c r="K110" s="10" t="s">
        <v>21</v>
      </c>
      <c r="L110" s="10" t="s">
        <v>21</v>
      </c>
      <c r="M110" s="10" t="s">
        <v>21</v>
      </c>
      <c r="N110" s="10" t="s">
        <v>21</v>
      </c>
      <c r="O110" s="11" t="s">
        <v>41</v>
      </c>
      <c r="P110" s="11" t="s">
        <v>23</v>
      </c>
      <c r="Q110" s="12">
        <v>80</v>
      </c>
      <c r="R110" s="11" t="s">
        <v>25</v>
      </c>
      <c r="S110" s="3" t="s">
        <v>343</v>
      </c>
      <c r="T110" s="3" t="s">
        <v>344</v>
      </c>
    </row>
    <row r="111" spans="1:20" ht="15.75" customHeight="1" x14ac:dyDescent="0.3">
      <c r="A111" s="7" t="s">
        <v>336</v>
      </c>
      <c r="B111" s="8" t="s">
        <v>19</v>
      </c>
      <c r="C111" s="9" t="s">
        <v>153</v>
      </c>
      <c r="D111" s="5">
        <v>24.68</v>
      </c>
      <c r="E111" s="5">
        <v>68.75</v>
      </c>
      <c r="F111" s="5">
        <v>73.75</v>
      </c>
      <c r="G111" s="5">
        <v>90.625</v>
      </c>
      <c r="H111" s="5">
        <v>113.75</v>
      </c>
      <c r="I111" s="5">
        <v>173.75</v>
      </c>
      <c r="J111" s="10" t="s">
        <v>21</v>
      </c>
      <c r="K111" s="10" t="s">
        <v>21</v>
      </c>
      <c r="L111" s="10" t="s">
        <v>21</v>
      </c>
      <c r="M111" s="10" t="s">
        <v>21</v>
      </c>
      <c r="N111" s="10" t="s">
        <v>21</v>
      </c>
      <c r="O111" s="11" t="s">
        <v>24</v>
      </c>
      <c r="P111" s="11" t="s">
        <v>69</v>
      </c>
      <c r="Q111" s="12">
        <v>80</v>
      </c>
      <c r="R111" s="11" t="s">
        <v>25</v>
      </c>
      <c r="S111" s="3" t="s">
        <v>343</v>
      </c>
      <c r="T111" s="3" t="s">
        <v>344</v>
      </c>
    </row>
    <row r="112" spans="1:20" ht="15.75" customHeight="1" x14ac:dyDescent="0.3">
      <c r="A112" s="7" t="s">
        <v>336</v>
      </c>
      <c r="B112" s="8" t="s">
        <v>19</v>
      </c>
      <c r="C112" s="9" t="s">
        <v>154</v>
      </c>
      <c r="D112" s="5">
        <v>21.06</v>
      </c>
      <c r="E112" s="5">
        <v>28.075000000000003</v>
      </c>
      <c r="F112" s="5">
        <v>31.662499999999998</v>
      </c>
      <c r="G112" s="5">
        <v>45.05</v>
      </c>
      <c r="H112" s="5">
        <v>70.349999999999994</v>
      </c>
      <c r="I112" s="5">
        <v>133.22499999999999</v>
      </c>
      <c r="J112" s="10" t="s">
        <v>21</v>
      </c>
      <c r="K112" s="10" t="s">
        <v>21</v>
      </c>
      <c r="L112" s="10" t="s">
        <v>21</v>
      </c>
      <c r="M112" s="10" t="s">
        <v>21</v>
      </c>
      <c r="N112" s="10" t="s">
        <v>21</v>
      </c>
      <c r="O112" s="11" t="s">
        <v>29</v>
      </c>
      <c r="P112" s="11" t="s">
        <v>33</v>
      </c>
      <c r="Q112" s="12">
        <v>80</v>
      </c>
      <c r="R112" s="11" t="s">
        <v>25</v>
      </c>
      <c r="S112" s="3" t="s">
        <v>343</v>
      </c>
      <c r="T112" s="3" t="s">
        <v>344</v>
      </c>
    </row>
    <row r="113" spans="1:20" ht="15.75" customHeight="1" x14ac:dyDescent="0.3">
      <c r="A113" s="7" t="s">
        <v>336</v>
      </c>
      <c r="B113" s="8" t="s">
        <v>19</v>
      </c>
      <c r="C113" s="9" t="s">
        <v>155</v>
      </c>
      <c r="D113" s="5">
        <v>21.06</v>
      </c>
      <c r="E113" s="5">
        <v>28.075000000000003</v>
      </c>
      <c r="F113" s="5">
        <v>31.662499999999998</v>
      </c>
      <c r="G113" s="5">
        <v>45.05</v>
      </c>
      <c r="H113" s="5">
        <v>70.349999999999994</v>
      </c>
      <c r="I113" s="5">
        <v>133.22499999999999</v>
      </c>
      <c r="J113" s="10" t="s">
        <v>21</v>
      </c>
      <c r="K113" s="10" t="s">
        <v>21</v>
      </c>
      <c r="L113" s="10" t="s">
        <v>21</v>
      </c>
      <c r="M113" s="10" t="s">
        <v>21</v>
      </c>
      <c r="N113" s="10" t="s">
        <v>21</v>
      </c>
      <c r="O113" s="11" t="s">
        <v>29</v>
      </c>
      <c r="P113" s="11" t="s">
        <v>30</v>
      </c>
      <c r="Q113" s="12">
        <v>80</v>
      </c>
      <c r="R113" s="11" t="s">
        <v>25</v>
      </c>
      <c r="S113" s="3" t="s">
        <v>343</v>
      </c>
      <c r="T113" s="3" t="s">
        <v>344</v>
      </c>
    </row>
    <row r="114" spans="1:20" ht="15.75" customHeight="1" x14ac:dyDescent="0.3">
      <c r="A114" s="7" t="s">
        <v>336</v>
      </c>
      <c r="B114" s="8" t="s">
        <v>19</v>
      </c>
      <c r="C114" s="9" t="s">
        <v>156</v>
      </c>
      <c r="D114" s="5">
        <v>31.72</v>
      </c>
      <c r="E114" s="5">
        <v>42.1875</v>
      </c>
      <c r="F114" s="5">
        <v>47.375</v>
      </c>
      <c r="G114" s="5">
        <v>65.45</v>
      </c>
      <c r="H114" s="5">
        <v>93.375</v>
      </c>
      <c r="I114" s="5">
        <v>201.82500000000002</v>
      </c>
      <c r="J114" s="10" t="s">
        <v>21</v>
      </c>
      <c r="K114" s="10" t="s">
        <v>21</v>
      </c>
      <c r="L114" s="10" t="s">
        <v>21</v>
      </c>
      <c r="M114" s="10" t="s">
        <v>21</v>
      </c>
      <c r="N114" s="10" t="s">
        <v>21</v>
      </c>
      <c r="O114" s="11" t="s">
        <v>35</v>
      </c>
      <c r="P114" s="11" t="s">
        <v>36</v>
      </c>
      <c r="Q114" s="12">
        <v>80</v>
      </c>
      <c r="R114" s="11" t="s">
        <v>25</v>
      </c>
      <c r="S114" s="3" t="s">
        <v>343</v>
      </c>
      <c r="T114" s="3" t="s">
        <v>344</v>
      </c>
    </row>
    <row r="115" spans="1:20" ht="15.75" customHeight="1" x14ac:dyDescent="0.3">
      <c r="A115" s="7" t="s">
        <v>336</v>
      </c>
      <c r="B115" s="8" t="s">
        <v>19</v>
      </c>
      <c r="C115" s="9" t="s">
        <v>157</v>
      </c>
      <c r="D115" s="5">
        <v>31.72</v>
      </c>
      <c r="E115" s="5">
        <v>42.1875</v>
      </c>
      <c r="F115" s="5">
        <v>47.375</v>
      </c>
      <c r="G115" s="5">
        <v>65.45</v>
      </c>
      <c r="H115" s="5">
        <v>93.375</v>
      </c>
      <c r="I115" s="5">
        <v>201.82500000000002</v>
      </c>
      <c r="J115" s="10" t="s">
        <v>21</v>
      </c>
      <c r="K115" s="10" t="s">
        <v>21</v>
      </c>
      <c r="L115" s="10" t="s">
        <v>21</v>
      </c>
      <c r="M115" s="10" t="s">
        <v>21</v>
      </c>
      <c r="N115" s="10" t="s">
        <v>21</v>
      </c>
      <c r="O115" s="11" t="s">
        <v>35</v>
      </c>
      <c r="P115" s="11" t="s">
        <v>36</v>
      </c>
      <c r="Q115" s="12">
        <v>80</v>
      </c>
      <c r="R115" s="11" t="s">
        <v>25</v>
      </c>
      <c r="S115" s="3" t="s">
        <v>343</v>
      </c>
      <c r="T115" s="3" t="s">
        <v>344</v>
      </c>
    </row>
    <row r="116" spans="1:20" ht="15.75" customHeight="1" x14ac:dyDescent="0.3">
      <c r="A116" s="7" t="s">
        <v>336</v>
      </c>
      <c r="B116" s="8" t="s">
        <v>19</v>
      </c>
      <c r="C116" s="9" t="s">
        <v>158</v>
      </c>
      <c r="D116" s="10" t="s">
        <v>21</v>
      </c>
      <c r="E116" s="10" t="s">
        <v>21</v>
      </c>
      <c r="F116" s="10" t="s">
        <v>21</v>
      </c>
      <c r="G116" s="10" t="s">
        <v>21</v>
      </c>
      <c r="H116" s="10" t="s">
        <v>21</v>
      </c>
      <c r="I116" s="10" t="s">
        <v>21</v>
      </c>
      <c r="J116" s="10" t="s">
        <v>21</v>
      </c>
      <c r="K116" s="10" t="s">
        <v>21</v>
      </c>
      <c r="L116" s="10" t="s">
        <v>21</v>
      </c>
      <c r="M116" s="10" t="s">
        <v>21</v>
      </c>
      <c r="N116" s="10" t="s">
        <v>21</v>
      </c>
      <c r="O116" s="11"/>
      <c r="P116" s="11"/>
      <c r="Q116" s="11"/>
      <c r="R116" s="11"/>
      <c r="S116" s="3" t="s">
        <v>343</v>
      </c>
      <c r="T116" s="3" t="s">
        <v>344</v>
      </c>
    </row>
    <row r="117" spans="1:20" ht="15.75" customHeight="1" x14ac:dyDescent="0.3">
      <c r="A117" s="7" t="s">
        <v>336</v>
      </c>
      <c r="B117" s="8" t="s">
        <v>19</v>
      </c>
      <c r="C117" s="9" t="s">
        <v>159</v>
      </c>
      <c r="D117" s="10" t="s">
        <v>21</v>
      </c>
      <c r="E117" s="10" t="s">
        <v>21</v>
      </c>
      <c r="F117" s="10" t="s">
        <v>21</v>
      </c>
      <c r="G117" s="10" t="s">
        <v>21</v>
      </c>
      <c r="H117" s="10" t="s">
        <v>21</v>
      </c>
      <c r="I117" s="10" t="s">
        <v>21</v>
      </c>
      <c r="J117" s="10" t="s">
        <v>21</v>
      </c>
      <c r="K117" s="10" t="s">
        <v>21</v>
      </c>
      <c r="L117" s="10" t="s">
        <v>21</v>
      </c>
      <c r="M117" s="10" t="s">
        <v>21</v>
      </c>
      <c r="N117" s="10" t="s">
        <v>21</v>
      </c>
      <c r="O117" s="11"/>
      <c r="P117" s="11"/>
      <c r="Q117" s="11"/>
      <c r="R117" s="11"/>
      <c r="S117" s="3" t="s">
        <v>343</v>
      </c>
      <c r="T117" s="3" t="s">
        <v>344</v>
      </c>
    </row>
    <row r="118" spans="1:20" ht="15.75" customHeight="1" x14ac:dyDescent="0.3">
      <c r="A118" s="7" t="s">
        <v>336</v>
      </c>
      <c r="B118" s="8" t="s">
        <v>19</v>
      </c>
      <c r="C118" s="9" t="s">
        <v>160</v>
      </c>
      <c r="D118" s="5">
        <v>21.06</v>
      </c>
      <c r="E118" s="5">
        <v>28.075000000000003</v>
      </c>
      <c r="F118" s="5">
        <v>31.662499999999998</v>
      </c>
      <c r="G118" s="5">
        <v>45.05</v>
      </c>
      <c r="H118" s="5">
        <v>70.349999999999994</v>
      </c>
      <c r="I118" s="5">
        <v>133.22499999999999</v>
      </c>
      <c r="J118" s="10" t="s">
        <v>21</v>
      </c>
      <c r="K118" s="10" t="s">
        <v>21</v>
      </c>
      <c r="L118" s="10" t="s">
        <v>21</v>
      </c>
      <c r="M118" s="10" t="s">
        <v>21</v>
      </c>
      <c r="N118" s="10" t="s">
        <v>21</v>
      </c>
      <c r="O118" s="11" t="s">
        <v>29</v>
      </c>
      <c r="P118" s="11" t="s">
        <v>30</v>
      </c>
      <c r="Q118" s="12">
        <v>80</v>
      </c>
      <c r="R118" s="11" t="s">
        <v>25</v>
      </c>
      <c r="S118" s="3" t="s">
        <v>343</v>
      </c>
      <c r="T118" s="3" t="s">
        <v>344</v>
      </c>
    </row>
    <row r="119" spans="1:20" ht="15.75" customHeight="1" x14ac:dyDescent="0.3">
      <c r="A119" s="7" t="s">
        <v>336</v>
      </c>
      <c r="B119" s="8" t="s">
        <v>19</v>
      </c>
      <c r="C119" s="9" t="s">
        <v>161</v>
      </c>
      <c r="D119" s="5">
        <v>31.72</v>
      </c>
      <c r="E119" s="5">
        <v>42.1875</v>
      </c>
      <c r="F119" s="5">
        <v>47.375</v>
      </c>
      <c r="G119" s="5">
        <v>65.45</v>
      </c>
      <c r="H119" s="5">
        <v>93.375</v>
      </c>
      <c r="I119" s="5">
        <v>201.82500000000002</v>
      </c>
      <c r="J119" s="10" t="s">
        <v>21</v>
      </c>
      <c r="K119" s="10" t="s">
        <v>21</v>
      </c>
      <c r="L119" s="10" t="s">
        <v>21</v>
      </c>
      <c r="M119" s="10" t="s">
        <v>21</v>
      </c>
      <c r="N119" s="10" t="s">
        <v>21</v>
      </c>
      <c r="O119" s="11" t="s">
        <v>35</v>
      </c>
      <c r="P119" s="11" t="s">
        <v>36</v>
      </c>
      <c r="Q119" s="12">
        <v>80</v>
      </c>
      <c r="R119" s="11" t="s">
        <v>25</v>
      </c>
      <c r="S119" s="3" t="s">
        <v>343</v>
      </c>
      <c r="T119" s="3" t="s">
        <v>344</v>
      </c>
    </row>
    <row r="120" spans="1:20" ht="15.75" customHeight="1" x14ac:dyDescent="0.3">
      <c r="A120" s="7" t="s">
        <v>336</v>
      </c>
      <c r="B120" s="8" t="s">
        <v>19</v>
      </c>
      <c r="C120" s="9" t="s">
        <v>162</v>
      </c>
      <c r="D120" s="5">
        <v>29</v>
      </c>
      <c r="E120" s="5">
        <v>33.050000000000004</v>
      </c>
      <c r="F120" s="5">
        <v>38.75</v>
      </c>
      <c r="G120" s="5">
        <v>54.875</v>
      </c>
      <c r="H120" s="5">
        <v>78.75</v>
      </c>
      <c r="I120" s="5">
        <v>138.75</v>
      </c>
      <c r="J120" s="10" t="s">
        <v>21</v>
      </c>
      <c r="K120" s="10" t="s">
        <v>21</v>
      </c>
      <c r="L120" s="10" t="s">
        <v>21</v>
      </c>
      <c r="M120" s="10" t="s">
        <v>21</v>
      </c>
      <c r="N120" s="10" t="s">
        <v>21</v>
      </c>
      <c r="O120" s="11" t="s">
        <v>41</v>
      </c>
      <c r="P120" s="11" t="s">
        <v>143</v>
      </c>
      <c r="Q120" s="12">
        <v>80</v>
      </c>
      <c r="R120" s="11" t="s">
        <v>25</v>
      </c>
      <c r="S120" s="3" t="s">
        <v>343</v>
      </c>
      <c r="T120" s="3" t="s">
        <v>344</v>
      </c>
    </row>
    <row r="121" spans="1:20" ht="15.75" customHeight="1" x14ac:dyDescent="0.3">
      <c r="A121" s="7" t="s">
        <v>336</v>
      </c>
      <c r="B121" s="8" t="s">
        <v>19</v>
      </c>
      <c r="C121" s="13" t="s">
        <v>163</v>
      </c>
      <c r="D121" s="14">
        <v>28</v>
      </c>
      <c r="E121" s="14">
        <v>33.75</v>
      </c>
      <c r="F121" s="14">
        <v>36.25</v>
      </c>
      <c r="G121" s="14">
        <v>38.75</v>
      </c>
      <c r="H121" s="14">
        <v>41.25</v>
      </c>
      <c r="I121" s="14">
        <v>55</v>
      </c>
      <c r="J121" s="14">
        <v>62.5</v>
      </c>
      <c r="K121" s="14">
        <v>71.25</v>
      </c>
      <c r="L121" s="14">
        <v>98.75</v>
      </c>
      <c r="M121" s="14">
        <v>107.5</v>
      </c>
      <c r="N121" s="14">
        <v>111.25</v>
      </c>
      <c r="O121" s="15" t="s">
        <v>61</v>
      </c>
      <c r="P121" s="15" t="s">
        <v>23</v>
      </c>
      <c r="Q121" s="16">
        <v>80</v>
      </c>
      <c r="R121" s="15" t="s">
        <v>25</v>
      </c>
      <c r="S121" s="3" t="s">
        <v>343</v>
      </c>
      <c r="T121" s="3" t="s">
        <v>344</v>
      </c>
    </row>
    <row r="122" spans="1:20" ht="15.75" customHeight="1" x14ac:dyDescent="0.3">
      <c r="A122" s="7" t="s">
        <v>336</v>
      </c>
      <c r="B122" s="8" t="s">
        <v>19</v>
      </c>
      <c r="C122" s="9" t="s">
        <v>164</v>
      </c>
      <c r="D122" s="5">
        <v>21.06</v>
      </c>
      <c r="E122" s="5">
        <v>28.075000000000003</v>
      </c>
      <c r="F122" s="5">
        <v>31.662499999999998</v>
      </c>
      <c r="G122" s="5">
        <v>45.05</v>
      </c>
      <c r="H122" s="5">
        <v>70.349999999999994</v>
      </c>
      <c r="I122" s="5">
        <v>133.22499999999999</v>
      </c>
      <c r="J122" s="10" t="s">
        <v>21</v>
      </c>
      <c r="K122" s="10" t="s">
        <v>21</v>
      </c>
      <c r="L122" s="10" t="s">
        <v>21</v>
      </c>
      <c r="M122" s="10" t="s">
        <v>21</v>
      </c>
      <c r="N122" s="10" t="s">
        <v>21</v>
      </c>
      <c r="O122" s="11" t="s">
        <v>29</v>
      </c>
      <c r="P122" s="11" t="s">
        <v>30</v>
      </c>
      <c r="Q122" s="12">
        <v>80</v>
      </c>
      <c r="R122" s="11" t="s">
        <v>25</v>
      </c>
      <c r="S122" s="3" t="s">
        <v>343</v>
      </c>
      <c r="T122" s="3" t="s">
        <v>344</v>
      </c>
    </row>
    <row r="123" spans="1:20" ht="15.75" customHeight="1" x14ac:dyDescent="0.3">
      <c r="A123" s="7" t="s">
        <v>336</v>
      </c>
      <c r="B123" s="8" t="s">
        <v>19</v>
      </c>
      <c r="C123" s="9" t="s">
        <v>165</v>
      </c>
      <c r="D123" s="5">
        <v>31.72</v>
      </c>
      <c r="E123" s="5">
        <v>42.1875</v>
      </c>
      <c r="F123" s="5">
        <v>47.375</v>
      </c>
      <c r="G123" s="5">
        <v>65.45</v>
      </c>
      <c r="H123" s="5">
        <v>93.375</v>
      </c>
      <c r="I123" s="5">
        <v>201.82500000000002</v>
      </c>
      <c r="J123" s="10" t="s">
        <v>21</v>
      </c>
      <c r="K123" s="10" t="s">
        <v>21</v>
      </c>
      <c r="L123" s="10" t="s">
        <v>21</v>
      </c>
      <c r="M123" s="10" t="s">
        <v>21</v>
      </c>
      <c r="N123" s="10" t="s">
        <v>21</v>
      </c>
      <c r="O123" s="11" t="s">
        <v>35</v>
      </c>
      <c r="P123" s="11" t="s">
        <v>36</v>
      </c>
      <c r="Q123" s="12">
        <v>80</v>
      </c>
      <c r="R123" s="11" t="s">
        <v>25</v>
      </c>
      <c r="S123" s="3" t="s">
        <v>343</v>
      </c>
      <c r="T123" s="3" t="s">
        <v>344</v>
      </c>
    </row>
    <row r="124" spans="1:20" ht="15.75" customHeight="1" x14ac:dyDescent="0.3">
      <c r="A124" s="7" t="s">
        <v>336</v>
      </c>
      <c r="B124" s="8" t="s">
        <v>19</v>
      </c>
      <c r="C124" s="9" t="s">
        <v>166</v>
      </c>
      <c r="D124" s="5">
        <v>31.72</v>
      </c>
      <c r="E124" s="5">
        <v>42.1875</v>
      </c>
      <c r="F124" s="5">
        <v>47.375</v>
      </c>
      <c r="G124" s="5">
        <v>65.45</v>
      </c>
      <c r="H124" s="5">
        <v>93.375</v>
      </c>
      <c r="I124" s="5">
        <v>201.82500000000002</v>
      </c>
      <c r="J124" s="10" t="s">
        <v>21</v>
      </c>
      <c r="K124" s="10" t="s">
        <v>21</v>
      </c>
      <c r="L124" s="10" t="s">
        <v>21</v>
      </c>
      <c r="M124" s="10" t="s">
        <v>21</v>
      </c>
      <c r="N124" s="10" t="s">
        <v>21</v>
      </c>
      <c r="O124" s="11" t="s">
        <v>35</v>
      </c>
      <c r="P124" s="11" t="s">
        <v>36</v>
      </c>
      <c r="Q124" s="12">
        <v>80</v>
      </c>
      <c r="R124" s="11" t="s">
        <v>25</v>
      </c>
      <c r="S124" s="3" t="s">
        <v>343</v>
      </c>
      <c r="T124" s="3" t="s">
        <v>344</v>
      </c>
    </row>
    <row r="125" spans="1:20" ht="15.75" customHeight="1" x14ac:dyDescent="0.3">
      <c r="A125" s="7" t="s">
        <v>336</v>
      </c>
      <c r="B125" s="8" t="s">
        <v>19</v>
      </c>
      <c r="C125" s="9" t="s">
        <v>167</v>
      </c>
      <c r="D125" s="5">
        <v>21.06</v>
      </c>
      <c r="E125" s="5">
        <v>28.075000000000003</v>
      </c>
      <c r="F125" s="5">
        <v>31.662499999999998</v>
      </c>
      <c r="G125" s="5">
        <v>45.05</v>
      </c>
      <c r="H125" s="5">
        <v>70.349999999999994</v>
      </c>
      <c r="I125" s="5">
        <v>133.22499999999999</v>
      </c>
      <c r="J125" s="10" t="s">
        <v>21</v>
      </c>
      <c r="K125" s="10" t="s">
        <v>21</v>
      </c>
      <c r="L125" s="10" t="s">
        <v>21</v>
      </c>
      <c r="M125" s="10" t="s">
        <v>21</v>
      </c>
      <c r="N125" s="10" t="s">
        <v>21</v>
      </c>
      <c r="O125" s="11" t="s">
        <v>29</v>
      </c>
      <c r="P125" s="11" t="s">
        <v>30</v>
      </c>
      <c r="Q125" s="12">
        <v>80</v>
      </c>
      <c r="R125" s="11" t="s">
        <v>25</v>
      </c>
      <c r="S125" s="3" t="s">
        <v>343</v>
      </c>
      <c r="T125" s="3" t="s">
        <v>344</v>
      </c>
    </row>
    <row r="126" spans="1:20" ht="15.75" customHeight="1" x14ac:dyDescent="0.3">
      <c r="A126" s="7" t="s">
        <v>336</v>
      </c>
      <c r="B126" s="8" t="s">
        <v>19</v>
      </c>
      <c r="C126" s="13" t="s">
        <v>168</v>
      </c>
      <c r="D126" s="14">
        <v>23.17</v>
      </c>
      <c r="E126" s="14">
        <v>60</v>
      </c>
      <c r="F126" s="14">
        <v>60</v>
      </c>
      <c r="G126" s="14">
        <v>64.125</v>
      </c>
      <c r="H126" s="14">
        <v>76.25</v>
      </c>
      <c r="I126" s="14">
        <v>83.75</v>
      </c>
      <c r="J126" s="14">
        <v>92.5</v>
      </c>
      <c r="K126" s="14">
        <v>101.25</v>
      </c>
      <c r="L126" s="14">
        <v>101.25</v>
      </c>
      <c r="M126" s="14">
        <v>117.5</v>
      </c>
      <c r="N126" s="14">
        <v>135</v>
      </c>
      <c r="O126" s="15" t="s">
        <v>29</v>
      </c>
      <c r="P126" s="15" t="s">
        <v>69</v>
      </c>
      <c r="Q126" s="16">
        <v>80</v>
      </c>
      <c r="R126" s="15" t="s">
        <v>25</v>
      </c>
      <c r="S126" s="3" t="s">
        <v>343</v>
      </c>
      <c r="T126" s="3" t="s">
        <v>344</v>
      </c>
    </row>
    <row r="127" spans="1:20" ht="15.75" customHeight="1" x14ac:dyDescent="0.3">
      <c r="A127" s="7" t="s">
        <v>336</v>
      </c>
      <c r="B127" s="8" t="s">
        <v>19</v>
      </c>
      <c r="C127" s="13" t="s">
        <v>169</v>
      </c>
      <c r="D127" s="14">
        <v>28</v>
      </c>
      <c r="E127" s="14">
        <v>33.75</v>
      </c>
      <c r="F127" s="14">
        <v>36.25</v>
      </c>
      <c r="G127" s="14">
        <v>38.75</v>
      </c>
      <c r="H127" s="14">
        <v>41.25</v>
      </c>
      <c r="I127" s="14">
        <v>55</v>
      </c>
      <c r="J127" s="14">
        <v>62.5</v>
      </c>
      <c r="K127" s="14">
        <v>71.25</v>
      </c>
      <c r="L127" s="14">
        <v>73.75</v>
      </c>
      <c r="M127" s="14">
        <v>81.25</v>
      </c>
      <c r="N127" s="14">
        <v>86.25</v>
      </c>
      <c r="O127" s="15" t="s">
        <v>29</v>
      </c>
      <c r="P127" s="15" t="s">
        <v>33</v>
      </c>
      <c r="Q127" s="16">
        <v>80</v>
      </c>
      <c r="R127" s="15" t="s">
        <v>25</v>
      </c>
      <c r="S127" s="3" t="s">
        <v>343</v>
      </c>
      <c r="T127" s="3" t="s">
        <v>344</v>
      </c>
    </row>
    <row r="128" spans="1:20" ht="15.75" customHeight="1" x14ac:dyDescent="0.3">
      <c r="A128" s="7" t="s">
        <v>336</v>
      </c>
      <c r="B128" s="8" t="s">
        <v>19</v>
      </c>
      <c r="C128" s="13" t="s">
        <v>170</v>
      </c>
      <c r="D128" s="14">
        <v>24</v>
      </c>
      <c r="E128" s="14">
        <v>33.75</v>
      </c>
      <c r="F128" s="14">
        <v>36.25</v>
      </c>
      <c r="G128" s="14">
        <v>41.25</v>
      </c>
      <c r="H128" s="14">
        <v>43.75</v>
      </c>
      <c r="I128" s="14">
        <v>46.25</v>
      </c>
      <c r="J128" s="14">
        <v>58.75</v>
      </c>
      <c r="K128" s="14">
        <v>65.625</v>
      </c>
      <c r="L128" s="14">
        <v>92.5</v>
      </c>
      <c r="M128" s="14">
        <v>98.75</v>
      </c>
      <c r="N128" s="14">
        <v>140</v>
      </c>
      <c r="O128" s="15" t="s">
        <v>29</v>
      </c>
      <c r="P128" s="15" t="s">
        <v>33</v>
      </c>
      <c r="Q128" s="16">
        <v>80</v>
      </c>
      <c r="R128" s="15" t="s">
        <v>25</v>
      </c>
      <c r="S128" s="3" t="s">
        <v>343</v>
      </c>
      <c r="T128" s="3" t="s">
        <v>344</v>
      </c>
    </row>
    <row r="129" spans="1:20" ht="15.75" customHeight="1" x14ac:dyDescent="0.3">
      <c r="A129" s="7" t="s">
        <v>336</v>
      </c>
      <c r="B129" s="8" t="s">
        <v>19</v>
      </c>
      <c r="C129" s="9" t="s">
        <v>171</v>
      </c>
      <c r="D129" s="5">
        <v>29</v>
      </c>
      <c r="E129" s="5">
        <v>33.050000000000004</v>
      </c>
      <c r="F129" s="5">
        <v>38.75</v>
      </c>
      <c r="G129" s="5">
        <v>54.875</v>
      </c>
      <c r="H129" s="5">
        <v>78.75</v>
      </c>
      <c r="I129" s="5">
        <v>138.75</v>
      </c>
      <c r="J129" s="10" t="s">
        <v>21</v>
      </c>
      <c r="K129" s="10" t="s">
        <v>21</v>
      </c>
      <c r="L129" s="10" t="s">
        <v>21</v>
      </c>
      <c r="M129" s="10" t="s">
        <v>21</v>
      </c>
      <c r="N129" s="10" t="s">
        <v>21</v>
      </c>
      <c r="O129" s="11" t="s">
        <v>41</v>
      </c>
      <c r="P129" s="11" t="s">
        <v>143</v>
      </c>
      <c r="Q129" s="12">
        <v>80</v>
      </c>
      <c r="R129" s="11" t="s">
        <v>25</v>
      </c>
      <c r="S129" s="3" t="s">
        <v>343</v>
      </c>
      <c r="T129" s="3" t="s">
        <v>344</v>
      </c>
    </row>
    <row r="130" spans="1:20" ht="15.75" customHeight="1" x14ac:dyDescent="0.3">
      <c r="A130" s="7" t="s">
        <v>336</v>
      </c>
      <c r="B130" s="8" t="s">
        <v>19</v>
      </c>
      <c r="C130" s="9" t="s">
        <v>172</v>
      </c>
      <c r="D130" s="5">
        <v>31.72</v>
      </c>
      <c r="E130" s="5">
        <v>42.1875</v>
      </c>
      <c r="F130" s="5">
        <v>47.375</v>
      </c>
      <c r="G130" s="5">
        <v>65.45</v>
      </c>
      <c r="H130" s="5">
        <v>93.375</v>
      </c>
      <c r="I130" s="5">
        <v>201.82500000000002</v>
      </c>
      <c r="J130" s="10" t="s">
        <v>21</v>
      </c>
      <c r="K130" s="10" t="s">
        <v>21</v>
      </c>
      <c r="L130" s="10" t="s">
        <v>21</v>
      </c>
      <c r="M130" s="10" t="s">
        <v>21</v>
      </c>
      <c r="N130" s="10" t="s">
        <v>21</v>
      </c>
      <c r="O130" s="11" t="s">
        <v>35</v>
      </c>
      <c r="P130" s="11" t="s">
        <v>36</v>
      </c>
      <c r="Q130" s="12">
        <v>80</v>
      </c>
      <c r="R130" s="11" t="s">
        <v>25</v>
      </c>
      <c r="S130" s="3" t="s">
        <v>343</v>
      </c>
      <c r="T130" s="3" t="s">
        <v>344</v>
      </c>
    </row>
    <row r="131" spans="1:20" ht="15.75" customHeight="1" x14ac:dyDescent="0.3">
      <c r="A131" s="7" t="s">
        <v>336</v>
      </c>
      <c r="B131" s="8" t="s">
        <v>19</v>
      </c>
      <c r="C131" s="9" t="s">
        <v>173</v>
      </c>
      <c r="D131" s="5">
        <v>31.72</v>
      </c>
      <c r="E131" s="5">
        <v>42.1875</v>
      </c>
      <c r="F131" s="5">
        <v>47.375</v>
      </c>
      <c r="G131" s="5">
        <v>65.45</v>
      </c>
      <c r="H131" s="5">
        <v>93.375</v>
      </c>
      <c r="I131" s="5">
        <v>201.82500000000002</v>
      </c>
      <c r="J131" s="10" t="s">
        <v>21</v>
      </c>
      <c r="K131" s="10" t="s">
        <v>21</v>
      </c>
      <c r="L131" s="10" t="s">
        <v>21</v>
      </c>
      <c r="M131" s="10" t="s">
        <v>21</v>
      </c>
      <c r="N131" s="10" t="s">
        <v>21</v>
      </c>
      <c r="O131" s="11" t="s">
        <v>35</v>
      </c>
      <c r="P131" s="11" t="s">
        <v>36</v>
      </c>
      <c r="Q131" s="12">
        <v>80</v>
      </c>
      <c r="R131" s="11" t="s">
        <v>25</v>
      </c>
      <c r="S131" s="3" t="s">
        <v>343</v>
      </c>
      <c r="T131" s="3" t="s">
        <v>344</v>
      </c>
    </row>
    <row r="132" spans="1:20" ht="15.75" customHeight="1" x14ac:dyDescent="0.3">
      <c r="A132" s="7" t="s">
        <v>336</v>
      </c>
      <c r="B132" s="8" t="s">
        <v>19</v>
      </c>
      <c r="C132" s="9" t="s">
        <v>174</v>
      </c>
      <c r="D132" s="5">
        <v>24.68</v>
      </c>
      <c r="E132" s="5">
        <v>33.050000000000004</v>
      </c>
      <c r="F132" s="5">
        <v>38.75</v>
      </c>
      <c r="G132" s="5">
        <v>54.875</v>
      </c>
      <c r="H132" s="5">
        <v>78.75</v>
      </c>
      <c r="I132" s="5">
        <v>138.75</v>
      </c>
      <c r="J132" s="10" t="s">
        <v>21</v>
      </c>
      <c r="K132" s="10" t="s">
        <v>21</v>
      </c>
      <c r="L132" s="10" t="s">
        <v>21</v>
      </c>
      <c r="M132" s="10" t="s">
        <v>21</v>
      </c>
      <c r="N132" s="10" t="s">
        <v>21</v>
      </c>
      <c r="O132" s="11" t="s">
        <v>61</v>
      </c>
      <c r="P132" s="11" t="s">
        <v>23</v>
      </c>
      <c r="Q132" s="12">
        <v>80</v>
      </c>
      <c r="R132" s="11" t="s">
        <v>25</v>
      </c>
      <c r="S132" s="3" t="s">
        <v>343</v>
      </c>
      <c r="T132" s="3" t="s">
        <v>344</v>
      </c>
    </row>
    <row r="133" spans="1:20" ht="15.75" customHeight="1" x14ac:dyDescent="0.3">
      <c r="A133" s="7" t="s">
        <v>336</v>
      </c>
      <c r="B133" s="8" t="s">
        <v>19</v>
      </c>
      <c r="C133" s="9" t="s">
        <v>175</v>
      </c>
      <c r="D133" s="5">
        <v>31.72</v>
      </c>
      <c r="E133" s="5">
        <v>42.1875</v>
      </c>
      <c r="F133" s="5">
        <v>47.375</v>
      </c>
      <c r="G133" s="5">
        <v>65.45</v>
      </c>
      <c r="H133" s="5">
        <v>93.375</v>
      </c>
      <c r="I133" s="5">
        <v>201.82500000000002</v>
      </c>
      <c r="J133" s="10" t="s">
        <v>21</v>
      </c>
      <c r="K133" s="10" t="s">
        <v>21</v>
      </c>
      <c r="L133" s="10" t="s">
        <v>21</v>
      </c>
      <c r="M133" s="10" t="s">
        <v>21</v>
      </c>
      <c r="N133" s="10" t="s">
        <v>21</v>
      </c>
      <c r="O133" s="11" t="s">
        <v>35</v>
      </c>
      <c r="P133" s="11" t="s">
        <v>36</v>
      </c>
      <c r="Q133" s="12">
        <v>80</v>
      </c>
      <c r="R133" s="11" t="s">
        <v>25</v>
      </c>
      <c r="S133" s="3" t="s">
        <v>343</v>
      </c>
      <c r="T133" s="3" t="s">
        <v>344</v>
      </c>
    </row>
    <row r="134" spans="1:20" ht="15.75" customHeight="1" x14ac:dyDescent="0.3">
      <c r="A134" s="7" t="s">
        <v>336</v>
      </c>
      <c r="B134" s="8" t="s">
        <v>19</v>
      </c>
      <c r="C134" s="9" t="s">
        <v>176</v>
      </c>
      <c r="D134" s="5">
        <v>31.72</v>
      </c>
      <c r="E134" s="5">
        <v>42.1875</v>
      </c>
      <c r="F134" s="5">
        <v>47.375</v>
      </c>
      <c r="G134" s="5">
        <v>65.45</v>
      </c>
      <c r="H134" s="5">
        <v>93.375</v>
      </c>
      <c r="I134" s="5">
        <v>201.82500000000002</v>
      </c>
      <c r="J134" s="10" t="s">
        <v>21</v>
      </c>
      <c r="K134" s="10" t="s">
        <v>21</v>
      </c>
      <c r="L134" s="10" t="s">
        <v>21</v>
      </c>
      <c r="M134" s="10" t="s">
        <v>21</v>
      </c>
      <c r="N134" s="10" t="s">
        <v>21</v>
      </c>
      <c r="O134" s="11" t="s">
        <v>35</v>
      </c>
      <c r="P134" s="11" t="s">
        <v>36</v>
      </c>
      <c r="Q134" s="12">
        <v>80</v>
      </c>
      <c r="R134" s="11" t="s">
        <v>25</v>
      </c>
      <c r="S134" s="3" t="s">
        <v>343</v>
      </c>
      <c r="T134" s="3" t="s">
        <v>344</v>
      </c>
    </row>
    <row r="135" spans="1:20" ht="15.75" customHeight="1" x14ac:dyDescent="0.3">
      <c r="A135" s="7" t="s">
        <v>336</v>
      </c>
      <c r="B135" s="8" t="s">
        <v>19</v>
      </c>
      <c r="C135" s="13" t="s">
        <v>177</v>
      </c>
      <c r="D135" s="14">
        <v>46.6</v>
      </c>
      <c r="E135" s="14">
        <v>54.625</v>
      </c>
      <c r="F135" s="14">
        <v>54.625</v>
      </c>
      <c r="G135" s="14">
        <v>66.125</v>
      </c>
      <c r="H135" s="14">
        <v>69.875</v>
      </c>
      <c r="I135" s="14">
        <v>81.875</v>
      </c>
      <c r="J135" s="14">
        <v>94.125</v>
      </c>
      <c r="K135" s="14">
        <v>103.75</v>
      </c>
      <c r="L135" s="14">
        <v>94.875</v>
      </c>
      <c r="M135" s="14">
        <v>119.125</v>
      </c>
      <c r="N135" s="14">
        <v>145.875</v>
      </c>
      <c r="O135" s="15" t="s">
        <v>178</v>
      </c>
      <c r="P135" s="15" t="s">
        <v>124</v>
      </c>
      <c r="Q135" s="16">
        <v>80</v>
      </c>
      <c r="R135" s="15" t="s">
        <v>25</v>
      </c>
      <c r="S135" s="3" t="s">
        <v>343</v>
      </c>
      <c r="T135" s="3" t="s">
        <v>344</v>
      </c>
    </row>
    <row r="136" spans="1:20" ht="15.75" customHeight="1" x14ac:dyDescent="0.3">
      <c r="A136" s="7" t="s">
        <v>336</v>
      </c>
      <c r="B136" s="8" t="s">
        <v>19</v>
      </c>
      <c r="C136" s="9" t="s">
        <v>179</v>
      </c>
      <c r="D136" s="5">
        <v>31.72</v>
      </c>
      <c r="E136" s="5">
        <v>42.1875</v>
      </c>
      <c r="F136" s="5">
        <v>47.375</v>
      </c>
      <c r="G136" s="5">
        <v>65.45</v>
      </c>
      <c r="H136" s="5">
        <v>93.375</v>
      </c>
      <c r="I136" s="5">
        <v>201.82500000000002</v>
      </c>
      <c r="J136" s="10" t="s">
        <v>21</v>
      </c>
      <c r="K136" s="10" t="s">
        <v>21</v>
      </c>
      <c r="L136" s="10" t="s">
        <v>21</v>
      </c>
      <c r="M136" s="10" t="s">
        <v>21</v>
      </c>
      <c r="N136" s="10" t="s">
        <v>21</v>
      </c>
      <c r="O136" s="11" t="s">
        <v>35</v>
      </c>
      <c r="P136" s="11" t="s">
        <v>36</v>
      </c>
      <c r="Q136" s="12">
        <v>80</v>
      </c>
      <c r="R136" s="11" t="s">
        <v>25</v>
      </c>
      <c r="S136" s="3" t="s">
        <v>343</v>
      </c>
      <c r="T136" s="3" t="s">
        <v>344</v>
      </c>
    </row>
    <row r="137" spans="1:20" ht="15.75" customHeight="1" x14ac:dyDescent="0.3">
      <c r="A137" s="7" t="s">
        <v>336</v>
      </c>
      <c r="B137" s="8" t="s">
        <v>19</v>
      </c>
      <c r="C137" s="9" t="s">
        <v>180</v>
      </c>
      <c r="D137" s="5">
        <v>27.47</v>
      </c>
      <c r="E137" s="5">
        <v>36.125</v>
      </c>
      <c r="F137" s="5">
        <v>40.012499999999996</v>
      </c>
      <c r="G137" s="5">
        <v>55.987499999999997</v>
      </c>
      <c r="H137" s="5">
        <v>76.5</v>
      </c>
      <c r="I137" s="5">
        <v>178.27500000000001</v>
      </c>
      <c r="J137" s="10" t="s">
        <v>21</v>
      </c>
      <c r="K137" s="10" t="s">
        <v>21</v>
      </c>
      <c r="L137" s="10" t="s">
        <v>21</v>
      </c>
      <c r="M137" s="10" t="s">
        <v>21</v>
      </c>
      <c r="N137" s="10" t="s">
        <v>21</v>
      </c>
      <c r="O137" s="11" t="s">
        <v>41</v>
      </c>
      <c r="P137" s="11" t="s">
        <v>23</v>
      </c>
      <c r="Q137" s="12">
        <v>80</v>
      </c>
      <c r="R137" s="11" t="s">
        <v>25</v>
      </c>
      <c r="S137" s="3" t="s">
        <v>343</v>
      </c>
      <c r="T137" s="3" t="s">
        <v>344</v>
      </c>
    </row>
    <row r="138" spans="1:20" ht="15.75" customHeight="1" x14ac:dyDescent="0.3">
      <c r="A138" s="7" t="s">
        <v>336</v>
      </c>
      <c r="B138" s="8" t="s">
        <v>19</v>
      </c>
      <c r="C138" s="9" t="s">
        <v>181</v>
      </c>
      <c r="D138" s="5">
        <v>31.72</v>
      </c>
      <c r="E138" s="5">
        <v>42.1875</v>
      </c>
      <c r="F138" s="5">
        <v>47.375</v>
      </c>
      <c r="G138" s="5">
        <v>65.45</v>
      </c>
      <c r="H138" s="5">
        <v>93.375</v>
      </c>
      <c r="I138" s="5">
        <v>201.82500000000002</v>
      </c>
      <c r="J138" s="10" t="s">
        <v>21</v>
      </c>
      <c r="K138" s="10" t="s">
        <v>21</v>
      </c>
      <c r="L138" s="10" t="s">
        <v>21</v>
      </c>
      <c r="M138" s="10" t="s">
        <v>21</v>
      </c>
      <c r="N138" s="10" t="s">
        <v>21</v>
      </c>
      <c r="O138" s="11" t="s">
        <v>35</v>
      </c>
      <c r="P138" s="11" t="s">
        <v>36</v>
      </c>
      <c r="Q138" s="12">
        <v>80</v>
      </c>
      <c r="R138" s="11" t="s">
        <v>25</v>
      </c>
      <c r="S138" s="3" t="s">
        <v>343</v>
      </c>
      <c r="T138" s="3" t="s">
        <v>344</v>
      </c>
    </row>
    <row r="139" spans="1:20" ht="15.75" customHeight="1" x14ac:dyDescent="0.3">
      <c r="A139" s="7" t="s">
        <v>336</v>
      </c>
      <c r="B139" s="8" t="s">
        <v>19</v>
      </c>
      <c r="C139" s="9" t="s">
        <v>182</v>
      </c>
      <c r="D139" s="5">
        <v>31.72</v>
      </c>
      <c r="E139" s="5">
        <v>42.1875</v>
      </c>
      <c r="F139" s="5">
        <v>47.375</v>
      </c>
      <c r="G139" s="5">
        <v>65.45</v>
      </c>
      <c r="H139" s="5">
        <v>93.375</v>
      </c>
      <c r="I139" s="5">
        <v>201.82500000000002</v>
      </c>
      <c r="J139" s="10" t="s">
        <v>21</v>
      </c>
      <c r="K139" s="10" t="s">
        <v>21</v>
      </c>
      <c r="L139" s="10" t="s">
        <v>21</v>
      </c>
      <c r="M139" s="10" t="s">
        <v>21</v>
      </c>
      <c r="N139" s="10" t="s">
        <v>21</v>
      </c>
      <c r="O139" s="11" t="s">
        <v>35</v>
      </c>
      <c r="P139" s="11" t="s">
        <v>36</v>
      </c>
      <c r="Q139" s="12">
        <v>80</v>
      </c>
      <c r="R139" s="11" t="s">
        <v>25</v>
      </c>
      <c r="S139" s="3" t="s">
        <v>343</v>
      </c>
      <c r="T139" s="3" t="s">
        <v>344</v>
      </c>
    </row>
    <row r="140" spans="1:20" ht="15.75" customHeight="1" x14ac:dyDescent="0.3">
      <c r="A140" s="7" t="s">
        <v>336</v>
      </c>
      <c r="B140" s="8" t="s">
        <v>19</v>
      </c>
      <c r="C140" s="9" t="s">
        <v>183</v>
      </c>
      <c r="D140" s="10" t="s">
        <v>21</v>
      </c>
      <c r="E140" s="10" t="s">
        <v>21</v>
      </c>
      <c r="F140" s="10" t="s">
        <v>21</v>
      </c>
      <c r="G140" s="10" t="s">
        <v>21</v>
      </c>
      <c r="H140" s="10" t="s">
        <v>21</v>
      </c>
      <c r="I140" s="10" t="s">
        <v>21</v>
      </c>
      <c r="J140" s="10" t="s">
        <v>21</v>
      </c>
      <c r="K140" s="10" t="s">
        <v>21</v>
      </c>
      <c r="L140" s="10" t="s">
        <v>21</v>
      </c>
      <c r="M140" s="10" t="s">
        <v>21</v>
      </c>
      <c r="N140" s="10" t="s">
        <v>21</v>
      </c>
      <c r="O140" s="11"/>
      <c r="P140" s="11"/>
      <c r="Q140" s="11"/>
      <c r="R140" s="11"/>
      <c r="S140" s="3" t="s">
        <v>343</v>
      </c>
      <c r="T140" s="3" t="s">
        <v>344</v>
      </c>
    </row>
    <row r="141" spans="1:20" ht="15.75" customHeight="1" x14ac:dyDescent="0.3">
      <c r="A141" s="7" t="s">
        <v>336</v>
      </c>
      <c r="B141" s="8" t="s">
        <v>19</v>
      </c>
      <c r="C141" s="9" t="s">
        <v>184</v>
      </c>
      <c r="D141" s="5">
        <v>27.4</v>
      </c>
      <c r="E141" s="5">
        <v>36.125</v>
      </c>
      <c r="F141" s="5">
        <v>40.012499999999996</v>
      </c>
      <c r="G141" s="5">
        <v>55.987499999999997</v>
      </c>
      <c r="H141" s="5">
        <v>76.5</v>
      </c>
      <c r="I141" s="5">
        <v>178.27500000000001</v>
      </c>
      <c r="J141" s="10" t="s">
        <v>21</v>
      </c>
      <c r="K141" s="10" t="s">
        <v>21</v>
      </c>
      <c r="L141" s="10" t="s">
        <v>21</v>
      </c>
      <c r="M141" s="10" t="s">
        <v>21</v>
      </c>
      <c r="N141" s="10" t="s">
        <v>21</v>
      </c>
      <c r="O141" s="11" t="s">
        <v>61</v>
      </c>
      <c r="P141" s="11" t="s">
        <v>23</v>
      </c>
      <c r="Q141" s="12">
        <v>80</v>
      </c>
      <c r="R141" s="11"/>
      <c r="S141" s="3" t="s">
        <v>343</v>
      </c>
      <c r="T141" s="3" t="s">
        <v>344</v>
      </c>
    </row>
    <row r="142" spans="1:20" ht="15.75" customHeight="1" x14ac:dyDescent="0.3">
      <c r="A142" s="7" t="s">
        <v>336</v>
      </c>
      <c r="B142" s="8" t="s">
        <v>19</v>
      </c>
      <c r="C142" s="9" t="s">
        <v>185</v>
      </c>
      <c r="D142" s="5">
        <v>31.72</v>
      </c>
      <c r="E142" s="5">
        <v>42.1875</v>
      </c>
      <c r="F142" s="5">
        <v>47.375</v>
      </c>
      <c r="G142" s="5">
        <v>65.45</v>
      </c>
      <c r="H142" s="5">
        <v>93.375</v>
      </c>
      <c r="I142" s="5">
        <v>201.82500000000002</v>
      </c>
      <c r="J142" s="10" t="s">
        <v>21</v>
      </c>
      <c r="K142" s="10" t="s">
        <v>21</v>
      </c>
      <c r="L142" s="10" t="s">
        <v>21</v>
      </c>
      <c r="M142" s="10" t="s">
        <v>21</v>
      </c>
      <c r="N142" s="10" t="s">
        <v>21</v>
      </c>
      <c r="O142" s="11" t="s">
        <v>35</v>
      </c>
      <c r="P142" s="11" t="s">
        <v>36</v>
      </c>
      <c r="Q142" s="12">
        <v>80</v>
      </c>
      <c r="R142" s="11" t="s">
        <v>25</v>
      </c>
      <c r="S142" s="3" t="s">
        <v>343</v>
      </c>
      <c r="T142" s="3" t="s">
        <v>344</v>
      </c>
    </row>
    <row r="143" spans="1:20" ht="15.75" customHeight="1" x14ac:dyDescent="0.3">
      <c r="A143" s="7" t="s">
        <v>336</v>
      </c>
      <c r="B143" s="8" t="s">
        <v>19</v>
      </c>
      <c r="C143" s="9" t="s">
        <v>186</v>
      </c>
      <c r="D143" s="5">
        <v>35.64</v>
      </c>
      <c r="E143" s="5">
        <v>45.75</v>
      </c>
      <c r="F143" s="5">
        <v>44.5</v>
      </c>
      <c r="G143" s="5">
        <v>53.75</v>
      </c>
      <c r="H143" s="5">
        <v>56.75</v>
      </c>
      <c r="I143" s="5">
        <v>66.625</v>
      </c>
      <c r="J143" s="10" t="s">
        <v>21</v>
      </c>
      <c r="K143" s="10" t="s">
        <v>21</v>
      </c>
      <c r="L143" s="10" t="s">
        <v>21</v>
      </c>
      <c r="M143" s="10" t="s">
        <v>21</v>
      </c>
      <c r="N143" s="10" t="s">
        <v>21</v>
      </c>
      <c r="O143" s="11" t="s">
        <v>61</v>
      </c>
      <c r="P143" s="11" t="s">
        <v>187</v>
      </c>
      <c r="Q143" s="12">
        <v>80</v>
      </c>
      <c r="R143" s="11" t="s">
        <v>25</v>
      </c>
      <c r="S143" s="3" t="s">
        <v>343</v>
      </c>
      <c r="T143" s="3" t="s">
        <v>344</v>
      </c>
    </row>
    <row r="144" spans="1:20" ht="15.75" customHeight="1" x14ac:dyDescent="0.3">
      <c r="A144" s="7" t="s">
        <v>336</v>
      </c>
      <c r="B144" s="8" t="s">
        <v>19</v>
      </c>
      <c r="C144" s="13" t="s">
        <v>188</v>
      </c>
      <c r="D144" s="14">
        <v>17.399999999999999</v>
      </c>
      <c r="E144" s="14">
        <v>19.25</v>
      </c>
      <c r="F144" s="14">
        <v>20</v>
      </c>
      <c r="G144" s="14">
        <v>21.5</v>
      </c>
      <c r="H144" s="14">
        <v>25.625</v>
      </c>
      <c r="I144" s="14">
        <v>31.875</v>
      </c>
      <c r="J144" s="14">
        <v>36.875</v>
      </c>
      <c r="K144" s="14">
        <v>41.5</v>
      </c>
      <c r="L144" s="14">
        <v>50.625</v>
      </c>
      <c r="M144" s="14">
        <v>61.875</v>
      </c>
      <c r="N144" s="14">
        <v>72.125</v>
      </c>
      <c r="O144" s="15" t="s">
        <v>189</v>
      </c>
      <c r="P144" s="15" t="s">
        <v>61</v>
      </c>
      <c r="Q144" s="16">
        <v>80</v>
      </c>
      <c r="R144" s="15" t="s">
        <v>25</v>
      </c>
      <c r="S144" s="3" t="s">
        <v>343</v>
      </c>
      <c r="T144" s="3" t="s">
        <v>344</v>
      </c>
    </row>
    <row r="145" spans="1:20" ht="15.75" customHeight="1" x14ac:dyDescent="0.3">
      <c r="A145" s="7" t="s">
        <v>336</v>
      </c>
      <c r="B145" s="8" t="s">
        <v>19</v>
      </c>
      <c r="C145" s="9" t="s">
        <v>190</v>
      </c>
      <c r="D145" s="5">
        <v>31.72</v>
      </c>
      <c r="E145" s="5">
        <v>42.1875</v>
      </c>
      <c r="F145" s="5">
        <v>47.375</v>
      </c>
      <c r="G145" s="5">
        <v>65.45</v>
      </c>
      <c r="H145" s="5">
        <v>93.375</v>
      </c>
      <c r="I145" s="5">
        <v>201.82500000000002</v>
      </c>
      <c r="J145" s="10" t="s">
        <v>21</v>
      </c>
      <c r="K145" s="10" t="s">
        <v>21</v>
      </c>
      <c r="L145" s="10" t="s">
        <v>21</v>
      </c>
      <c r="M145" s="10" t="s">
        <v>21</v>
      </c>
      <c r="N145" s="10" t="s">
        <v>21</v>
      </c>
      <c r="O145" s="11" t="s">
        <v>35</v>
      </c>
      <c r="P145" s="11" t="s">
        <v>36</v>
      </c>
      <c r="Q145" s="12">
        <v>80</v>
      </c>
      <c r="R145" s="11" t="s">
        <v>25</v>
      </c>
      <c r="S145" s="3" t="s">
        <v>343</v>
      </c>
      <c r="T145" s="3" t="s">
        <v>344</v>
      </c>
    </row>
    <row r="146" spans="1:20" ht="15.75" customHeight="1" x14ac:dyDescent="0.3">
      <c r="A146" s="7" t="s">
        <v>336</v>
      </c>
      <c r="B146" s="8" t="s">
        <v>19</v>
      </c>
      <c r="C146" s="9" t="s">
        <v>191</v>
      </c>
      <c r="D146" s="5">
        <v>35.64</v>
      </c>
      <c r="E146" s="5">
        <v>44.375</v>
      </c>
      <c r="F146" s="5">
        <v>47.375</v>
      </c>
      <c r="G146" s="5">
        <v>56.875</v>
      </c>
      <c r="H146" s="5">
        <v>61.25</v>
      </c>
      <c r="I146" s="5">
        <v>68.75</v>
      </c>
      <c r="J146" s="10" t="s">
        <v>21</v>
      </c>
      <c r="K146" s="10" t="s">
        <v>21</v>
      </c>
      <c r="L146" s="10" t="s">
        <v>21</v>
      </c>
      <c r="M146" s="10" t="s">
        <v>21</v>
      </c>
      <c r="N146" s="10" t="s">
        <v>21</v>
      </c>
      <c r="O146" s="11" t="s">
        <v>41</v>
      </c>
      <c r="P146" s="11" t="s">
        <v>192</v>
      </c>
      <c r="Q146" s="12">
        <v>80</v>
      </c>
      <c r="R146" s="11" t="s">
        <v>25</v>
      </c>
      <c r="S146" s="3" t="s">
        <v>343</v>
      </c>
      <c r="T146" s="3" t="s">
        <v>344</v>
      </c>
    </row>
    <row r="147" spans="1:20" ht="15.75" customHeight="1" x14ac:dyDescent="0.3">
      <c r="A147" s="7" t="s">
        <v>336</v>
      </c>
      <c r="B147" s="8" t="s">
        <v>19</v>
      </c>
      <c r="C147" s="9" t="s">
        <v>193</v>
      </c>
      <c r="D147" s="5">
        <v>27.47</v>
      </c>
      <c r="E147" s="5">
        <v>36.125</v>
      </c>
      <c r="F147" s="5">
        <v>40.012499999999996</v>
      </c>
      <c r="G147" s="5">
        <v>55.987499999999997</v>
      </c>
      <c r="H147" s="5">
        <v>76.5</v>
      </c>
      <c r="I147" s="5">
        <v>178.27500000000001</v>
      </c>
      <c r="J147" s="10" t="s">
        <v>21</v>
      </c>
      <c r="K147" s="10" t="s">
        <v>21</v>
      </c>
      <c r="L147" s="10" t="s">
        <v>21</v>
      </c>
      <c r="M147" s="10" t="s">
        <v>21</v>
      </c>
      <c r="N147" s="10" t="s">
        <v>21</v>
      </c>
      <c r="O147" s="11" t="s">
        <v>41</v>
      </c>
      <c r="P147" s="11" t="s">
        <v>23</v>
      </c>
      <c r="Q147" s="12">
        <v>80</v>
      </c>
      <c r="R147" s="11" t="s">
        <v>25</v>
      </c>
      <c r="S147" s="3" t="s">
        <v>343</v>
      </c>
      <c r="T147" s="3" t="s">
        <v>344</v>
      </c>
    </row>
    <row r="148" spans="1:20" ht="15.75" customHeight="1" x14ac:dyDescent="0.3">
      <c r="A148" s="7" t="s">
        <v>336</v>
      </c>
      <c r="B148" s="8" t="s">
        <v>19</v>
      </c>
      <c r="C148" s="9" t="s">
        <v>194</v>
      </c>
      <c r="D148" s="5">
        <v>21.06</v>
      </c>
      <c r="E148" s="5">
        <v>28.075000000000003</v>
      </c>
      <c r="F148" s="5">
        <v>31.662499999999998</v>
      </c>
      <c r="G148" s="5">
        <v>45.05</v>
      </c>
      <c r="H148" s="5">
        <v>70.349999999999994</v>
      </c>
      <c r="I148" s="5">
        <v>133.22499999999999</v>
      </c>
      <c r="J148" s="10" t="s">
        <v>21</v>
      </c>
      <c r="K148" s="10" t="s">
        <v>21</v>
      </c>
      <c r="L148" s="10" t="s">
        <v>21</v>
      </c>
      <c r="M148" s="10" t="s">
        <v>21</v>
      </c>
      <c r="N148" s="10" t="s">
        <v>21</v>
      </c>
      <c r="O148" s="11" t="s">
        <v>29</v>
      </c>
      <c r="P148" s="11" t="s">
        <v>30</v>
      </c>
      <c r="Q148" s="12">
        <v>80</v>
      </c>
      <c r="R148" s="11" t="s">
        <v>25</v>
      </c>
      <c r="S148" s="3" t="s">
        <v>343</v>
      </c>
      <c r="T148" s="3" t="s">
        <v>344</v>
      </c>
    </row>
    <row r="149" spans="1:20" ht="15.75" customHeight="1" x14ac:dyDescent="0.3">
      <c r="A149" s="7" t="s">
        <v>336</v>
      </c>
      <c r="B149" s="8" t="s">
        <v>19</v>
      </c>
      <c r="C149" s="9" t="s">
        <v>195</v>
      </c>
      <c r="D149" s="5">
        <v>31.72</v>
      </c>
      <c r="E149" s="5">
        <v>42.1875</v>
      </c>
      <c r="F149" s="5">
        <v>47.375</v>
      </c>
      <c r="G149" s="5">
        <v>65.45</v>
      </c>
      <c r="H149" s="5">
        <v>93.375</v>
      </c>
      <c r="I149" s="5">
        <v>201.82500000000002</v>
      </c>
      <c r="J149" s="10" t="s">
        <v>21</v>
      </c>
      <c r="K149" s="10" t="s">
        <v>21</v>
      </c>
      <c r="L149" s="10" t="s">
        <v>21</v>
      </c>
      <c r="M149" s="10" t="s">
        <v>21</v>
      </c>
      <c r="N149" s="10" t="s">
        <v>21</v>
      </c>
      <c r="O149" s="11" t="s">
        <v>35</v>
      </c>
      <c r="P149" s="11" t="s">
        <v>36</v>
      </c>
      <c r="Q149" s="12">
        <v>80</v>
      </c>
      <c r="R149" s="11" t="s">
        <v>25</v>
      </c>
      <c r="S149" s="3" t="s">
        <v>343</v>
      </c>
      <c r="T149" s="3" t="s">
        <v>344</v>
      </c>
    </row>
    <row r="150" spans="1:20" ht="15.75" customHeight="1" x14ac:dyDescent="0.3">
      <c r="A150" s="7" t="s">
        <v>336</v>
      </c>
      <c r="B150" s="8" t="s">
        <v>19</v>
      </c>
      <c r="C150" s="9" t="s">
        <v>196</v>
      </c>
      <c r="D150" s="10" t="s">
        <v>21</v>
      </c>
      <c r="E150" s="10" t="s">
        <v>21</v>
      </c>
      <c r="F150" s="10" t="s">
        <v>21</v>
      </c>
      <c r="G150" s="10" t="s">
        <v>21</v>
      </c>
      <c r="H150" s="10" t="s">
        <v>21</v>
      </c>
      <c r="I150" s="10" t="s">
        <v>21</v>
      </c>
      <c r="J150" s="10" t="s">
        <v>21</v>
      </c>
      <c r="K150" s="10" t="s">
        <v>21</v>
      </c>
      <c r="L150" s="10" t="s">
        <v>21</v>
      </c>
      <c r="M150" s="10" t="s">
        <v>21</v>
      </c>
      <c r="N150" s="10" t="s">
        <v>21</v>
      </c>
      <c r="O150" s="11"/>
      <c r="P150" s="11"/>
      <c r="Q150" s="11"/>
      <c r="R150" s="11"/>
      <c r="S150" s="3" t="s">
        <v>343</v>
      </c>
      <c r="T150" s="3" t="s">
        <v>344</v>
      </c>
    </row>
    <row r="151" spans="1:20" ht="15.75" customHeight="1" x14ac:dyDescent="0.3">
      <c r="A151" s="7" t="s">
        <v>336</v>
      </c>
      <c r="B151" s="8" t="s">
        <v>19</v>
      </c>
      <c r="C151" s="9" t="s">
        <v>197</v>
      </c>
      <c r="D151" s="5">
        <v>31.72</v>
      </c>
      <c r="E151" s="5">
        <v>42.1875</v>
      </c>
      <c r="F151" s="5">
        <v>47.375</v>
      </c>
      <c r="G151" s="5">
        <v>65.45</v>
      </c>
      <c r="H151" s="5">
        <v>93.375</v>
      </c>
      <c r="I151" s="5">
        <v>201.82500000000002</v>
      </c>
      <c r="J151" s="10" t="s">
        <v>21</v>
      </c>
      <c r="K151" s="10" t="s">
        <v>21</v>
      </c>
      <c r="L151" s="10" t="s">
        <v>21</v>
      </c>
      <c r="M151" s="10" t="s">
        <v>21</v>
      </c>
      <c r="N151" s="10" t="s">
        <v>21</v>
      </c>
      <c r="O151" s="11" t="s">
        <v>35</v>
      </c>
      <c r="P151" s="11" t="s">
        <v>36</v>
      </c>
      <c r="Q151" s="12">
        <v>80</v>
      </c>
      <c r="R151" s="11" t="s">
        <v>25</v>
      </c>
      <c r="S151" s="3" t="s">
        <v>343</v>
      </c>
      <c r="T151" s="3" t="s">
        <v>344</v>
      </c>
    </row>
    <row r="152" spans="1:20" ht="15.75" customHeight="1" x14ac:dyDescent="0.3">
      <c r="A152" s="7" t="s">
        <v>336</v>
      </c>
      <c r="B152" s="8" t="s">
        <v>19</v>
      </c>
      <c r="C152" s="9" t="s">
        <v>198</v>
      </c>
      <c r="D152" s="10" t="s">
        <v>21</v>
      </c>
      <c r="E152" s="10" t="s">
        <v>21</v>
      </c>
      <c r="F152" s="10" t="s">
        <v>21</v>
      </c>
      <c r="G152" s="10" t="s">
        <v>21</v>
      </c>
      <c r="H152" s="10" t="s">
        <v>21</v>
      </c>
      <c r="I152" s="10" t="s">
        <v>21</v>
      </c>
      <c r="J152" s="10" t="s">
        <v>21</v>
      </c>
      <c r="K152" s="10" t="s">
        <v>21</v>
      </c>
      <c r="L152" s="10" t="s">
        <v>21</v>
      </c>
      <c r="M152" s="10" t="s">
        <v>21</v>
      </c>
      <c r="N152" s="10" t="s">
        <v>21</v>
      </c>
      <c r="O152" s="11"/>
      <c r="P152" s="11"/>
      <c r="Q152" s="11"/>
      <c r="R152" s="11"/>
      <c r="S152" s="3" t="s">
        <v>343</v>
      </c>
      <c r="T152" s="3" t="s">
        <v>344</v>
      </c>
    </row>
    <row r="153" spans="1:20" ht="15.75" customHeight="1" x14ac:dyDescent="0.3">
      <c r="A153" s="7" t="s">
        <v>336</v>
      </c>
      <c r="B153" s="8" t="s">
        <v>19</v>
      </c>
      <c r="C153" s="9" t="s">
        <v>199</v>
      </c>
      <c r="D153" s="5">
        <v>21.06</v>
      </c>
      <c r="E153" s="5">
        <v>28.075000000000003</v>
      </c>
      <c r="F153" s="5">
        <v>31.662499999999998</v>
      </c>
      <c r="G153" s="5">
        <v>45.05</v>
      </c>
      <c r="H153" s="5">
        <v>70.349999999999994</v>
      </c>
      <c r="I153" s="5">
        <v>133.22499999999999</v>
      </c>
      <c r="J153" s="10" t="s">
        <v>21</v>
      </c>
      <c r="K153" s="10" t="s">
        <v>21</v>
      </c>
      <c r="L153" s="10" t="s">
        <v>21</v>
      </c>
      <c r="M153" s="10" t="s">
        <v>21</v>
      </c>
      <c r="N153" s="10" t="s">
        <v>21</v>
      </c>
      <c r="O153" s="11" t="s">
        <v>29</v>
      </c>
      <c r="P153" s="11" t="s">
        <v>30</v>
      </c>
      <c r="Q153" s="12">
        <v>80</v>
      </c>
      <c r="R153" s="11" t="s">
        <v>25</v>
      </c>
      <c r="S153" s="3" t="s">
        <v>343</v>
      </c>
      <c r="T153" s="3" t="s">
        <v>344</v>
      </c>
    </row>
    <row r="154" spans="1:20" ht="15.75" customHeight="1" x14ac:dyDescent="0.3">
      <c r="A154" s="7" t="s">
        <v>336</v>
      </c>
      <c r="B154" s="8" t="s">
        <v>19</v>
      </c>
      <c r="C154" s="13" t="s">
        <v>200</v>
      </c>
      <c r="D154" s="14">
        <v>21.4</v>
      </c>
      <c r="E154" s="14">
        <v>23.875</v>
      </c>
      <c r="F154" s="14">
        <v>26.25</v>
      </c>
      <c r="G154" s="14">
        <v>28.75</v>
      </c>
      <c r="H154" s="14">
        <v>31.25</v>
      </c>
      <c r="I154" s="14">
        <v>36.25</v>
      </c>
      <c r="J154" s="14">
        <v>45</v>
      </c>
      <c r="K154" s="14">
        <v>51.25</v>
      </c>
      <c r="L154" s="14">
        <v>78.75</v>
      </c>
      <c r="M154" s="14">
        <v>86.25</v>
      </c>
      <c r="N154" s="14">
        <v>91.25</v>
      </c>
      <c r="O154" s="15" t="s">
        <v>178</v>
      </c>
      <c r="P154" s="15" t="s">
        <v>201</v>
      </c>
      <c r="Q154" s="16">
        <v>80</v>
      </c>
      <c r="R154" s="15" t="s">
        <v>25</v>
      </c>
      <c r="S154" s="3" t="s">
        <v>343</v>
      </c>
      <c r="T154" s="3" t="s">
        <v>344</v>
      </c>
    </row>
    <row r="155" spans="1:20" ht="15.75" customHeight="1" x14ac:dyDescent="0.3">
      <c r="A155" s="7" t="s">
        <v>336</v>
      </c>
      <c r="B155" s="8" t="s">
        <v>19</v>
      </c>
      <c r="C155" s="9" t="s">
        <v>202</v>
      </c>
      <c r="D155" s="5">
        <v>31.72</v>
      </c>
      <c r="E155" s="5">
        <v>42.1875</v>
      </c>
      <c r="F155" s="5">
        <v>47.375</v>
      </c>
      <c r="G155" s="5">
        <v>65.45</v>
      </c>
      <c r="H155" s="5">
        <v>93.375</v>
      </c>
      <c r="I155" s="5">
        <v>201.82500000000002</v>
      </c>
      <c r="J155" s="10" t="s">
        <v>21</v>
      </c>
      <c r="K155" s="10" t="s">
        <v>21</v>
      </c>
      <c r="L155" s="10" t="s">
        <v>21</v>
      </c>
      <c r="M155" s="10" t="s">
        <v>21</v>
      </c>
      <c r="N155" s="10" t="s">
        <v>21</v>
      </c>
      <c r="O155" s="11" t="s">
        <v>35</v>
      </c>
      <c r="P155" s="11" t="s">
        <v>36</v>
      </c>
      <c r="Q155" s="12">
        <v>80</v>
      </c>
      <c r="R155" s="11" t="s">
        <v>25</v>
      </c>
      <c r="S155" s="3" t="s">
        <v>343</v>
      </c>
      <c r="T155" s="3" t="s">
        <v>344</v>
      </c>
    </row>
    <row r="156" spans="1:20" ht="15.75" customHeight="1" x14ac:dyDescent="0.3">
      <c r="A156" s="7" t="s">
        <v>336</v>
      </c>
      <c r="B156" s="8" t="s">
        <v>19</v>
      </c>
      <c r="C156" s="9" t="s">
        <v>203</v>
      </c>
      <c r="D156" s="5">
        <v>47.67</v>
      </c>
      <c r="E156" s="5">
        <v>63.75</v>
      </c>
      <c r="F156" s="5">
        <v>72.325000000000003</v>
      </c>
      <c r="G156" s="5">
        <v>107.77500000000001</v>
      </c>
      <c r="H156" s="5">
        <v>153.15</v>
      </c>
      <c r="I156" s="5">
        <v>235</v>
      </c>
      <c r="J156" s="10" t="s">
        <v>21</v>
      </c>
      <c r="K156" s="10" t="s">
        <v>21</v>
      </c>
      <c r="L156" s="10" t="s">
        <v>21</v>
      </c>
      <c r="M156" s="10" t="s">
        <v>21</v>
      </c>
      <c r="N156" s="10" t="s">
        <v>21</v>
      </c>
      <c r="O156" s="11" t="s">
        <v>41</v>
      </c>
      <c r="P156" s="11" t="s">
        <v>23</v>
      </c>
      <c r="Q156" s="12">
        <v>80</v>
      </c>
      <c r="R156" s="11" t="s">
        <v>25</v>
      </c>
      <c r="S156" s="3" t="s">
        <v>343</v>
      </c>
      <c r="T156" s="3" t="s">
        <v>344</v>
      </c>
    </row>
    <row r="157" spans="1:20" ht="15.75" customHeight="1" x14ac:dyDescent="0.3">
      <c r="A157" s="7" t="s">
        <v>336</v>
      </c>
      <c r="B157" s="8" t="s">
        <v>19</v>
      </c>
      <c r="C157" s="9" t="s">
        <v>204</v>
      </c>
      <c r="D157" s="5">
        <v>27.47</v>
      </c>
      <c r="E157" s="5">
        <v>36.125</v>
      </c>
      <c r="F157" s="5">
        <v>40.012499999999996</v>
      </c>
      <c r="G157" s="5">
        <v>55.987499999999997</v>
      </c>
      <c r="H157" s="5">
        <v>76.5</v>
      </c>
      <c r="I157" s="5">
        <v>178.27500000000001</v>
      </c>
      <c r="J157" s="10" t="s">
        <v>21</v>
      </c>
      <c r="K157" s="10" t="s">
        <v>21</v>
      </c>
      <c r="L157" s="10" t="s">
        <v>21</v>
      </c>
      <c r="M157" s="10" t="s">
        <v>21</v>
      </c>
      <c r="N157" s="10" t="s">
        <v>21</v>
      </c>
      <c r="O157" s="11" t="s">
        <v>41</v>
      </c>
      <c r="P157" s="11" t="s">
        <v>23</v>
      </c>
      <c r="Q157" s="12">
        <v>80</v>
      </c>
      <c r="R157" s="11" t="s">
        <v>25</v>
      </c>
      <c r="S157" s="3" t="s">
        <v>343</v>
      </c>
      <c r="T157" s="3" t="s">
        <v>344</v>
      </c>
    </row>
    <row r="158" spans="1:20" ht="15.75" customHeight="1" x14ac:dyDescent="0.3">
      <c r="A158" s="7" t="s">
        <v>336</v>
      </c>
      <c r="B158" s="8" t="s">
        <v>19</v>
      </c>
      <c r="C158" s="9" t="s">
        <v>205</v>
      </c>
      <c r="D158" s="5">
        <v>31.72</v>
      </c>
      <c r="E158" s="5">
        <v>42.1875</v>
      </c>
      <c r="F158" s="5">
        <v>47.375</v>
      </c>
      <c r="G158" s="5">
        <v>65.45</v>
      </c>
      <c r="H158" s="5">
        <v>93.375</v>
      </c>
      <c r="I158" s="5">
        <v>201.82500000000002</v>
      </c>
      <c r="J158" s="10" t="s">
        <v>21</v>
      </c>
      <c r="K158" s="10" t="s">
        <v>21</v>
      </c>
      <c r="L158" s="10" t="s">
        <v>21</v>
      </c>
      <c r="M158" s="10" t="s">
        <v>21</v>
      </c>
      <c r="N158" s="10" t="s">
        <v>21</v>
      </c>
      <c r="O158" s="11" t="s">
        <v>35</v>
      </c>
      <c r="P158" s="11" t="s">
        <v>36</v>
      </c>
      <c r="Q158" s="12">
        <v>80</v>
      </c>
      <c r="R158" s="11" t="s">
        <v>25</v>
      </c>
      <c r="S158" s="3" t="s">
        <v>343</v>
      </c>
      <c r="T158" s="3" t="s">
        <v>344</v>
      </c>
    </row>
    <row r="159" spans="1:20" ht="15.75" customHeight="1" x14ac:dyDescent="0.3">
      <c r="A159" s="7" t="s">
        <v>336</v>
      </c>
      <c r="B159" s="8" t="s">
        <v>19</v>
      </c>
      <c r="C159" s="9" t="s">
        <v>206</v>
      </c>
      <c r="D159" s="5">
        <v>31.72</v>
      </c>
      <c r="E159" s="5">
        <v>42.1875</v>
      </c>
      <c r="F159" s="5">
        <v>47.375</v>
      </c>
      <c r="G159" s="5">
        <v>65.45</v>
      </c>
      <c r="H159" s="5">
        <v>93.375</v>
      </c>
      <c r="I159" s="5">
        <v>201.82500000000002</v>
      </c>
      <c r="J159" s="10" t="s">
        <v>21</v>
      </c>
      <c r="K159" s="10" t="s">
        <v>21</v>
      </c>
      <c r="L159" s="10" t="s">
        <v>21</v>
      </c>
      <c r="M159" s="10" t="s">
        <v>21</v>
      </c>
      <c r="N159" s="10" t="s">
        <v>21</v>
      </c>
      <c r="O159" s="11" t="s">
        <v>35</v>
      </c>
      <c r="P159" s="11" t="s">
        <v>36</v>
      </c>
      <c r="Q159" s="12">
        <v>80</v>
      </c>
      <c r="R159" s="11" t="s">
        <v>25</v>
      </c>
      <c r="S159" s="3" t="s">
        <v>343</v>
      </c>
      <c r="T159" s="3" t="s">
        <v>344</v>
      </c>
    </row>
    <row r="160" spans="1:20" ht="15.75" customHeight="1" x14ac:dyDescent="0.3">
      <c r="A160" s="7" t="s">
        <v>336</v>
      </c>
      <c r="B160" s="8" t="s">
        <v>19</v>
      </c>
      <c r="C160" s="9" t="s">
        <v>207</v>
      </c>
      <c r="D160" s="10" t="s">
        <v>21</v>
      </c>
      <c r="E160" s="10" t="s">
        <v>21</v>
      </c>
      <c r="F160" s="10" t="s">
        <v>21</v>
      </c>
      <c r="G160" s="10" t="s">
        <v>21</v>
      </c>
      <c r="H160" s="10" t="s">
        <v>21</v>
      </c>
      <c r="I160" s="10" t="s">
        <v>21</v>
      </c>
      <c r="J160" s="10" t="s">
        <v>21</v>
      </c>
      <c r="K160" s="10" t="s">
        <v>21</v>
      </c>
      <c r="L160" s="10" t="s">
        <v>21</v>
      </c>
      <c r="M160" s="10" t="s">
        <v>21</v>
      </c>
      <c r="N160" s="10" t="s">
        <v>21</v>
      </c>
      <c r="O160" s="11"/>
      <c r="P160" s="11"/>
      <c r="Q160" s="11"/>
      <c r="R160" s="11"/>
      <c r="S160" s="3" t="s">
        <v>343</v>
      </c>
      <c r="T160" s="3" t="s">
        <v>344</v>
      </c>
    </row>
    <row r="161" spans="1:20" ht="15.75" customHeight="1" x14ac:dyDescent="0.3">
      <c r="A161" s="7" t="s">
        <v>336</v>
      </c>
      <c r="B161" s="8" t="s">
        <v>19</v>
      </c>
      <c r="C161" s="9" t="s">
        <v>208</v>
      </c>
      <c r="D161" s="10" t="s">
        <v>21</v>
      </c>
      <c r="E161" s="10" t="s">
        <v>21</v>
      </c>
      <c r="F161" s="10" t="s">
        <v>21</v>
      </c>
      <c r="G161" s="10" t="s">
        <v>21</v>
      </c>
      <c r="H161" s="10" t="s">
        <v>21</v>
      </c>
      <c r="I161" s="10" t="s">
        <v>21</v>
      </c>
      <c r="J161" s="10" t="s">
        <v>21</v>
      </c>
      <c r="K161" s="10" t="s">
        <v>21</v>
      </c>
      <c r="L161" s="10" t="s">
        <v>21</v>
      </c>
      <c r="M161" s="10" t="s">
        <v>21</v>
      </c>
      <c r="N161" s="10" t="s">
        <v>21</v>
      </c>
      <c r="O161" s="11"/>
      <c r="P161" s="11"/>
      <c r="Q161" s="11"/>
      <c r="R161" s="11"/>
      <c r="S161" s="3" t="s">
        <v>343</v>
      </c>
      <c r="T161" s="3" t="s">
        <v>344</v>
      </c>
    </row>
    <row r="162" spans="1:20" ht="15.75" customHeight="1" x14ac:dyDescent="0.3">
      <c r="A162" s="7" t="s">
        <v>336</v>
      </c>
      <c r="B162" s="8" t="s">
        <v>19</v>
      </c>
      <c r="C162" s="9" t="s">
        <v>209</v>
      </c>
      <c r="D162" s="10" t="s">
        <v>21</v>
      </c>
      <c r="E162" s="10" t="s">
        <v>21</v>
      </c>
      <c r="F162" s="10" t="s">
        <v>21</v>
      </c>
      <c r="G162" s="10" t="s">
        <v>21</v>
      </c>
      <c r="H162" s="10" t="s">
        <v>21</v>
      </c>
      <c r="I162" s="10" t="s">
        <v>21</v>
      </c>
      <c r="J162" s="10" t="s">
        <v>21</v>
      </c>
      <c r="K162" s="10" t="s">
        <v>21</v>
      </c>
      <c r="L162" s="10" t="s">
        <v>21</v>
      </c>
      <c r="M162" s="10" t="s">
        <v>21</v>
      </c>
      <c r="N162" s="10" t="s">
        <v>21</v>
      </c>
      <c r="O162" s="11"/>
      <c r="P162" s="11"/>
      <c r="Q162" s="11"/>
      <c r="R162" s="11"/>
      <c r="S162" s="3" t="s">
        <v>343</v>
      </c>
      <c r="T162" s="3" t="s">
        <v>344</v>
      </c>
    </row>
    <row r="163" spans="1:20" ht="15.75" customHeight="1" x14ac:dyDescent="0.3">
      <c r="A163" s="7" t="s">
        <v>336</v>
      </c>
      <c r="B163" s="8" t="s">
        <v>19</v>
      </c>
      <c r="C163" s="9" t="s">
        <v>210</v>
      </c>
      <c r="D163" s="5">
        <v>35.700000000000003</v>
      </c>
      <c r="E163" s="5">
        <v>44.375</v>
      </c>
      <c r="F163" s="5">
        <v>47.375</v>
      </c>
      <c r="G163" s="5">
        <v>56.875</v>
      </c>
      <c r="H163" s="5">
        <v>61.25</v>
      </c>
      <c r="I163" s="5">
        <v>68.75</v>
      </c>
      <c r="J163" s="10" t="s">
        <v>21</v>
      </c>
      <c r="K163" s="10" t="s">
        <v>21</v>
      </c>
      <c r="L163" s="10" t="s">
        <v>21</v>
      </c>
      <c r="M163" s="10" t="s">
        <v>21</v>
      </c>
      <c r="N163" s="10" t="s">
        <v>21</v>
      </c>
      <c r="O163" s="11" t="s">
        <v>61</v>
      </c>
      <c r="P163" s="11" t="s">
        <v>211</v>
      </c>
      <c r="Q163" s="12">
        <v>80</v>
      </c>
      <c r="R163" s="11" t="s">
        <v>25</v>
      </c>
      <c r="S163" s="3" t="s">
        <v>343</v>
      </c>
      <c r="T163" s="3" t="s">
        <v>344</v>
      </c>
    </row>
    <row r="164" spans="1:20" ht="15.75" customHeight="1" x14ac:dyDescent="0.3">
      <c r="A164" s="7" t="s">
        <v>336</v>
      </c>
      <c r="B164" s="8" t="s">
        <v>19</v>
      </c>
      <c r="C164" s="9" t="s">
        <v>212</v>
      </c>
      <c r="D164" s="5">
        <v>35.700000000000003</v>
      </c>
      <c r="E164" s="5">
        <v>44.375</v>
      </c>
      <c r="F164" s="5">
        <v>47.375</v>
      </c>
      <c r="G164" s="5">
        <v>56.875</v>
      </c>
      <c r="H164" s="5">
        <v>61.25</v>
      </c>
      <c r="I164" s="5">
        <v>68.75</v>
      </c>
      <c r="J164" s="10" t="s">
        <v>21</v>
      </c>
      <c r="K164" s="10" t="s">
        <v>21</v>
      </c>
      <c r="L164" s="10" t="s">
        <v>21</v>
      </c>
      <c r="M164" s="10" t="s">
        <v>21</v>
      </c>
      <c r="N164" s="10" t="s">
        <v>21</v>
      </c>
      <c r="O164" s="11" t="s">
        <v>61</v>
      </c>
      <c r="P164" s="11" t="s">
        <v>211</v>
      </c>
      <c r="Q164" s="12">
        <v>80</v>
      </c>
      <c r="R164" s="11" t="s">
        <v>25</v>
      </c>
      <c r="S164" s="3" t="s">
        <v>343</v>
      </c>
      <c r="T164" s="3" t="s">
        <v>344</v>
      </c>
    </row>
    <row r="165" spans="1:20" ht="15.75" customHeight="1" x14ac:dyDescent="0.3">
      <c r="A165" s="7" t="s">
        <v>336</v>
      </c>
      <c r="B165" s="8" t="s">
        <v>19</v>
      </c>
      <c r="C165" s="9" t="s">
        <v>213</v>
      </c>
      <c r="D165" s="5">
        <v>31.72</v>
      </c>
      <c r="E165" s="5">
        <v>42.1875</v>
      </c>
      <c r="F165" s="5">
        <v>47.375</v>
      </c>
      <c r="G165" s="5">
        <v>65.45</v>
      </c>
      <c r="H165" s="5">
        <v>93.375</v>
      </c>
      <c r="I165" s="5">
        <v>201.82500000000002</v>
      </c>
      <c r="J165" s="10" t="s">
        <v>21</v>
      </c>
      <c r="K165" s="10" t="s">
        <v>21</v>
      </c>
      <c r="L165" s="10" t="s">
        <v>21</v>
      </c>
      <c r="M165" s="10" t="s">
        <v>21</v>
      </c>
      <c r="N165" s="10" t="s">
        <v>21</v>
      </c>
      <c r="O165" s="11" t="s">
        <v>35</v>
      </c>
      <c r="P165" s="11" t="s">
        <v>36</v>
      </c>
      <c r="Q165" s="12">
        <v>80</v>
      </c>
      <c r="R165" s="11" t="s">
        <v>25</v>
      </c>
      <c r="S165" s="3" t="s">
        <v>343</v>
      </c>
      <c r="T165" s="3" t="s">
        <v>344</v>
      </c>
    </row>
    <row r="166" spans="1:20" ht="15.75" customHeight="1" x14ac:dyDescent="0.3">
      <c r="A166" s="7" t="s">
        <v>336</v>
      </c>
      <c r="B166" s="8" t="s">
        <v>19</v>
      </c>
      <c r="C166" s="9" t="s">
        <v>214</v>
      </c>
      <c r="D166" s="5">
        <v>23.17</v>
      </c>
      <c r="E166" s="5">
        <v>60</v>
      </c>
      <c r="F166" s="5">
        <v>60</v>
      </c>
      <c r="G166" s="5">
        <v>64.125</v>
      </c>
      <c r="H166" s="5">
        <v>76.25</v>
      </c>
      <c r="I166" s="5">
        <v>83.75</v>
      </c>
      <c r="J166" s="10" t="s">
        <v>21</v>
      </c>
      <c r="K166" s="10" t="s">
        <v>21</v>
      </c>
      <c r="L166" s="10" t="s">
        <v>21</v>
      </c>
      <c r="M166" s="10" t="s">
        <v>21</v>
      </c>
      <c r="N166" s="10" t="s">
        <v>21</v>
      </c>
      <c r="O166" s="11" t="s">
        <v>29</v>
      </c>
      <c r="P166" s="11" t="s">
        <v>69</v>
      </c>
      <c r="Q166" s="12">
        <v>80</v>
      </c>
      <c r="R166" s="11" t="s">
        <v>25</v>
      </c>
      <c r="S166" s="3" t="s">
        <v>343</v>
      </c>
      <c r="T166" s="3" t="s">
        <v>344</v>
      </c>
    </row>
    <row r="167" spans="1:20" ht="15.75" customHeight="1" x14ac:dyDescent="0.3">
      <c r="A167" s="7" t="s">
        <v>336</v>
      </c>
      <c r="B167" s="8" t="s">
        <v>19</v>
      </c>
      <c r="C167" s="9" t="s">
        <v>215</v>
      </c>
      <c r="D167" s="5">
        <v>21.06</v>
      </c>
      <c r="E167" s="5">
        <v>28.075000000000003</v>
      </c>
      <c r="F167" s="5">
        <v>31.662499999999998</v>
      </c>
      <c r="G167" s="5">
        <v>45.05</v>
      </c>
      <c r="H167" s="5">
        <v>70.349999999999994</v>
      </c>
      <c r="I167" s="5">
        <v>133.22499999999999</v>
      </c>
      <c r="J167" s="10" t="s">
        <v>21</v>
      </c>
      <c r="K167" s="10" t="s">
        <v>21</v>
      </c>
      <c r="L167" s="10" t="s">
        <v>21</v>
      </c>
      <c r="M167" s="10" t="s">
        <v>21</v>
      </c>
      <c r="N167" s="10" t="s">
        <v>21</v>
      </c>
      <c r="O167" s="11" t="s">
        <v>29</v>
      </c>
      <c r="P167" s="11" t="s">
        <v>30</v>
      </c>
      <c r="Q167" s="12">
        <v>80</v>
      </c>
      <c r="R167" s="11" t="s">
        <v>25</v>
      </c>
      <c r="S167" s="3" t="s">
        <v>343</v>
      </c>
      <c r="T167" s="3" t="s">
        <v>344</v>
      </c>
    </row>
    <row r="168" spans="1:20" ht="15.75" customHeight="1" x14ac:dyDescent="0.3">
      <c r="A168" s="7" t="s">
        <v>336</v>
      </c>
      <c r="B168" s="8" t="s">
        <v>19</v>
      </c>
      <c r="C168" s="9" t="s">
        <v>216</v>
      </c>
      <c r="D168" s="5">
        <v>21.06</v>
      </c>
      <c r="E168" s="5">
        <v>28.075000000000003</v>
      </c>
      <c r="F168" s="5">
        <v>31.662499999999998</v>
      </c>
      <c r="G168" s="5">
        <v>45.05</v>
      </c>
      <c r="H168" s="5">
        <v>70.349999999999994</v>
      </c>
      <c r="I168" s="5">
        <v>133.22499999999999</v>
      </c>
      <c r="J168" s="10" t="s">
        <v>21</v>
      </c>
      <c r="K168" s="10" t="s">
        <v>21</v>
      </c>
      <c r="L168" s="10" t="s">
        <v>21</v>
      </c>
      <c r="M168" s="10" t="s">
        <v>21</v>
      </c>
      <c r="N168" s="10" t="s">
        <v>21</v>
      </c>
      <c r="O168" s="11" t="s">
        <v>29</v>
      </c>
      <c r="P168" s="11" t="s">
        <v>30</v>
      </c>
      <c r="Q168" s="12">
        <v>80</v>
      </c>
      <c r="R168" s="11" t="s">
        <v>25</v>
      </c>
      <c r="S168" s="3" t="s">
        <v>343</v>
      </c>
      <c r="T168" s="3" t="s">
        <v>344</v>
      </c>
    </row>
    <row r="169" spans="1:20" ht="15.75" customHeight="1" x14ac:dyDescent="0.3">
      <c r="A169" s="7" t="s">
        <v>336</v>
      </c>
      <c r="B169" s="8" t="s">
        <v>19</v>
      </c>
      <c r="C169" s="9" t="s">
        <v>217</v>
      </c>
      <c r="D169" s="5">
        <v>31.72</v>
      </c>
      <c r="E169" s="5">
        <v>42.1875</v>
      </c>
      <c r="F169" s="5">
        <v>47.375</v>
      </c>
      <c r="G169" s="5">
        <v>65.45</v>
      </c>
      <c r="H169" s="5">
        <v>93.375</v>
      </c>
      <c r="I169" s="5">
        <v>201.82500000000002</v>
      </c>
      <c r="J169" s="10" t="s">
        <v>21</v>
      </c>
      <c r="K169" s="10" t="s">
        <v>21</v>
      </c>
      <c r="L169" s="10" t="s">
        <v>21</v>
      </c>
      <c r="M169" s="10" t="s">
        <v>21</v>
      </c>
      <c r="N169" s="10" t="s">
        <v>21</v>
      </c>
      <c r="O169" s="11" t="s">
        <v>35</v>
      </c>
      <c r="P169" s="11" t="s">
        <v>36</v>
      </c>
      <c r="Q169" s="12">
        <v>80</v>
      </c>
      <c r="R169" s="11" t="s">
        <v>25</v>
      </c>
      <c r="S169" s="3" t="s">
        <v>343</v>
      </c>
      <c r="T169" s="3" t="s">
        <v>344</v>
      </c>
    </row>
    <row r="170" spans="1:20" ht="15.75" customHeight="1" x14ac:dyDescent="0.3">
      <c r="A170" s="7" t="s">
        <v>336</v>
      </c>
      <c r="B170" s="8" t="s">
        <v>19</v>
      </c>
      <c r="C170" s="9" t="s">
        <v>218</v>
      </c>
      <c r="D170" s="5">
        <v>21.06</v>
      </c>
      <c r="E170" s="5">
        <v>28.075000000000003</v>
      </c>
      <c r="F170" s="5">
        <v>31.662499999999998</v>
      </c>
      <c r="G170" s="5">
        <v>45.05</v>
      </c>
      <c r="H170" s="5">
        <v>70.349999999999994</v>
      </c>
      <c r="I170" s="5">
        <v>133.22499999999999</v>
      </c>
      <c r="J170" s="10" t="s">
        <v>21</v>
      </c>
      <c r="K170" s="10" t="s">
        <v>21</v>
      </c>
      <c r="L170" s="10" t="s">
        <v>21</v>
      </c>
      <c r="M170" s="10" t="s">
        <v>21</v>
      </c>
      <c r="N170" s="10" t="s">
        <v>21</v>
      </c>
      <c r="O170" s="11" t="s">
        <v>29</v>
      </c>
      <c r="P170" s="11" t="s">
        <v>30</v>
      </c>
      <c r="Q170" s="12">
        <v>80</v>
      </c>
      <c r="R170" s="11" t="s">
        <v>25</v>
      </c>
      <c r="S170" s="3" t="s">
        <v>343</v>
      </c>
      <c r="T170" s="3" t="s">
        <v>344</v>
      </c>
    </row>
    <row r="171" spans="1:20" ht="15.75" customHeight="1" x14ac:dyDescent="0.3">
      <c r="A171" s="7" t="s">
        <v>336</v>
      </c>
      <c r="B171" s="8" t="s">
        <v>19</v>
      </c>
      <c r="C171" s="9" t="s">
        <v>219</v>
      </c>
      <c r="D171" s="5">
        <v>27.47</v>
      </c>
      <c r="E171" s="5">
        <v>36.125</v>
      </c>
      <c r="F171" s="5">
        <v>40.012499999999996</v>
      </c>
      <c r="G171" s="5">
        <v>55.987499999999997</v>
      </c>
      <c r="H171" s="5">
        <v>76.5</v>
      </c>
      <c r="I171" s="5">
        <v>178.27500000000001</v>
      </c>
      <c r="J171" s="10" t="s">
        <v>21</v>
      </c>
      <c r="K171" s="10" t="s">
        <v>21</v>
      </c>
      <c r="L171" s="10" t="s">
        <v>21</v>
      </c>
      <c r="M171" s="10" t="s">
        <v>21</v>
      </c>
      <c r="N171" s="10" t="s">
        <v>21</v>
      </c>
      <c r="O171" s="11" t="s">
        <v>41</v>
      </c>
      <c r="P171" s="11" t="s">
        <v>23</v>
      </c>
      <c r="Q171" s="12">
        <v>80</v>
      </c>
      <c r="R171" s="11" t="s">
        <v>25</v>
      </c>
      <c r="S171" s="3" t="s">
        <v>343</v>
      </c>
      <c r="T171" s="3" t="s">
        <v>344</v>
      </c>
    </row>
    <row r="172" spans="1:20" ht="15.75" customHeight="1" x14ac:dyDescent="0.3">
      <c r="A172" s="7" t="s">
        <v>336</v>
      </c>
      <c r="B172" s="8" t="s">
        <v>19</v>
      </c>
      <c r="C172" s="9" t="s">
        <v>220</v>
      </c>
      <c r="D172" s="5">
        <v>31.72</v>
      </c>
      <c r="E172" s="5">
        <v>42.1875</v>
      </c>
      <c r="F172" s="5">
        <v>47.375</v>
      </c>
      <c r="G172" s="5">
        <v>65.45</v>
      </c>
      <c r="H172" s="5">
        <v>93.375</v>
      </c>
      <c r="I172" s="5">
        <v>201.82500000000002</v>
      </c>
      <c r="J172" s="10" t="s">
        <v>21</v>
      </c>
      <c r="K172" s="10" t="s">
        <v>21</v>
      </c>
      <c r="L172" s="10" t="s">
        <v>21</v>
      </c>
      <c r="M172" s="10" t="s">
        <v>21</v>
      </c>
      <c r="N172" s="10" t="s">
        <v>21</v>
      </c>
      <c r="O172" s="11" t="s">
        <v>35</v>
      </c>
      <c r="P172" s="11" t="s">
        <v>36</v>
      </c>
      <c r="Q172" s="12">
        <v>80</v>
      </c>
      <c r="R172" s="11" t="s">
        <v>25</v>
      </c>
      <c r="S172" s="3" t="s">
        <v>343</v>
      </c>
      <c r="T172" s="3" t="s">
        <v>344</v>
      </c>
    </row>
    <row r="173" spans="1:20" ht="15.75" customHeight="1" x14ac:dyDescent="0.3">
      <c r="A173" s="7" t="s">
        <v>336</v>
      </c>
      <c r="B173" s="8" t="s">
        <v>19</v>
      </c>
      <c r="C173" s="9" t="s">
        <v>221</v>
      </c>
      <c r="D173" s="5">
        <v>27.47</v>
      </c>
      <c r="E173" s="5">
        <v>36.125</v>
      </c>
      <c r="F173" s="5">
        <v>40.012499999999996</v>
      </c>
      <c r="G173" s="5">
        <v>55.987499999999997</v>
      </c>
      <c r="H173" s="5">
        <v>76.5</v>
      </c>
      <c r="I173" s="5">
        <v>178.27500000000001</v>
      </c>
      <c r="J173" s="10" t="s">
        <v>21</v>
      </c>
      <c r="K173" s="10" t="s">
        <v>21</v>
      </c>
      <c r="L173" s="10" t="s">
        <v>21</v>
      </c>
      <c r="M173" s="10" t="s">
        <v>21</v>
      </c>
      <c r="N173" s="10" t="s">
        <v>21</v>
      </c>
      <c r="O173" s="11" t="s">
        <v>41</v>
      </c>
      <c r="P173" s="11" t="s">
        <v>23</v>
      </c>
      <c r="Q173" s="12">
        <v>80</v>
      </c>
      <c r="R173" s="11" t="s">
        <v>25</v>
      </c>
      <c r="S173" s="3" t="s">
        <v>343</v>
      </c>
      <c r="T173" s="3" t="s">
        <v>344</v>
      </c>
    </row>
    <row r="174" spans="1:20" ht="15.75" customHeight="1" x14ac:dyDescent="0.3">
      <c r="A174" s="7" t="s">
        <v>336</v>
      </c>
      <c r="B174" s="8" t="s">
        <v>19</v>
      </c>
      <c r="C174" s="9" t="s">
        <v>222</v>
      </c>
      <c r="D174" s="5">
        <v>27.47</v>
      </c>
      <c r="E174" s="5">
        <v>36.125</v>
      </c>
      <c r="F174" s="5">
        <v>40.012499999999996</v>
      </c>
      <c r="G174" s="5">
        <v>55.987499999999997</v>
      </c>
      <c r="H174" s="5">
        <v>76.5</v>
      </c>
      <c r="I174" s="5">
        <v>178.27500000000001</v>
      </c>
      <c r="J174" s="10" t="s">
        <v>21</v>
      </c>
      <c r="K174" s="10" t="s">
        <v>21</v>
      </c>
      <c r="L174" s="10" t="s">
        <v>21</v>
      </c>
      <c r="M174" s="10" t="s">
        <v>21</v>
      </c>
      <c r="N174" s="10" t="s">
        <v>21</v>
      </c>
      <c r="O174" s="11" t="s">
        <v>41</v>
      </c>
      <c r="P174" s="11" t="s">
        <v>23</v>
      </c>
      <c r="Q174" s="12">
        <v>80</v>
      </c>
      <c r="R174" s="11" t="s">
        <v>25</v>
      </c>
      <c r="S174" s="3" t="s">
        <v>343</v>
      </c>
      <c r="T174" s="3" t="s">
        <v>344</v>
      </c>
    </row>
    <row r="175" spans="1:20" ht="15.75" customHeight="1" x14ac:dyDescent="0.3">
      <c r="A175" s="7" t="s">
        <v>336</v>
      </c>
      <c r="B175" s="8" t="s">
        <v>19</v>
      </c>
      <c r="C175" s="9" t="s">
        <v>223</v>
      </c>
      <c r="D175" s="5">
        <v>29</v>
      </c>
      <c r="E175" s="5">
        <v>33.050000000000004</v>
      </c>
      <c r="F175" s="5">
        <v>38.75</v>
      </c>
      <c r="G175" s="5">
        <v>54.875</v>
      </c>
      <c r="H175" s="5">
        <v>78.75</v>
      </c>
      <c r="I175" s="5">
        <v>138.75</v>
      </c>
      <c r="J175" s="10" t="s">
        <v>21</v>
      </c>
      <c r="K175" s="10" t="s">
        <v>21</v>
      </c>
      <c r="L175" s="10" t="s">
        <v>21</v>
      </c>
      <c r="M175" s="10" t="s">
        <v>21</v>
      </c>
      <c r="N175" s="10" t="s">
        <v>21</v>
      </c>
      <c r="O175" s="11" t="s">
        <v>41</v>
      </c>
      <c r="P175" s="11" t="s">
        <v>143</v>
      </c>
      <c r="Q175" s="12">
        <v>80</v>
      </c>
      <c r="R175" s="11" t="s">
        <v>25</v>
      </c>
      <c r="S175" s="3" t="s">
        <v>343</v>
      </c>
      <c r="T175" s="3" t="s">
        <v>344</v>
      </c>
    </row>
    <row r="176" spans="1:20" ht="15.75" customHeight="1" x14ac:dyDescent="0.3">
      <c r="A176" s="7" t="s">
        <v>336</v>
      </c>
      <c r="B176" s="8" t="s">
        <v>19</v>
      </c>
      <c r="C176" s="9" t="s">
        <v>224</v>
      </c>
      <c r="D176" s="10" t="s">
        <v>21</v>
      </c>
      <c r="E176" s="10" t="s">
        <v>21</v>
      </c>
      <c r="F176" s="10" t="s">
        <v>21</v>
      </c>
      <c r="G176" s="10" t="s">
        <v>21</v>
      </c>
      <c r="H176" s="10" t="s">
        <v>21</v>
      </c>
      <c r="I176" s="10" t="s">
        <v>21</v>
      </c>
      <c r="J176" s="10" t="s">
        <v>21</v>
      </c>
      <c r="K176" s="10" t="s">
        <v>21</v>
      </c>
      <c r="L176" s="10" t="s">
        <v>21</v>
      </c>
      <c r="M176" s="10" t="s">
        <v>21</v>
      </c>
      <c r="N176" s="10" t="s">
        <v>21</v>
      </c>
      <c r="O176" s="11"/>
      <c r="P176" s="11"/>
      <c r="Q176" s="11"/>
      <c r="R176" s="11"/>
      <c r="S176" s="3" t="s">
        <v>343</v>
      </c>
      <c r="T176" s="3" t="s">
        <v>344</v>
      </c>
    </row>
    <row r="177" spans="1:20" ht="15.75" customHeight="1" x14ac:dyDescent="0.3">
      <c r="A177" s="7" t="s">
        <v>337</v>
      </c>
      <c r="B177" s="8" t="s">
        <v>19</v>
      </c>
      <c r="C177" s="13" t="s">
        <v>225</v>
      </c>
      <c r="D177" s="14">
        <v>28</v>
      </c>
      <c r="E177" s="14">
        <v>32.5</v>
      </c>
      <c r="F177" s="14">
        <v>36.25</v>
      </c>
      <c r="G177" s="14">
        <v>38.75</v>
      </c>
      <c r="H177" s="14">
        <v>41.25</v>
      </c>
      <c r="I177" s="14">
        <v>55</v>
      </c>
      <c r="J177" s="14">
        <v>62.5</v>
      </c>
      <c r="K177" s="14">
        <v>71.25</v>
      </c>
      <c r="L177" s="14">
        <v>98.75</v>
      </c>
      <c r="M177" s="14">
        <v>106.25</v>
      </c>
      <c r="N177" s="14">
        <v>111.25</v>
      </c>
      <c r="O177" s="15" t="s">
        <v>61</v>
      </c>
      <c r="P177" s="15" t="s">
        <v>23</v>
      </c>
      <c r="Q177" s="16">
        <v>80</v>
      </c>
      <c r="R177" s="15" t="s">
        <v>25</v>
      </c>
      <c r="S177" s="3" t="s">
        <v>343</v>
      </c>
      <c r="T177" s="3" t="s">
        <v>344</v>
      </c>
    </row>
    <row r="178" spans="1:20" ht="15.75" customHeight="1" x14ac:dyDescent="0.3">
      <c r="A178" s="7" t="s">
        <v>336</v>
      </c>
      <c r="B178" s="8" t="s">
        <v>19</v>
      </c>
      <c r="C178" s="13" t="s">
        <v>226</v>
      </c>
      <c r="D178" s="14">
        <v>23</v>
      </c>
      <c r="E178" s="14">
        <v>24.625</v>
      </c>
      <c r="F178" s="14">
        <v>25</v>
      </c>
      <c r="G178" s="14">
        <v>26.25</v>
      </c>
      <c r="H178" s="14">
        <v>30.625</v>
      </c>
      <c r="I178" s="14">
        <v>37.5</v>
      </c>
      <c r="J178" s="14">
        <v>47.5</v>
      </c>
      <c r="K178" s="14">
        <v>52.5</v>
      </c>
      <c r="L178" s="14">
        <v>77.5</v>
      </c>
      <c r="M178" s="14">
        <v>72.5</v>
      </c>
      <c r="N178" s="14">
        <v>86.25</v>
      </c>
      <c r="O178" s="15" t="s">
        <v>29</v>
      </c>
      <c r="P178" s="15" t="s">
        <v>23</v>
      </c>
      <c r="Q178" s="16">
        <v>80</v>
      </c>
      <c r="R178" s="15" t="s">
        <v>25</v>
      </c>
      <c r="S178" s="3" t="s">
        <v>343</v>
      </c>
      <c r="T178" s="3" t="s">
        <v>344</v>
      </c>
    </row>
    <row r="179" spans="1:20" ht="15.75" customHeight="1" x14ac:dyDescent="0.3">
      <c r="A179" s="7" t="s">
        <v>336</v>
      </c>
      <c r="B179" s="8" t="s">
        <v>19</v>
      </c>
      <c r="C179" s="9" t="s">
        <v>227</v>
      </c>
      <c r="D179" s="5">
        <v>27.47</v>
      </c>
      <c r="E179" s="5">
        <v>36.125</v>
      </c>
      <c r="F179" s="5">
        <v>40.012499999999996</v>
      </c>
      <c r="G179" s="5">
        <v>55.987499999999997</v>
      </c>
      <c r="H179" s="5">
        <v>76.5</v>
      </c>
      <c r="I179" s="5">
        <v>178.27500000000001</v>
      </c>
      <c r="J179" s="10" t="s">
        <v>21</v>
      </c>
      <c r="K179" s="10" t="s">
        <v>21</v>
      </c>
      <c r="L179" s="10" t="s">
        <v>21</v>
      </c>
      <c r="M179" s="10" t="s">
        <v>21</v>
      </c>
      <c r="N179" s="10" t="s">
        <v>21</v>
      </c>
      <c r="O179" s="11" t="s">
        <v>41</v>
      </c>
      <c r="P179" s="11" t="s">
        <v>23</v>
      </c>
      <c r="Q179" s="12">
        <v>80</v>
      </c>
      <c r="R179" s="11" t="s">
        <v>25</v>
      </c>
      <c r="S179" s="3" t="s">
        <v>343</v>
      </c>
      <c r="T179" s="3" t="s">
        <v>344</v>
      </c>
    </row>
    <row r="180" spans="1:20" ht="15.75" customHeight="1" x14ac:dyDescent="0.3">
      <c r="A180" s="7" t="s">
        <v>336</v>
      </c>
      <c r="B180" s="8" t="s">
        <v>19</v>
      </c>
      <c r="C180" s="9" t="s">
        <v>228</v>
      </c>
      <c r="D180" s="5">
        <v>21.06</v>
      </c>
      <c r="E180" s="5">
        <v>28.075000000000003</v>
      </c>
      <c r="F180" s="5">
        <v>31.662499999999998</v>
      </c>
      <c r="G180" s="5">
        <v>45.05</v>
      </c>
      <c r="H180" s="5">
        <v>70.349999999999994</v>
      </c>
      <c r="I180" s="5">
        <v>133.22499999999999</v>
      </c>
      <c r="J180" s="10" t="s">
        <v>21</v>
      </c>
      <c r="K180" s="10" t="s">
        <v>21</v>
      </c>
      <c r="L180" s="10" t="s">
        <v>21</v>
      </c>
      <c r="M180" s="10" t="s">
        <v>21</v>
      </c>
      <c r="N180" s="10" t="s">
        <v>21</v>
      </c>
      <c r="O180" s="11" t="s">
        <v>29</v>
      </c>
      <c r="P180" s="11" t="s">
        <v>30</v>
      </c>
      <c r="Q180" s="12">
        <v>80</v>
      </c>
      <c r="R180" s="11" t="s">
        <v>25</v>
      </c>
      <c r="S180" s="3" t="s">
        <v>343</v>
      </c>
      <c r="T180" s="3" t="s">
        <v>344</v>
      </c>
    </row>
    <row r="181" spans="1:20" ht="15.75" customHeight="1" x14ac:dyDescent="0.3">
      <c r="A181" s="7" t="s">
        <v>336</v>
      </c>
      <c r="B181" s="8" t="s">
        <v>19</v>
      </c>
      <c r="C181" s="9" t="s">
        <v>229</v>
      </c>
      <c r="D181" s="5">
        <v>31.72</v>
      </c>
      <c r="E181" s="5">
        <v>42.1875</v>
      </c>
      <c r="F181" s="5">
        <v>47.375</v>
      </c>
      <c r="G181" s="5">
        <v>65.45</v>
      </c>
      <c r="H181" s="5">
        <v>93.375</v>
      </c>
      <c r="I181" s="5">
        <v>201.82500000000002</v>
      </c>
      <c r="J181" s="10" t="s">
        <v>21</v>
      </c>
      <c r="K181" s="10" t="s">
        <v>21</v>
      </c>
      <c r="L181" s="10" t="s">
        <v>21</v>
      </c>
      <c r="M181" s="10" t="s">
        <v>21</v>
      </c>
      <c r="N181" s="10" t="s">
        <v>21</v>
      </c>
      <c r="O181" s="11" t="s">
        <v>35</v>
      </c>
      <c r="P181" s="11" t="s">
        <v>36</v>
      </c>
      <c r="Q181" s="12">
        <v>80</v>
      </c>
      <c r="R181" s="11" t="s">
        <v>25</v>
      </c>
      <c r="S181" s="3" t="s">
        <v>343</v>
      </c>
      <c r="T181" s="3" t="s">
        <v>344</v>
      </c>
    </row>
    <row r="182" spans="1:20" ht="15.75" customHeight="1" x14ac:dyDescent="0.3">
      <c r="A182" s="7" t="s">
        <v>336</v>
      </c>
      <c r="B182" s="8" t="s">
        <v>19</v>
      </c>
      <c r="C182" s="9" t="s">
        <v>230</v>
      </c>
      <c r="D182" s="5">
        <v>27</v>
      </c>
      <c r="E182" s="5">
        <v>33.75</v>
      </c>
      <c r="F182" s="5">
        <v>36.25</v>
      </c>
      <c r="G182" s="5">
        <v>38.75</v>
      </c>
      <c r="H182" s="5">
        <v>41.25</v>
      </c>
      <c r="I182" s="5">
        <v>55</v>
      </c>
      <c r="J182" s="10" t="s">
        <v>21</v>
      </c>
      <c r="K182" s="10" t="s">
        <v>21</v>
      </c>
      <c r="L182" s="10" t="s">
        <v>21</v>
      </c>
      <c r="M182" s="10" t="s">
        <v>21</v>
      </c>
      <c r="N182" s="10" t="s">
        <v>21</v>
      </c>
      <c r="O182" s="11" t="s">
        <v>29</v>
      </c>
      <c r="P182" s="11" t="s">
        <v>69</v>
      </c>
      <c r="Q182" s="12">
        <v>80</v>
      </c>
      <c r="R182" s="11" t="s">
        <v>25</v>
      </c>
      <c r="S182" s="3" t="s">
        <v>343</v>
      </c>
      <c r="T182" s="3" t="s">
        <v>344</v>
      </c>
    </row>
    <row r="183" spans="1:20" ht="15.75" customHeight="1" x14ac:dyDescent="0.3">
      <c r="A183" s="7" t="s">
        <v>336</v>
      </c>
      <c r="B183" s="8" t="s">
        <v>19</v>
      </c>
      <c r="C183" s="9" t="s">
        <v>231</v>
      </c>
      <c r="D183" s="10" t="s">
        <v>21</v>
      </c>
      <c r="E183" s="10" t="s">
        <v>21</v>
      </c>
      <c r="F183" s="10" t="s">
        <v>21</v>
      </c>
      <c r="G183" s="10" t="s">
        <v>21</v>
      </c>
      <c r="H183" s="10" t="s">
        <v>21</v>
      </c>
      <c r="I183" s="10" t="s">
        <v>21</v>
      </c>
      <c r="J183" s="10" t="s">
        <v>21</v>
      </c>
      <c r="K183" s="10" t="s">
        <v>21</v>
      </c>
      <c r="L183" s="10" t="s">
        <v>21</v>
      </c>
      <c r="M183" s="10" t="s">
        <v>21</v>
      </c>
      <c r="N183" s="10" t="s">
        <v>21</v>
      </c>
      <c r="O183" s="11"/>
      <c r="P183" s="11"/>
      <c r="Q183" s="11"/>
      <c r="R183" s="11"/>
      <c r="S183" s="3" t="s">
        <v>343</v>
      </c>
      <c r="T183" s="3" t="s">
        <v>344</v>
      </c>
    </row>
    <row r="184" spans="1:20" ht="15.75" customHeight="1" x14ac:dyDescent="0.3">
      <c r="A184" s="7" t="s">
        <v>336</v>
      </c>
      <c r="B184" s="8" t="s">
        <v>19</v>
      </c>
      <c r="C184" s="9" t="s">
        <v>232</v>
      </c>
      <c r="D184" s="5">
        <v>35.89</v>
      </c>
      <c r="E184" s="5">
        <v>42.125</v>
      </c>
      <c r="F184" s="5">
        <v>47.375</v>
      </c>
      <c r="G184" s="5">
        <v>65.375</v>
      </c>
      <c r="H184" s="5">
        <v>93.25</v>
      </c>
      <c r="I184" s="5">
        <v>202.5</v>
      </c>
      <c r="J184" s="10" t="s">
        <v>21</v>
      </c>
      <c r="K184" s="10" t="s">
        <v>21</v>
      </c>
      <c r="L184" s="10" t="s">
        <v>21</v>
      </c>
      <c r="M184" s="10" t="s">
        <v>21</v>
      </c>
      <c r="N184" s="10" t="s">
        <v>21</v>
      </c>
      <c r="O184" s="11" t="s">
        <v>38</v>
      </c>
      <c r="P184" s="11" t="s">
        <v>39</v>
      </c>
      <c r="Q184" s="12">
        <v>80</v>
      </c>
      <c r="R184" s="11" t="s">
        <v>25</v>
      </c>
      <c r="S184" s="3" t="s">
        <v>343</v>
      </c>
      <c r="T184" s="3" t="s">
        <v>344</v>
      </c>
    </row>
    <row r="185" spans="1:20" ht="15.75" customHeight="1" x14ac:dyDescent="0.3">
      <c r="A185" s="7" t="s">
        <v>336</v>
      </c>
      <c r="B185" s="8" t="s">
        <v>19</v>
      </c>
      <c r="C185" s="9" t="s">
        <v>233</v>
      </c>
      <c r="D185" s="10" t="s">
        <v>21</v>
      </c>
      <c r="E185" s="10" t="s">
        <v>21</v>
      </c>
      <c r="F185" s="10" t="s">
        <v>21</v>
      </c>
      <c r="G185" s="10" t="s">
        <v>21</v>
      </c>
      <c r="H185" s="10" t="s">
        <v>21</v>
      </c>
      <c r="I185" s="10" t="s">
        <v>21</v>
      </c>
      <c r="J185" s="10" t="s">
        <v>21</v>
      </c>
      <c r="K185" s="10" t="s">
        <v>21</v>
      </c>
      <c r="L185" s="10" t="s">
        <v>21</v>
      </c>
      <c r="M185" s="10" t="s">
        <v>21</v>
      </c>
      <c r="N185" s="10" t="s">
        <v>21</v>
      </c>
      <c r="O185" s="11"/>
      <c r="P185" s="11"/>
      <c r="Q185" s="11"/>
      <c r="R185" s="11"/>
      <c r="S185" s="3" t="s">
        <v>343</v>
      </c>
      <c r="T185" s="3" t="s">
        <v>344</v>
      </c>
    </row>
    <row r="186" spans="1:20" ht="15.75" customHeight="1" x14ac:dyDescent="0.3">
      <c r="A186" s="7" t="s">
        <v>336</v>
      </c>
      <c r="B186" s="8" t="s">
        <v>19</v>
      </c>
      <c r="C186" s="9" t="s">
        <v>234</v>
      </c>
      <c r="D186" s="10" t="s">
        <v>21</v>
      </c>
      <c r="E186" s="10" t="s">
        <v>21</v>
      </c>
      <c r="F186" s="10" t="s">
        <v>21</v>
      </c>
      <c r="G186" s="10" t="s">
        <v>21</v>
      </c>
      <c r="H186" s="10" t="s">
        <v>21</v>
      </c>
      <c r="I186" s="10" t="s">
        <v>21</v>
      </c>
      <c r="J186" s="10" t="s">
        <v>21</v>
      </c>
      <c r="K186" s="10" t="s">
        <v>21</v>
      </c>
      <c r="L186" s="10" t="s">
        <v>21</v>
      </c>
      <c r="M186" s="10" t="s">
        <v>21</v>
      </c>
      <c r="N186" s="10" t="s">
        <v>21</v>
      </c>
      <c r="O186" s="11"/>
      <c r="P186" s="11"/>
      <c r="Q186" s="11"/>
      <c r="R186" s="11"/>
      <c r="S186" s="3" t="s">
        <v>343</v>
      </c>
      <c r="T186" s="3" t="s">
        <v>344</v>
      </c>
    </row>
    <row r="187" spans="1:20" ht="15.75" customHeight="1" x14ac:dyDescent="0.3">
      <c r="A187" s="7" t="s">
        <v>336</v>
      </c>
      <c r="B187" s="8" t="s">
        <v>19</v>
      </c>
      <c r="C187" s="9" t="s">
        <v>235</v>
      </c>
      <c r="D187" s="5">
        <v>27.47</v>
      </c>
      <c r="E187" s="5">
        <v>36.125</v>
      </c>
      <c r="F187" s="5">
        <v>40.012499999999996</v>
      </c>
      <c r="G187" s="5">
        <v>55.987499999999997</v>
      </c>
      <c r="H187" s="5">
        <v>76.5</v>
      </c>
      <c r="I187" s="5">
        <v>178.27500000000001</v>
      </c>
      <c r="J187" s="10" t="s">
        <v>21</v>
      </c>
      <c r="K187" s="10" t="s">
        <v>21</v>
      </c>
      <c r="L187" s="10" t="s">
        <v>21</v>
      </c>
      <c r="M187" s="10" t="s">
        <v>21</v>
      </c>
      <c r="N187" s="10" t="s">
        <v>21</v>
      </c>
      <c r="O187" s="11" t="s">
        <v>41</v>
      </c>
      <c r="P187" s="11" t="s">
        <v>23</v>
      </c>
      <c r="Q187" s="12">
        <v>80</v>
      </c>
      <c r="R187" s="11" t="s">
        <v>25</v>
      </c>
      <c r="S187" s="3" t="s">
        <v>343</v>
      </c>
      <c r="T187" s="3" t="s">
        <v>344</v>
      </c>
    </row>
    <row r="188" spans="1:20" ht="15.75" customHeight="1" x14ac:dyDescent="0.3">
      <c r="A188" s="7" t="s">
        <v>336</v>
      </c>
      <c r="B188" s="8" t="s">
        <v>19</v>
      </c>
      <c r="C188" s="9" t="s">
        <v>236</v>
      </c>
      <c r="D188" s="5">
        <v>27.47</v>
      </c>
      <c r="E188" s="5">
        <v>36.125</v>
      </c>
      <c r="F188" s="5">
        <v>40.012499999999996</v>
      </c>
      <c r="G188" s="5">
        <v>55.987499999999997</v>
      </c>
      <c r="H188" s="5">
        <v>76.5</v>
      </c>
      <c r="I188" s="5">
        <v>178.27500000000001</v>
      </c>
      <c r="J188" s="10" t="s">
        <v>21</v>
      </c>
      <c r="K188" s="10" t="s">
        <v>21</v>
      </c>
      <c r="L188" s="10" t="s">
        <v>21</v>
      </c>
      <c r="M188" s="10" t="s">
        <v>21</v>
      </c>
      <c r="N188" s="10" t="s">
        <v>21</v>
      </c>
      <c r="O188" s="11" t="s">
        <v>41</v>
      </c>
      <c r="P188" s="11" t="s">
        <v>23</v>
      </c>
      <c r="Q188" s="12">
        <v>80</v>
      </c>
      <c r="R188" s="11" t="s">
        <v>25</v>
      </c>
      <c r="S188" s="3" t="s">
        <v>343</v>
      </c>
      <c r="T188" s="3" t="s">
        <v>344</v>
      </c>
    </row>
    <row r="189" spans="1:20" ht="15.75" customHeight="1" x14ac:dyDescent="0.3">
      <c r="A189" s="7" t="s">
        <v>336</v>
      </c>
      <c r="B189" s="8" t="s">
        <v>19</v>
      </c>
      <c r="C189" s="9" t="s">
        <v>237</v>
      </c>
      <c r="D189" s="5">
        <v>27.47</v>
      </c>
      <c r="E189" s="5">
        <v>36.125</v>
      </c>
      <c r="F189" s="5">
        <v>40.012499999999996</v>
      </c>
      <c r="G189" s="5">
        <v>55.987499999999997</v>
      </c>
      <c r="H189" s="5">
        <v>76.5</v>
      </c>
      <c r="I189" s="5">
        <v>178.27500000000001</v>
      </c>
      <c r="J189" s="10" t="s">
        <v>21</v>
      </c>
      <c r="K189" s="10" t="s">
        <v>21</v>
      </c>
      <c r="L189" s="10" t="s">
        <v>21</v>
      </c>
      <c r="M189" s="10" t="s">
        <v>21</v>
      </c>
      <c r="N189" s="10" t="s">
        <v>21</v>
      </c>
      <c r="O189" s="11" t="s">
        <v>41</v>
      </c>
      <c r="P189" s="11" t="s">
        <v>23</v>
      </c>
      <c r="Q189" s="12">
        <v>80</v>
      </c>
      <c r="R189" s="11" t="s">
        <v>25</v>
      </c>
      <c r="S189" s="3" t="s">
        <v>343</v>
      </c>
      <c r="T189" s="3" t="s">
        <v>344</v>
      </c>
    </row>
    <row r="190" spans="1:20" ht="15.75" customHeight="1" x14ac:dyDescent="0.3">
      <c r="A190" s="7" t="s">
        <v>336</v>
      </c>
      <c r="B190" s="8" t="s">
        <v>19</v>
      </c>
      <c r="C190" s="9" t="s">
        <v>238</v>
      </c>
      <c r="D190" s="10" t="s">
        <v>21</v>
      </c>
      <c r="E190" s="10" t="s">
        <v>21</v>
      </c>
      <c r="F190" s="10" t="s">
        <v>21</v>
      </c>
      <c r="G190" s="10" t="s">
        <v>21</v>
      </c>
      <c r="H190" s="10" t="s">
        <v>21</v>
      </c>
      <c r="I190" s="10" t="s">
        <v>21</v>
      </c>
      <c r="J190" s="10" t="s">
        <v>21</v>
      </c>
      <c r="K190" s="10" t="s">
        <v>21</v>
      </c>
      <c r="L190" s="10" t="s">
        <v>21</v>
      </c>
      <c r="M190" s="10" t="s">
        <v>21</v>
      </c>
      <c r="N190" s="10" t="s">
        <v>21</v>
      </c>
      <c r="O190" s="11"/>
      <c r="P190" s="11"/>
      <c r="Q190" s="11"/>
      <c r="R190" s="11"/>
      <c r="S190" s="3" t="s">
        <v>343</v>
      </c>
      <c r="T190" s="3" t="s">
        <v>344</v>
      </c>
    </row>
    <row r="191" spans="1:20" ht="15.75" customHeight="1" x14ac:dyDescent="0.3">
      <c r="A191" s="7" t="s">
        <v>336</v>
      </c>
      <c r="B191" s="8" t="s">
        <v>19</v>
      </c>
      <c r="C191" s="9" t="s">
        <v>239</v>
      </c>
      <c r="D191" s="5">
        <v>27.47</v>
      </c>
      <c r="E191" s="5">
        <v>36.125</v>
      </c>
      <c r="F191" s="5">
        <v>40.012499999999996</v>
      </c>
      <c r="G191" s="5">
        <v>55.987499999999997</v>
      </c>
      <c r="H191" s="5">
        <v>76.5</v>
      </c>
      <c r="I191" s="5">
        <v>178.27500000000001</v>
      </c>
      <c r="J191" s="10" t="s">
        <v>21</v>
      </c>
      <c r="K191" s="10" t="s">
        <v>21</v>
      </c>
      <c r="L191" s="10" t="s">
        <v>21</v>
      </c>
      <c r="M191" s="10" t="s">
        <v>21</v>
      </c>
      <c r="N191" s="10" t="s">
        <v>21</v>
      </c>
      <c r="O191" s="11" t="s">
        <v>41</v>
      </c>
      <c r="P191" s="11" t="s">
        <v>23</v>
      </c>
      <c r="Q191" s="12">
        <v>80</v>
      </c>
      <c r="R191" s="11" t="s">
        <v>25</v>
      </c>
      <c r="S191" s="3" t="s">
        <v>343</v>
      </c>
      <c r="T191" s="3" t="s">
        <v>344</v>
      </c>
    </row>
    <row r="192" spans="1:20" ht="15.75" customHeight="1" x14ac:dyDescent="0.3">
      <c r="A192" s="7" t="s">
        <v>336</v>
      </c>
      <c r="B192" s="8" t="s">
        <v>19</v>
      </c>
      <c r="C192" s="9" t="s">
        <v>240</v>
      </c>
      <c r="D192" s="5">
        <v>31.72</v>
      </c>
      <c r="E192" s="5">
        <v>42.1875</v>
      </c>
      <c r="F192" s="5">
        <v>47.375</v>
      </c>
      <c r="G192" s="5">
        <v>65.45</v>
      </c>
      <c r="H192" s="5">
        <v>93.375</v>
      </c>
      <c r="I192" s="5">
        <v>201.82500000000002</v>
      </c>
      <c r="J192" s="10" t="s">
        <v>21</v>
      </c>
      <c r="K192" s="10" t="s">
        <v>21</v>
      </c>
      <c r="L192" s="10" t="s">
        <v>21</v>
      </c>
      <c r="M192" s="10" t="s">
        <v>21</v>
      </c>
      <c r="N192" s="10" t="s">
        <v>21</v>
      </c>
      <c r="O192" s="11" t="s">
        <v>35</v>
      </c>
      <c r="P192" s="11" t="s">
        <v>36</v>
      </c>
      <c r="Q192" s="12">
        <v>80</v>
      </c>
      <c r="R192" s="11" t="s">
        <v>25</v>
      </c>
      <c r="S192" s="3" t="s">
        <v>343</v>
      </c>
      <c r="T192" s="3" t="s">
        <v>344</v>
      </c>
    </row>
    <row r="193" spans="1:20" ht="15.75" customHeight="1" x14ac:dyDescent="0.3">
      <c r="A193" s="7" t="s">
        <v>336</v>
      </c>
      <c r="B193" s="8" t="s">
        <v>19</v>
      </c>
      <c r="C193" s="9" t="s">
        <v>241</v>
      </c>
      <c r="D193" s="10" t="s">
        <v>21</v>
      </c>
      <c r="E193" s="10" t="s">
        <v>21</v>
      </c>
      <c r="F193" s="10" t="s">
        <v>21</v>
      </c>
      <c r="G193" s="10" t="s">
        <v>21</v>
      </c>
      <c r="H193" s="10" t="s">
        <v>21</v>
      </c>
      <c r="I193" s="10" t="s">
        <v>21</v>
      </c>
      <c r="J193" s="10" t="s">
        <v>21</v>
      </c>
      <c r="K193" s="10" t="s">
        <v>21</v>
      </c>
      <c r="L193" s="10" t="s">
        <v>21</v>
      </c>
      <c r="M193" s="10" t="s">
        <v>21</v>
      </c>
      <c r="N193" s="10" t="s">
        <v>21</v>
      </c>
      <c r="O193" s="11"/>
      <c r="P193" s="11"/>
      <c r="Q193" s="11"/>
      <c r="R193" s="11"/>
      <c r="S193" s="3" t="s">
        <v>343</v>
      </c>
      <c r="T193" s="3" t="s">
        <v>344</v>
      </c>
    </row>
    <row r="194" spans="1:20" ht="15.75" customHeight="1" x14ac:dyDescent="0.3">
      <c r="A194" s="7" t="s">
        <v>336</v>
      </c>
      <c r="B194" s="8" t="s">
        <v>19</v>
      </c>
      <c r="C194" s="9" t="s">
        <v>242</v>
      </c>
      <c r="D194" s="10" t="s">
        <v>21</v>
      </c>
      <c r="E194" s="10" t="s">
        <v>21</v>
      </c>
      <c r="F194" s="10" t="s">
        <v>21</v>
      </c>
      <c r="G194" s="10" t="s">
        <v>21</v>
      </c>
      <c r="H194" s="10" t="s">
        <v>21</v>
      </c>
      <c r="I194" s="10" t="s">
        <v>21</v>
      </c>
      <c r="J194" s="10" t="s">
        <v>21</v>
      </c>
      <c r="K194" s="10" t="s">
        <v>21</v>
      </c>
      <c r="L194" s="10" t="s">
        <v>21</v>
      </c>
      <c r="M194" s="10" t="s">
        <v>21</v>
      </c>
      <c r="N194" s="10" t="s">
        <v>21</v>
      </c>
      <c r="O194" s="11"/>
      <c r="P194" s="11"/>
      <c r="Q194" s="11"/>
      <c r="R194" s="11"/>
      <c r="S194" s="3" t="s">
        <v>343</v>
      </c>
      <c r="T194" s="3" t="s">
        <v>344</v>
      </c>
    </row>
    <row r="195" spans="1:20" ht="15.75" customHeight="1" x14ac:dyDescent="0.3">
      <c r="A195" s="7" t="s">
        <v>336</v>
      </c>
      <c r="B195" s="8" t="s">
        <v>19</v>
      </c>
      <c r="C195" s="9" t="s">
        <v>243</v>
      </c>
      <c r="D195" s="5">
        <v>21.06</v>
      </c>
      <c r="E195" s="5">
        <v>28.075000000000003</v>
      </c>
      <c r="F195" s="5">
        <v>31.662499999999998</v>
      </c>
      <c r="G195" s="5">
        <v>45.05</v>
      </c>
      <c r="H195" s="5">
        <v>70.349999999999994</v>
      </c>
      <c r="I195" s="5">
        <v>133.22499999999999</v>
      </c>
      <c r="J195" s="10" t="s">
        <v>21</v>
      </c>
      <c r="K195" s="10" t="s">
        <v>21</v>
      </c>
      <c r="L195" s="10" t="s">
        <v>21</v>
      </c>
      <c r="M195" s="10" t="s">
        <v>21</v>
      </c>
      <c r="N195" s="10" t="s">
        <v>21</v>
      </c>
      <c r="O195" s="11" t="s">
        <v>29</v>
      </c>
      <c r="P195" s="11" t="s">
        <v>30</v>
      </c>
      <c r="Q195" s="12">
        <v>80</v>
      </c>
      <c r="R195" s="11" t="s">
        <v>25</v>
      </c>
      <c r="S195" s="3" t="s">
        <v>343</v>
      </c>
      <c r="T195" s="3" t="s">
        <v>344</v>
      </c>
    </row>
    <row r="196" spans="1:20" ht="15.75" customHeight="1" x14ac:dyDescent="0.3">
      <c r="A196" s="7" t="s">
        <v>336</v>
      </c>
      <c r="B196" s="8" t="s">
        <v>19</v>
      </c>
      <c r="C196" s="9" t="s">
        <v>244</v>
      </c>
      <c r="D196" s="5">
        <v>31.72</v>
      </c>
      <c r="E196" s="5">
        <v>42.1875</v>
      </c>
      <c r="F196" s="5">
        <v>47.375</v>
      </c>
      <c r="G196" s="5">
        <v>65.45</v>
      </c>
      <c r="H196" s="5">
        <v>93.375</v>
      </c>
      <c r="I196" s="5">
        <v>201.82500000000002</v>
      </c>
      <c r="J196" s="10" t="s">
        <v>21</v>
      </c>
      <c r="K196" s="10" t="s">
        <v>21</v>
      </c>
      <c r="L196" s="10" t="s">
        <v>21</v>
      </c>
      <c r="M196" s="10" t="s">
        <v>21</v>
      </c>
      <c r="N196" s="10" t="s">
        <v>21</v>
      </c>
      <c r="O196" s="11" t="s">
        <v>35</v>
      </c>
      <c r="P196" s="11" t="s">
        <v>36</v>
      </c>
      <c r="Q196" s="12">
        <v>80</v>
      </c>
      <c r="R196" s="11" t="s">
        <v>25</v>
      </c>
      <c r="S196" s="3" t="s">
        <v>343</v>
      </c>
      <c r="T196" s="3" t="s">
        <v>344</v>
      </c>
    </row>
    <row r="197" spans="1:20" ht="15.75" customHeight="1" x14ac:dyDescent="0.3">
      <c r="A197" s="7" t="s">
        <v>336</v>
      </c>
      <c r="B197" s="8" t="s">
        <v>19</v>
      </c>
      <c r="C197" s="9" t="s">
        <v>245</v>
      </c>
      <c r="D197" s="5">
        <v>36.64</v>
      </c>
      <c r="E197" s="5">
        <v>44.375</v>
      </c>
      <c r="F197" s="5">
        <v>47.375</v>
      </c>
      <c r="G197" s="5">
        <v>56.875</v>
      </c>
      <c r="H197" s="5">
        <v>61.25</v>
      </c>
      <c r="I197" s="5">
        <v>68.75</v>
      </c>
      <c r="J197" s="10" t="s">
        <v>21</v>
      </c>
      <c r="K197" s="10" t="s">
        <v>21</v>
      </c>
      <c r="L197" s="10" t="s">
        <v>21</v>
      </c>
      <c r="M197" s="10" t="s">
        <v>21</v>
      </c>
      <c r="N197" s="10" t="s">
        <v>21</v>
      </c>
      <c r="O197" s="11" t="s">
        <v>23</v>
      </c>
      <c r="P197" s="11" t="s">
        <v>24</v>
      </c>
      <c r="Q197" s="12">
        <v>80</v>
      </c>
      <c r="R197" s="11" t="s">
        <v>25</v>
      </c>
      <c r="S197" s="3" t="s">
        <v>343</v>
      </c>
      <c r="T197" s="3" t="s">
        <v>344</v>
      </c>
    </row>
    <row r="198" spans="1:20" ht="15.75" customHeight="1" x14ac:dyDescent="0.3">
      <c r="A198" s="7" t="s">
        <v>336</v>
      </c>
      <c r="B198" s="8" t="s">
        <v>19</v>
      </c>
      <c r="C198" s="9" t="s">
        <v>246</v>
      </c>
      <c r="D198" s="10" t="s">
        <v>21</v>
      </c>
      <c r="E198" s="10" t="s">
        <v>21</v>
      </c>
      <c r="F198" s="10" t="s">
        <v>21</v>
      </c>
      <c r="G198" s="10" t="s">
        <v>21</v>
      </c>
      <c r="H198" s="10" t="s">
        <v>21</v>
      </c>
      <c r="I198" s="10" t="s">
        <v>21</v>
      </c>
      <c r="J198" s="10" t="s">
        <v>21</v>
      </c>
      <c r="K198" s="10" t="s">
        <v>21</v>
      </c>
      <c r="L198" s="10" t="s">
        <v>21</v>
      </c>
      <c r="M198" s="10" t="s">
        <v>21</v>
      </c>
      <c r="N198" s="10" t="s">
        <v>21</v>
      </c>
      <c r="O198" s="11"/>
      <c r="P198" s="11"/>
      <c r="Q198" s="11"/>
      <c r="R198" s="11"/>
      <c r="S198" s="3" t="s">
        <v>343</v>
      </c>
      <c r="T198" s="3" t="s">
        <v>344</v>
      </c>
    </row>
    <row r="199" spans="1:20" ht="15.75" customHeight="1" x14ac:dyDescent="0.3">
      <c r="A199" s="7" t="s">
        <v>336</v>
      </c>
      <c r="B199" s="8" t="s">
        <v>19</v>
      </c>
      <c r="C199" s="9" t="s">
        <v>247</v>
      </c>
      <c r="D199" s="10" t="s">
        <v>21</v>
      </c>
      <c r="E199" s="10" t="s">
        <v>21</v>
      </c>
      <c r="F199" s="10" t="s">
        <v>21</v>
      </c>
      <c r="G199" s="10" t="s">
        <v>21</v>
      </c>
      <c r="H199" s="10" t="s">
        <v>21</v>
      </c>
      <c r="I199" s="10" t="s">
        <v>21</v>
      </c>
      <c r="J199" s="10" t="s">
        <v>21</v>
      </c>
      <c r="K199" s="10" t="s">
        <v>21</v>
      </c>
      <c r="L199" s="10" t="s">
        <v>21</v>
      </c>
      <c r="M199" s="10" t="s">
        <v>21</v>
      </c>
      <c r="N199" s="10" t="s">
        <v>21</v>
      </c>
      <c r="O199" s="11"/>
      <c r="P199" s="11"/>
      <c r="Q199" s="11"/>
      <c r="R199" s="11"/>
      <c r="S199" s="3" t="s">
        <v>343</v>
      </c>
      <c r="T199" s="3" t="s">
        <v>344</v>
      </c>
    </row>
    <row r="200" spans="1:20" ht="15.75" customHeight="1" x14ac:dyDescent="0.3">
      <c r="A200" s="7" t="s">
        <v>336</v>
      </c>
      <c r="B200" s="8" t="s">
        <v>19</v>
      </c>
      <c r="C200" s="9" t="s">
        <v>248</v>
      </c>
      <c r="D200" s="5">
        <v>29</v>
      </c>
      <c r="E200" s="5">
        <v>33.050000000000004</v>
      </c>
      <c r="F200" s="5">
        <v>38.75</v>
      </c>
      <c r="G200" s="5">
        <v>54.875</v>
      </c>
      <c r="H200" s="5">
        <v>78.75</v>
      </c>
      <c r="I200" s="5">
        <v>138.75</v>
      </c>
      <c r="J200" s="10" t="s">
        <v>21</v>
      </c>
      <c r="K200" s="10" t="s">
        <v>21</v>
      </c>
      <c r="L200" s="10" t="s">
        <v>21</v>
      </c>
      <c r="M200" s="10" t="s">
        <v>21</v>
      </c>
      <c r="N200" s="10" t="s">
        <v>21</v>
      </c>
      <c r="O200" s="11" t="s">
        <v>41</v>
      </c>
      <c r="P200" s="11" t="s">
        <v>143</v>
      </c>
      <c r="Q200" s="12">
        <v>80</v>
      </c>
      <c r="R200" s="11" t="s">
        <v>25</v>
      </c>
      <c r="S200" s="3" t="s">
        <v>343</v>
      </c>
      <c r="T200" s="3" t="s">
        <v>344</v>
      </c>
    </row>
    <row r="201" spans="1:20" ht="15.75" customHeight="1" x14ac:dyDescent="0.3">
      <c r="A201" s="7" t="s">
        <v>336</v>
      </c>
      <c r="B201" s="8" t="s">
        <v>19</v>
      </c>
      <c r="C201" s="9" t="s">
        <v>249</v>
      </c>
      <c r="D201" s="10" t="s">
        <v>21</v>
      </c>
      <c r="E201" s="10" t="s">
        <v>21</v>
      </c>
      <c r="F201" s="10" t="s">
        <v>21</v>
      </c>
      <c r="G201" s="10" t="s">
        <v>21</v>
      </c>
      <c r="H201" s="10" t="s">
        <v>21</v>
      </c>
      <c r="I201" s="10" t="s">
        <v>21</v>
      </c>
      <c r="J201" s="10" t="s">
        <v>21</v>
      </c>
      <c r="K201" s="10" t="s">
        <v>21</v>
      </c>
      <c r="L201" s="10" t="s">
        <v>21</v>
      </c>
      <c r="M201" s="10" t="s">
        <v>21</v>
      </c>
      <c r="N201" s="10" t="s">
        <v>21</v>
      </c>
      <c r="O201" s="11"/>
      <c r="P201" s="11"/>
      <c r="Q201" s="11"/>
      <c r="R201" s="11"/>
      <c r="S201" s="3" t="s">
        <v>343</v>
      </c>
      <c r="T201" s="3" t="s">
        <v>344</v>
      </c>
    </row>
    <row r="202" spans="1:20" ht="15.75" customHeight="1" x14ac:dyDescent="0.3">
      <c r="A202" s="7" t="s">
        <v>336</v>
      </c>
      <c r="B202" s="8" t="s">
        <v>19</v>
      </c>
      <c r="C202" s="9" t="s">
        <v>250</v>
      </c>
      <c r="D202" s="5">
        <v>27.47</v>
      </c>
      <c r="E202" s="5">
        <v>36.125</v>
      </c>
      <c r="F202" s="5">
        <v>40</v>
      </c>
      <c r="G202" s="5">
        <v>55.987499999999997</v>
      </c>
      <c r="H202" s="5">
        <v>76.5</v>
      </c>
      <c r="I202" s="5">
        <v>178.27500000000001</v>
      </c>
      <c r="J202" s="10" t="s">
        <v>21</v>
      </c>
      <c r="K202" s="10" t="s">
        <v>21</v>
      </c>
      <c r="L202" s="10" t="s">
        <v>21</v>
      </c>
      <c r="M202" s="10" t="s">
        <v>21</v>
      </c>
      <c r="N202" s="10" t="s">
        <v>21</v>
      </c>
      <c r="O202" s="11" t="s">
        <v>41</v>
      </c>
      <c r="P202" s="11" t="s">
        <v>23</v>
      </c>
      <c r="Q202" s="12">
        <v>80</v>
      </c>
      <c r="R202" s="11" t="s">
        <v>25</v>
      </c>
      <c r="S202" s="3" t="s">
        <v>343</v>
      </c>
      <c r="T202" s="3" t="s">
        <v>344</v>
      </c>
    </row>
    <row r="203" spans="1:20" ht="15.75" customHeight="1" x14ac:dyDescent="0.3">
      <c r="A203" s="7" t="s">
        <v>336</v>
      </c>
      <c r="B203" s="8" t="s">
        <v>19</v>
      </c>
      <c r="C203" s="13" t="s">
        <v>251</v>
      </c>
      <c r="D203" s="14">
        <v>27.83</v>
      </c>
      <c r="E203" s="14">
        <v>33.75</v>
      </c>
      <c r="F203" s="14">
        <v>36.25</v>
      </c>
      <c r="G203" s="14">
        <v>38.75</v>
      </c>
      <c r="H203" s="14">
        <v>41.25</v>
      </c>
      <c r="I203" s="14">
        <v>55</v>
      </c>
      <c r="J203" s="14">
        <v>62.5</v>
      </c>
      <c r="K203" s="14">
        <v>71.25</v>
      </c>
      <c r="L203" s="14">
        <v>98.75</v>
      </c>
      <c r="M203" s="14">
        <v>106.25</v>
      </c>
      <c r="N203" s="14">
        <v>111.25</v>
      </c>
      <c r="O203" s="15" t="s">
        <v>61</v>
      </c>
      <c r="P203" s="15" t="s">
        <v>67</v>
      </c>
      <c r="Q203" s="16">
        <v>80</v>
      </c>
      <c r="R203" s="15" t="s">
        <v>25</v>
      </c>
      <c r="S203" s="3" t="s">
        <v>343</v>
      </c>
      <c r="T203" s="3" t="s">
        <v>344</v>
      </c>
    </row>
    <row r="204" spans="1:20" ht="15.75" customHeight="1" x14ac:dyDescent="0.3">
      <c r="A204" s="7" t="s">
        <v>336</v>
      </c>
      <c r="B204" s="8" t="s">
        <v>19</v>
      </c>
      <c r="C204" s="13" t="s">
        <v>252</v>
      </c>
      <c r="D204" s="14">
        <v>27.83</v>
      </c>
      <c r="E204" s="14">
        <v>33.75</v>
      </c>
      <c r="F204" s="14">
        <v>36.25</v>
      </c>
      <c r="G204" s="14">
        <v>38.75</v>
      </c>
      <c r="H204" s="14">
        <v>41.25</v>
      </c>
      <c r="I204" s="14">
        <v>55</v>
      </c>
      <c r="J204" s="14">
        <v>62.5</v>
      </c>
      <c r="K204" s="14">
        <v>71.25</v>
      </c>
      <c r="L204" s="14">
        <v>98.75</v>
      </c>
      <c r="M204" s="14">
        <v>106.25</v>
      </c>
      <c r="N204" s="14">
        <v>111.25</v>
      </c>
      <c r="O204" s="15" t="s">
        <v>61</v>
      </c>
      <c r="P204" s="15" t="s">
        <v>67</v>
      </c>
      <c r="Q204" s="16">
        <v>80</v>
      </c>
      <c r="R204" s="15" t="s">
        <v>25</v>
      </c>
      <c r="S204" s="3" t="s">
        <v>343</v>
      </c>
      <c r="T204" s="3" t="s">
        <v>344</v>
      </c>
    </row>
    <row r="205" spans="1:20" ht="15.75" customHeight="1" x14ac:dyDescent="0.3">
      <c r="A205" s="7" t="s">
        <v>336</v>
      </c>
      <c r="B205" s="8" t="s">
        <v>19</v>
      </c>
      <c r="C205" s="9" t="s">
        <v>253</v>
      </c>
      <c r="D205" s="10" t="s">
        <v>21</v>
      </c>
      <c r="E205" s="10" t="s">
        <v>21</v>
      </c>
      <c r="F205" s="10" t="s">
        <v>21</v>
      </c>
      <c r="G205" s="10" t="s">
        <v>21</v>
      </c>
      <c r="H205" s="10" t="s">
        <v>21</v>
      </c>
      <c r="I205" s="10" t="s">
        <v>21</v>
      </c>
      <c r="J205" s="10" t="s">
        <v>21</v>
      </c>
      <c r="K205" s="10" t="s">
        <v>21</v>
      </c>
      <c r="L205" s="10" t="s">
        <v>21</v>
      </c>
      <c r="M205" s="10" t="s">
        <v>21</v>
      </c>
      <c r="N205" s="10" t="s">
        <v>21</v>
      </c>
      <c r="O205" s="11"/>
      <c r="P205" s="11"/>
      <c r="Q205" s="11"/>
      <c r="R205" s="11"/>
      <c r="S205" s="3" t="s">
        <v>343</v>
      </c>
      <c r="T205" s="3" t="s">
        <v>344</v>
      </c>
    </row>
    <row r="206" spans="1:20" ht="15.75" customHeight="1" x14ac:dyDescent="0.3">
      <c r="A206" s="7" t="s">
        <v>336</v>
      </c>
      <c r="B206" s="8" t="s">
        <v>19</v>
      </c>
      <c r="C206" s="9" t="s">
        <v>254</v>
      </c>
      <c r="D206" s="10" t="s">
        <v>21</v>
      </c>
      <c r="E206" s="10" t="s">
        <v>21</v>
      </c>
      <c r="F206" s="10" t="s">
        <v>21</v>
      </c>
      <c r="G206" s="10" t="s">
        <v>21</v>
      </c>
      <c r="H206" s="10" t="s">
        <v>21</v>
      </c>
      <c r="I206" s="10" t="s">
        <v>21</v>
      </c>
      <c r="J206" s="10" t="s">
        <v>21</v>
      </c>
      <c r="K206" s="10" t="s">
        <v>21</v>
      </c>
      <c r="L206" s="10" t="s">
        <v>21</v>
      </c>
      <c r="M206" s="10" t="s">
        <v>21</v>
      </c>
      <c r="N206" s="10" t="s">
        <v>21</v>
      </c>
      <c r="O206" s="11"/>
      <c r="P206" s="11"/>
      <c r="Q206" s="11"/>
      <c r="R206" s="11"/>
      <c r="S206" s="3" t="s">
        <v>343</v>
      </c>
      <c r="T206" s="3" t="s">
        <v>344</v>
      </c>
    </row>
    <row r="207" spans="1:20" ht="15.75" customHeight="1" x14ac:dyDescent="0.3">
      <c r="A207" s="7" t="s">
        <v>336</v>
      </c>
      <c r="B207" s="8" t="s">
        <v>19</v>
      </c>
      <c r="C207" s="9" t="s">
        <v>255</v>
      </c>
      <c r="D207" s="5">
        <v>30.11</v>
      </c>
      <c r="E207" s="5">
        <v>36.125</v>
      </c>
      <c r="F207" s="5">
        <v>40</v>
      </c>
      <c r="G207" s="5">
        <v>55.875</v>
      </c>
      <c r="H207" s="5">
        <v>76.875</v>
      </c>
      <c r="I207" s="5">
        <v>178.27500000000001</v>
      </c>
      <c r="J207" s="10" t="s">
        <v>21</v>
      </c>
      <c r="K207" s="10" t="s">
        <v>21</v>
      </c>
      <c r="L207" s="10" t="s">
        <v>21</v>
      </c>
      <c r="M207" s="10" t="s">
        <v>21</v>
      </c>
      <c r="N207" s="10" t="s">
        <v>21</v>
      </c>
      <c r="O207" s="11" t="s">
        <v>23</v>
      </c>
      <c r="P207" s="11" t="s">
        <v>69</v>
      </c>
      <c r="Q207" s="12">
        <v>80</v>
      </c>
      <c r="R207" s="24" t="s">
        <v>25</v>
      </c>
      <c r="S207" s="3" t="s">
        <v>343</v>
      </c>
      <c r="T207" s="3" t="s">
        <v>344</v>
      </c>
    </row>
    <row r="208" spans="1:20" ht="15.75" customHeight="1" x14ac:dyDescent="0.3">
      <c r="A208" s="7" t="s">
        <v>336</v>
      </c>
      <c r="B208" s="8" t="s">
        <v>19</v>
      </c>
      <c r="C208" s="9" t="s">
        <v>256</v>
      </c>
      <c r="D208" s="5">
        <v>29</v>
      </c>
      <c r="E208" s="5">
        <v>33.050000000000004</v>
      </c>
      <c r="F208" s="5">
        <v>38.75</v>
      </c>
      <c r="G208" s="5">
        <v>54.875</v>
      </c>
      <c r="H208" s="5">
        <v>78.75</v>
      </c>
      <c r="I208" s="5">
        <v>138.75</v>
      </c>
      <c r="J208" s="10" t="s">
        <v>21</v>
      </c>
      <c r="K208" s="10" t="s">
        <v>21</v>
      </c>
      <c r="L208" s="10" t="s">
        <v>21</v>
      </c>
      <c r="M208" s="10" t="s">
        <v>21</v>
      </c>
      <c r="N208" s="10" t="s">
        <v>21</v>
      </c>
      <c r="O208" s="11" t="s">
        <v>41</v>
      </c>
      <c r="P208" s="11" t="s">
        <v>143</v>
      </c>
      <c r="Q208" s="12">
        <v>80</v>
      </c>
      <c r="R208" s="24" t="s">
        <v>25</v>
      </c>
      <c r="S208" s="3" t="s">
        <v>343</v>
      </c>
      <c r="T208" s="3" t="s">
        <v>344</v>
      </c>
    </row>
    <row r="209" spans="1:20" ht="15.75" customHeight="1" x14ac:dyDescent="0.3">
      <c r="A209" s="7" t="s">
        <v>336</v>
      </c>
      <c r="B209" s="8" t="s">
        <v>19</v>
      </c>
      <c r="C209" s="9" t="s">
        <v>257</v>
      </c>
      <c r="D209" s="10" t="s">
        <v>21</v>
      </c>
      <c r="E209" s="10" t="s">
        <v>21</v>
      </c>
      <c r="F209" s="10" t="s">
        <v>21</v>
      </c>
      <c r="G209" s="10" t="s">
        <v>21</v>
      </c>
      <c r="H209" s="10" t="s">
        <v>21</v>
      </c>
      <c r="I209" s="10" t="s">
        <v>21</v>
      </c>
      <c r="J209" s="10" t="s">
        <v>21</v>
      </c>
      <c r="K209" s="10" t="s">
        <v>21</v>
      </c>
      <c r="L209" s="10" t="s">
        <v>21</v>
      </c>
      <c r="M209" s="10" t="s">
        <v>21</v>
      </c>
      <c r="N209" s="10" t="s">
        <v>21</v>
      </c>
      <c r="O209" s="11"/>
      <c r="P209" s="11"/>
      <c r="Q209" s="11"/>
      <c r="R209" s="11"/>
      <c r="S209" s="3" t="s">
        <v>343</v>
      </c>
      <c r="T209" s="3" t="s">
        <v>344</v>
      </c>
    </row>
    <row r="210" spans="1:20" ht="15.75" customHeight="1" x14ac:dyDescent="0.3">
      <c r="A210" s="7" t="s">
        <v>336</v>
      </c>
      <c r="B210" s="8" t="s">
        <v>19</v>
      </c>
      <c r="C210" s="13" t="s">
        <v>258</v>
      </c>
      <c r="D210" s="14">
        <v>23</v>
      </c>
      <c r="E210" s="14">
        <v>24.625</v>
      </c>
      <c r="F210" s="14">
        <v>25</v>
      </c>
      <c r="G210" s="14">
        <v>26.25</v>
      </c>
      <c r="H210" s="14">
        <v>30.625</v>
      </c>
      <c r="I210" s="14">
        <v>37.5</v>
      </c>
      <c r="J210" s="14">
        <v>47.5</v>
      </c>
      <c r="K210" s="14">
        <v>52.5</v>
      </c>
      <c r="L210" s="14">
        <v>77.5</v>
      </c>
      <c r="M210" s="14">
        <v>84.375</v>
      </c>
      <c r="N210" s="14">
        <v>86.25</v>
      </c>
      <c r="O210" s="15" t="s">
        <v>29</v>
      </c>
      <c r="P210" s="15" t="s">
        <v>23</v>
      </c>
      <c r="Q210" s="16">
        <v>80</v>
      </c>
      <c r="R210" s="15" t="s">
        <v>25</v>
      </c>
      <c r="S210" s="3" t="s">
        <v>343</v>
      </c>
      <c r="T210" s="3" t="s">
        <v>344</v>
      </c>
    </row>
    <row r="211" spans="1:20" ht="15.75" customHeight="1" x14ac:dyDescent="0.3">
      <c r="A211" s="7" t="s">
        <v>336</v>
      </c>
      <c r="B211" s="8" t="s">
        <v>19</v>
      </c>
      <c r="C211" s="13" t="s">
        <v>259</v>
      </c>
      <c r="D211" s="14">
        <v>57.39</v>
      </c>
      <c r="E211" s="14">
        <v>63.75</v>
      </c>
      <c r="F211" s="14">
        <v>63.75</v>
      </c>
      <c r="G211" s="14">
        <v>66.5</v>
      </c>
      <c r="H211" s="14">
        <v>74.375</v>
      </c>
      <c r="I211" s="14">
        <v>80.875</v>
      </c>
      <c r="J211" s="14">
        <v>96.5</v>
      </c>
      <c r="K211" s="14">
        <v>101.25</v>
      </c>
      <c r="L211" s="14">
        <v>99.375</v>
      </c>
      <c r="M211" s="14">
        <v>121.5</v>
      </c>
      <c r="N211" s="14">
        <v>130</v>
      </c>
      <c r="O211" s="15" t="s">
        <v>61</v>
      </c>
      <c r="P211" s="15" t="s">
        <v>126</v>
      </c>
      <c r="Q211" s="16">
        <v>80</v>
      </c>
      <c r="R211" s="15" t="s">
        <v>25</v>
      </c>
      <c r="S211" s="3" t="s">
        <v>343</v>
      </c>
      <c r="T211" s="3" t="s">
        <v>344</v>
      </c>
    </row>
    <row r="212" spans="1:20" ht="15.75" customHeight="1" x14ac:dyDescent="0.3">
      <c r="A212" s="7" t="s">
        <v>336</v>
      </c>
      <c r="B212" s="8" t="s">
        <v>19</v>
      </c>
      <c r="C212" s="13" t="s">
        <v>260</v>
      </c>
      <c r="D212" s="14">
        <v>57.39</v>
      </c>
      <c r="E212" s="14">
        <v>76.25</v>
      </c>
      <c r="F212" s="14">
        <v>77.5</v>
      </c>
      <c r="G212" s="14">
        <v>80</v>
      </c>
      <c r="H212" s="14">
        <v>88.75</v>
      </c>
      <c r="I212" s="14">
        <v>93.75</v>
      </c>
      <c r="J212" s="14">
        <v>110</v>
      </c>
      <c r="K212" s="14">
        <v>115</v>
      </c>
      <c r="L212" s="14">
        <v>113.75</v>
      </c>
      <c r="M212" s="14">
        <v>135</v>
      </c>
      <c r="N212" s="14">
        <v>140.625</v>
      </c>
      <c r="O212" s="15" t="s">
        <v>61</v>
      </c>
      <c r="P212" s="15" t="s">
        <v>126</v>
      </c>
      <c r="Q212" s="16">
        <v>80</v>
      </c>
      <c r="R212" s="15" t="s">
        <v>25</v>
      </c>
      <c r="S212" s="3" t="s">
        <v>343</v>
      </c>
      <c r="T212" s="3" t="s">
        <v>344</v>
      </c>
    </row>
    <row r="213" spans="1:20" ht="15.75" customHeight="1" x14ac:dyDescent="0.3">
      <c r="A213" s="7" t="s">
        <v>336</v>
      </c>
      <c r="B213" s="8" t="s">
        <v>19</v>
      </c>
      <c r="C213" s="9" t="s">
        <v>261</v>
      </c>
      <c r="D213" s="5">
        <v>29</v>
      </c>
      <c r="E213" s="5">
        <v>33.050000000000004</v>
      </c>
      <c r="F213" s="5">
        <v>38.75</v>
      </c>
      <c r="G213" s="5">
        <v>54.875</v>
      </c>
      <c r="H213" s="5">
        <v>78.75</v>
      </c>
      <c r="I213" s="5">
        <v>138.75</v>
      </c>
      <c r="J213" s="10" t="s">
        <v>21</v>
      </c>
      <c r="K213" s="10" t="s">
        <v>21</v>
      </c>
      <c r="L213" s="10" t="s">
        <v>21</v>
      </c>
      <c r="M213" s="10" t="s">
        <v>21</v>
      </c>
      <c r="N213" s="10" t="s">
        <v>21</v>
      </c>
      <c r="O213" s="11" t="s">
        <v>41</v>
      </c>
      <c r="P213" s="11" t="s">
        <v>143</v>
      </c>
      <c r="Q213" s="12">
        <v>80</v>
      </c>
      <c r="R213" s="11" t="s">
        <v>25</v>
      </c>
      <c r="S213" s="3" t="s">
        <v>343</v>
      </c>
      <c r="T213" s="3" t="s">
        <v>344</v>
      </c>
    </row>
    <row r="214" spans="1:20" ht="15.75" customHeight="1" x14ac:dyDescent="0.3">
      <c r="A214" s="7" t="s">
        <v>336</v>
      </c>
      <c r="B214" s="8" t="s">
        <v>19</v>
      </c>
      <c r="C214" s="9" t="s">
        <v>262</v>
      </c>
      <c r="D214" s="10" t="s">
        <v>21</v>
      </c>
      <c r="E214" s="10" t="s">
        <v>21</v>
      </c>
      <c r="F214" s="10" t="s">
        <v>21</v>
      </c>
      <c r="G214" s="10" t="s">
        <v>21</v>
      </c>
      <c r="H214" s="10" t="s">
        <v>21</v>
      </c>
      <c r="I214" s="10" t="s">
        <v>21</v>
      </c>
      <c r="J214" s="10" t="s">
        <v>21</v>
      </c>
      <c r="K214" s="10" t="s">
        <v>21</v>
      </c>
      <c r="L214" s="10" t="s">
        <v>21</v>
      </c>
      <c r="M214" s="10" t="s">
        <v>21</v>
      </c>
      <c r="N214" s="10" t="s">
        <v>21</v>
      </c>
      <c r="O214" s="11"/>
      <c r="P214" s="11"/>
      <c r="Q214" s="11"/>
      <c r="R214" s="11"/>
      <c r="S214" s="3" t="s">
        <v>343</v>
      </c>
      <c r="T214" s="3" t="s">
        <v>344</v>
      </c>
    </row>
    <row r="215" spans="1:20" ht="15.75" customHeight="1" x14ac:dyDescent="0.3">
      <c r="A215" s="7" t="s">
        <v>336</v>
      </c>
      <c r="B215" s="8" t="s">
        <v>19</v>
      </c>
      <c r="C215" s="9" t="s">
        <v>263</v>
      </c>
      <c r="D215" s="5">
        <v>30.11</v>
      </c>
      <c r="E215" s="5">
        <v>36.125</v>
      </c>
      <c r="F215" s="5">
        <v>40.012499999999996</v>
      </c>
      <c r="G215" s="5">
        <v>55.987499999999997</v>
      </c>
      <c r="H215" s="5">
        <v>76.5</v>
      </c>
      <c r="I215" s="5">
        <v>178.27500000000001</v>
      </c>
      <c r="J215" s="10" t="s">
        <v>21</v>
      </c>
      <c r="K215" s="10" t="s">
        <v>21</v>
      </c>
      <c r="L215" s="10" t="s">
        <v>21</v>
      </c>
      <c r="M215" s="10" t="s">
        <v>21</v>
      </c>
      <c r="N215" s="10" t="s">
        <v>21</v>
      </c>
      <c r="O215" s="11" t="s">
        <v>23</v>
      </c>
      <c r="P215" s="11" t="s">
        <v>24</v>
      </c>
      <c r="Q215" s="12">
        <v>80</v>
      </c>
      <c r="R215" s="11" t="s">
        <v>25</v>
      </c>
      <c r="S215" s="3" t="s">
        <v>343</v>
      </c>
      <c r="T215" s="3" t="s">
        <v>344</v>
      </c>
    </row>
    <row r="216" spans="1:20" ht="15.75" customHeight="1" x14ac:dyDescent="0.3">
      <c r="A216" s="7" t="s">
        <v>336</v>
      </c>
      <c r="B216" s="8" t="s">
        <v>19</v>
      </c>
      <c r="C216" s="9" t="s">
        <v>264</v>
      </c>
      <c r="D216" s="10" t="s">
        <v>21</v>
      </c>
      <c r="E216" s="10" t="s">
        <v>21</v>
      </c>
      <c r="F216" s="10" t="s">
        <v>21</v>
      </c>
      <c r="G216" s="10" t="s">
        <v>21</v>
      </c>
      <c r="H216" s="10" t="s">
        <v>21</v>
      </c>
      <c r="I216" s="10" t="s">
        <v>21</v>
      </c>
      <c r="J216" s="10" t="s">
        <v>21</v>
      </c>
      <c r="K216" s="10" t="s">
        <v>21</v>
      </c>
      <c r="L216" s="10" t="s">
        <v>21</v>
      </c>
      <c r="M216" s="10" t="s">
        <v>21</v>
      </c>
      <c r="N216" s="10" t="s">
        <v>21</v>
      </c>
      <c r="O216" s="11"/>
      <c r="P216" s="11"/>
      <c r="Q216" s="11"/>
      <c r="R216" s="11"/>
      <c r="S216" s="3" t="s">
        <v>343</v>
      </c>
      <c r="T216" s="3" t="s">
        <v>344</v>
      </c>
    </row>
    <row r="217" spans="1:20" ht="15.75" customHeight="1" x14ac:dyDescent="0.3">
      <c r="A217" s="7" t="s">
        <v>336</v>
      </c>
      <c r="B217" s="8" t="s">
        <v>19</v>
      </c>
      <c r="C217" s="9" t="s">
        <v>265</v>
      </c>
      <c r="D217" s="5">
        <v>22.28</v>
      </c>
      <c r="E217" s="5">
        <v>24.512499999999999</v>
      </c>
      <c r="F217" s="5">
        <v>25</v>
      </c>
      <c r="G217" s="5">
        <v>27.5</v>
      </c>
      <c r="H217" s="5">
        <v>33.75</v>
      </c>
      <c r="I217" s="5">
        <v>40.4</v>
      </c>
      <c r="J217" s="10" t="s">
        <v>21</v>
      </c>
      <c r="K217" s="10" t="s">
        <v>21</v>
      </c>
      <c r="L217" s="10" t="s">
        <v>21</v>
      </c>
      <c r="M217" s="10" t="s">
        <v>21</v>
      </c>
      <c r="N217" s="10" t="s">
        <v>21</v>
      </c>
      <c r="O217" s="11" t="s">
        <v>29</v>
      </c>
      <c r="P217" s="11" t="s">
        <v>33</v>
      </c>
      <c r="Q217" s="12">
        <v>80</v>
      </c>
      <c r="R217" s="11" t="s">
        <v>25</v>
      </c>
      <c r="S217" s="3" t="s">
        <v>343</v>
      </c>
      <c r="T217" s="3" t="s">
        <v>344</v>
      </c>
    </row>
    <row r="218" spans="1:20" ht="15.75" customHeight="1" x14ac:dyDescent="0.3">
      <c r="A218" s="7" t="s">
        <v>336</v>
      </c>
      <c r="B218" s="8" t="s">
        <v>19</v>
      </c>
      <c r="C218" s="13" t="s">
        <v>266</v>
      </c>
      <c r="D218" s="14">
        <v>23.17</v>
      </c>
      <c r="E218" s="14">
        <v>60</v>
      </c>
      <c r="F218" s="14">
        <v>60</v>
      </c>
      <c r="G218" s="14">
        <v>64.125</v>
      </c>
      <c r="H218" s="14">
        <v>76.25</v>
      </c>
      <c r="I218" s="14">
        <v>83.75</v>
      </c>
      <c r="J218" s="14">
        <v>92.5</v>
      </c>
      <c r="K218" s="14">
        <v>101.25</v>
      </c>
      <c r="L218" s="14">
        <v>101.25</v>
      </c>
      <c r="M218" s="14">
        <v>117.5</v>
      </c>
      <c r="N218" s="14">
        <v>135</v>
      </c>
      <c r="O218" s="15" t="s">
        <v>29</v>
      </c>
      <c r="P218" s="15" t="s">
        <v>69</v>
      </c>
      <c r="Q218" s="16">
        <v>80</v>
      </c>
      <c r="R218" s="15" t="s">
        <v>25</v>
      </c>
      <c r="S218" s="3" t="s">
        <v>343</v>
      </c>
      <c r="T218" s="3" t="s">
        <v>344</v>
      </c>
    </row>
    <row r="219" spans="1:20" ht="15.75" customHeight="1" x14ac:dyDescent="0.3">
      <c r="A219" s="7" t="s">
        <v>336</v>
      </c>
      <c r="B219" s="8" t="s">
        <v>19</v>
      </c>
      <c r="C219" s="9" t="s">
        <v>267</v>
      </c>
      <c r="D219" s="10" t="s">
        <v>21</v>
      </c>
      <c r="E219" s="10" t="s">
        <v>21</v>
      </c>
      <c r="F219" s="10" t="s">
        <v>21</v>
      </c>
      <c r="G219" s="10" t="s">
        <v>21</v>
      </c>
      <c r="H219" s="10" t="s">
        <v>21</v>
      </c>
      <c r="I219" s="10" t="s">
        <v>21</v>
      </c>
      <c r="J219" s="10" t="s">
        <v>21</v>
      </c>
      <c r="K219" s="10" t="s">
        <v>21</v>
      </c>
      <c r="L219" s="10" t="s">
        <v>21</v>
      </c>
      <c r="M219" s="10" t="s">
        <v>21</v>
      </c>
      <c r="N219" s="10" t="s">
        <v>21</v>
      </c>
      <c r="O219" s="11"/>
      <c r="P219" s="11"/>
      <c r="Q219" s="11"/>
      <c r="R219" s="11"/>
      <c r="S219" s="3" t="s">
        <v>343</v>
      </c>
      <c r="T219" s="3" t="s">
        <v>344</v>
      </c>
    </row>
    <row r="220" spans="1:20" ht="15.75" customHeight="1" x14ac:dyDescent="0.3">
      <c r="A220" s="7" t="s">
        <v>336</v>
      </c>
      <c r="B220" s="8" t="s">
        <v>19</v>
      </c>
      <c r="C220" s="9" t="s">
        <v>268</v>
      </c>
      <c r="D220" s="5">
        <v>29</v>
      </c>
      <c r="E220" s="5">
        <v>33.050000000000004</v>
      </c>
      <c r="F220" s="5">
        <v>38.75</v>
      </c>
      <c r="G220" s="5">
        <v>54.875</v>
      </c>
      <c r="H220" s="5">
        <v>78.75</v>
      </c>
      <c r="I220" s="5">
        <v>138.75</v>
      </c>
      <c r="J220" s="10" t="s">
        <v>21</v>
      </c>
      <c r="K220" s="10" t="s">
        <v>21</v>
      </c>
      <c r="L220" s="10" t="s">
        <v>21</v>
      </c>
      <c r="M220" s="10" t="s">
        <v>21</v>
      </c>
      <c r="N220" s="5">
        <v>292.5</v>
      </c>
      <c r="O220" s="11" t="s">
        <v>41</v>
      </c>
      <c r="P220" s="11" t="s">
        <v>143</v>
      </c>
      <c r="Q220" s="12">
        <v>80</v>
      </c>
      <c r="R220" s="11"/>
      <c r="S220" s="3" t="s">
        <v>343</v>
      </c>
      <c r="T220" s="3" t="s">
        <v>344</v>
      </c>
    </row>
    <row r="221" spans="1:20" ht="15.75" customHeight="1" x14ac:dyDescent="0.3">
      <c r="A221" s="7" t="s">
        <v>336</v>
      </c>
      <c r="B221" s="8" t="s">
        <v>19</v>
      </c>
      <c r="C221" s="9" t="s">
        <v>269</v>
      </c>
      <c r="D221" s="10" t="s">
        <v>21</v>
      </c>
      <c r="E221" s="10" t="s">
        <v>21</v>
      </c>
      <c r="F221" s="10" t="s">
        <v>21</v>
      </c>
      <c r="G221" s="10" t="s">
        <v>21</v>
      </c>
      <c r="H221" s="10" t="s">
        <v>21</v>
      </c>
      <c r="I221" s="10" t="s">
        <v>21</v>
      </c>
      <c r="J221" s="10" t="s">
        <v>21</v>
      </c>
      <c r="K221" s="10" t="s">
        <v>21</v>
      </c>
      <c r="L221" s="10" t="s">
        <v>21</v>
      </c>
      <c r="M221" s="10" t="s">
        <v>21</v>
      </c>
      <c r="N221" s="10" t="s">
        <v>21</v>
      </c>
      <c r="O221" s="11"/>
      <c r="P221" s="11"/>
      <c r="Q221" s="11"/>
      <c r="R221" s="11"/>
      <c r="S221" s="3" t="s">
        <v>343</v>
      </c>
      <c r="T221" s="3" t="s">
        <v>344</v>
      </c>
    </row>
    <row r="222" spans="1:20" ht="15.75" customHeight="1" x14ac:dyDescent="0.3">
      <c r="A222" s="7" t="s">
        <v>336</v>
      </c>
      <c r="B222" s="8" t="s">
        <v>19</v>
      </c>
      <c r="C222" s="9" t="s">
        <v>270</v>
      </c>
      <c r="D222" s="5">
        <v>34.54</v>
      </c>
      <c r="E222" s="5">
        <v>42.1875</v>
      </c>
      <c r="F222" s="5">
        <v>47.375</v>
      </c>
      <c r="G222" s="5">
        <v>65.45</v>
      </c>
      <c r="H222" s="5">
        <v>93.375</v>
      </c>
      <c r="I222" s="5">
        <v>201.82500000000002</v>
      </c>
      <c r="J222" s="10" t="s">
        <v>21</v>
      </c>
      <c r="K222" s="10" t="s">
        <v>21</v>
      </c>
      <c r="L222" s="10" t="s">
        <v>21</v>
      </c>
      <c r="M222" s="10" t="s">
        <v>21</v>
      </c>
      <c r="N222" s="5">
        <v>413.75</v>
      </c>
      <c r="O222" s="11" t="s">
        <v>271</v>
      </c>
      <c r="P222" s="11" t="s">
        <v>271</v>
      </c>
      <c r="Q222" s="12">
        <v>80</v>
      </c>
      <c r="R222" s="11"/>
      <c r="S222" s="3" t="s">
        <v>343</v>
      </c>
      <c r="T222" s="3" t="s">
        <v>344</v>
      </c>
    </row>
    <row r="223" spans="1:20" ht="15.75" customHeight="1" x14ac:dyDescent="0.3">
      <c r="A223" s="7" t="s">
        <v>336</v>
      </c>
      <c r="B223" s="8" t="s">
        <v>19</v>
      </c>
      <c r="C223" s="9" t="s">
        <v>272</v>
      </c>
      <c r="D223" s="10" t="s">
        <v>21</v>
      </c>
      <c r="E223" s="10" t="s">
        <v>21</v>
      </c>
      <c r="F223" s="10" t="s">
        <v>21</v>
      </c>
      <c r="G223" s="10" t="s">
        <v>21</v>
      </c>
      <c r="H223" s="10" t="s">
        <v>21</v>
      </c>
      <c r="I223" s="10" t="s">
        <v>21</v>
      </c>
      <c r="J223" s="10" t="s">
        <v>21</v>
      </c>
      <c r="K223" s="10" t="s">
        <v>21</v>
      </c>
      <c r="L223" s="10" t="s">
        <v>21</v>
      </c>
      <c r="M223" s="10" t="s">
        <v>21</v>
      </c>
      <c r="N223" s="10" t="s">
        <v>21</v>
      </c>
      <c r="O223" s="11"/>
      <c r="P223" s="11"/>
      <c r="Q223" s="11"/>
      <c r="R223" s="11"/>
      <c r="S223" s="3" t="s">
        <v>343</v>
      </c>
      <c r="T223" s="3" t="s">
        <v>344</v>
      </c>
    </row>
    <row r="224" spans="1:20" ht="15.75" customHeight="1" x14ac:dyDescent="0.3">
      <c r="A224" s="7" t="s">
        <v>336</v>
      </c>
      <c r="B224" s="8" t="s">
        <v>19</v>
      </c>
      <c r="C224" s="9" t="s">
        <v>273</v>
      </c>
      <c r="D224" s="5">
        <v>34.54</v>
      </c>
      <c r="E224" s="5">
        <v>42.1875</v>
      </c>
      <c r="F224" s="5">
        <v>47.375</v>
      </c>
      <c r="G224" s="5">
        <v>65.45</v>
      </c>
      <c r="H224" s="5">
        <v>93.375</v>
      </c>
      <c r="I224" s="5">
        <v>201.82500000000002</v>
      </c>
      <c r="J224" s="10" t="s">
        <v>21</v>
      </c>
      <c r="K224" s="10" t="s">
        <v>21</v>
      </c>
      <c r="L224" s="10" t="s">
        <v>21</v>
      </c>
      <c r="M224" s="10" t="s">
        <v>21</v>
      </c>
      <c r="N224" s="5">
        <v>413.75</v>
      </c>
      <c r="O224" s="11" t="s">
        <v>271</v>
      </c>
      <c r="P224" s="11" t="s">
        <v>271</v>
      </c>
      <c r="Q224" s="12">
        <v>80</v>
      </c>
      <c r="R224" s="11"/>
      <c r="S224" s="3" t="s">
        <v>343</v>
      </c>
      <c r="T224" s="3" t="s">
        <v>344</v>
      </c>
    </row>
    <row r="225" spans="1:20" ht="15.75" customHeight="1" x14ac:dyDescent="0.3">
      <c r="A225" s="7" t="s">
        <v>336</v>
      </c>
      <c r="B225" s="8" t="s">
        <v>19</v>
      </c>
      <c r="C225" s="9" t="s">
        <v>274</v>
      </c>
      <c r="D225" s="10" t="s">
        <v>21</v>
      </c>
      <c r="E225" s="10" t="s">
        <v>21</v>
      </c>
      <c r="F225" s="10" t="s">
        <v>21</v>
      </c>
      <c r="G225" s="10" t="s">
        <v>21</v>
      </c>
      <c r="H225" s="10" t="s">
        <v>21</v>
      </c>
      <c r="I225" s="10" t="s">
        <v>21</v>
      </c>
      <c r="J225" s="10" t="s">
        <v>21</v>
      </c>
      <c r="K225" s="10" t="s">
        <v>21</v>
      </c>
      <c r="L225" s="10" t="s">
        <v>21</v>
      </c>
      <c r="M225" s="10" t="s">
        <v>21</v>
      </c>
      <c r="N225" s="10" t="s">
        <v>21</v>
      </c>
      <c r="O225" s="11"/>
      <c r="P225" s="11"/>
      <c r="Q225" s="11"/>
      <c r="R225" s="11"/>
      <c r="S225" s="3" t="s">
        <v>343</v>
      </c>
      <c r="T225" s="3" t="s">
        <v>344</v>
      </c>
    </row>
    <row r="226" spans="1:20" ht="15.75" customHeight="1" x14ac:dyDescent="0.3">
      <c r="A226" s="7" t="s">
        <v>336</v>
      </c>
      <c r="B226" s="8" t="s">
        <v>19</v>
      </c>
      <c r="C226" s="9" t="s">
        <v>275</v>
      </c>
      <c r="D226" s="5">
        <v>34.549999999999997</v>
      </c>
      <c r="E226" s="5">
        <v>42.1875</v>
      </c>
      <c r="F226" s="5">
        <v>47.375</v>
      </c>
      <c r="G226" s="5">
        <v>65.45</v>
      </c>
      <c r="H226" s="5">
        <v>93.375</v>
      </c>
      <c r="I226" s="5">
        <v>201.82500000000002</v>
      </c>
      <c r="J226" s="10" t="s">
        <v>21</v>
      </c>
      <c r="K226" s="10" t="s">
        <v>21</v>
      </c>
      <c r="L226" s="10" t="s">
        <v>21</v>
      </c>
      <c r="M226" s="10" t="s">
        <v>21</v>
      </c>
      <c r="N226" s="5">
        <v>413.75</v>
      </c>
      <c r="O226" s="11" t="s">
        <v>271</v>
      </c>
      <c r="P226" s="11" t="s">
        <v>271</v>
      </c>
      <c r="Q226" s="12">
        <v>80</v>
      </c>
      <c r="R226" s="11" t="s">
        <v>25</v>
      </c>
      <c r="S226" s="3" t="s">
        <v>343</v>
      </c>
      <c r="T226" s="3" t="s">
        <v>344</v>
      </c>
    </row>
    <row r="227" spans="1:20" ht="15.75" customHeight="1" x14ac:dyDescent="0.3">
      <c r="A227" s="7" t="s">
        <v>336</v>
      </c>
      <c r="B227" s="8" t="s">
        <v>19</v>
      </c>
      <c r="C227" s="9" t="s">
        <v>276</v>
      </c>
      <c r="D227" s="5">
        <v>35.64</v>
      </c>
      <c r="E227" s="5">
        <v>45.75</v>
      </c>
      <c r="F227" s="5">
        <v>44.5</v>
      </c>
      <c r="G227" s="5">
        <v>53.75</v>
      </c>
      <c r="H227" s="5">
        <v>56.75</v>
      </c>
      <c r="I227" s="5">
        <v>66.625</v>
      </c>
      <c r="J227" s="10" t="s">
        <v>21</v>
      </c>
      <c r="K227" s="10" t="s">
        <v>21</v>
      </c>
      <c r="L227" s="10" t="s">
        <v>21</v>
      </c>
      <c r="M227" s="10" t="s">
        <v>21</v>
      </c>
      <c r="N227" s="5">
        <v>123.25</v>
      </c>
      <c r="O227" s="11" t="s">
        <v>61</v>
      </c>
      <c r="P227" s="11" t="s">
        <v>187</v>
      </c>
      <c r="Q227" s="12">
        <v>80</v>
      </c>
      <c r="R227" s="11" t="s">
        <v>25</v>
      </c>
      <c r="S227" s="3" t="s">
        <v>343</v>
      </c>
      <c r="T227" s="3" t="s">
        <v>344</v>
      </c>
    </row>
    <row r="228" spans="1:20" ht="15.75" customHeight="1" x14ac:dyDescent="0.3">
      <c r="A228" s="7" t="s">
        <v>336</v>
      </c>
      <c r="B228" s="8" t="s">
        <v>19</v>
      </c>
      <c r="C228" s="9" t="s">
        <v>277</v>
      </c>
      <c r="D228" s="5">
        <v>30.11</v>
      </c>
      <c r="E228" s="5">
        <v>36.125</v>
      </c>
      <c r="F228" s="5">
        <v>40.012499999999996</v>
      </c>
      <c r="G228" s="5">
        <v>55.987499999999997</v>
      </c>
      <c r="H228" s="5">
        <v>76.5</v>
      </c>
      <c r="I228" s="5">
        <v>178.27500000000001</v>
      </c>
      <c r="J228" s="10" t="s">
        <v>21</v>
      </c>
      <c r="K228" s="10" t="s">
        <v>21</v>
      </c>
      <c r="L228" s="10" t="s">
        <v>21</v>
      </c>
      <c r="M228" s="10" t="s">
        <v>21</v>
      </c>
      <c r="N228" s="5">
        <v>381.5625</v>
      </c>
      <c r="O228" s="11" t="s">
        <v>23</v>
      </c>
      <c r="P228" s="11" t="s">
        <v>24</v>
      </c>
      <c r="Q228" s="12">
        <v>80</v>
      </c>
      <c r="R228" s="11" t="s">
        <v>25</v>
      </c>
      <c r="S228" s="3" t="s">
        <v>343</v>
      </c>
      <c r="T228" s="3" t="s">
        <v>344</v>
      </c>
    </row>
    <row r="229" spans="1:20" ht="15.75" customHeight="1" x14ac:dyDescent="0.3">
      <c r="A229" s="7" t="s">
        <v>336</v>
      </c>
      <c r="B229" s="8" t="s">
        <v>19</v>
      </c>
      <c r="C229" s="9" t="s">
        <v>278</v>
      </c>
      <c r="D229" s="5">
        <v>26.3</v>
      </c>
      <c r="E229" s="5">
        <v>28.125</v>
      </c>
      <c r="F229" s="5">
        <v>31.625</v>
      </c>
      <c r="G229" s="5">
        <v>47.5</v>
      </c>
      <c r="H229" s="5">
        <v>70.25</v>
      </c>
      <c r="I229" s="5">
        <v>133.75</v>
      </c>
      <c r="J229" s="10" t="s">
        <v>21</v>
      </c>
      <c r="K229" s="10" t="s">
        <v>21</v>
      </c>
      <c r="L229" s="10" t="s">
        <v>21</v>
      </c>
      <c r="M229" s="10" t="s">
        <v>21</v>
      </c>
      <c r="N229" s="5">
        <v>268.75</v>
      </c>
      <c r="O229" s="11" t="s">
        <v>23</v>
      </c>
      <c r="P229" s="11" t="s">
        <v>24</v>
      </c>
      <c r="Q229" s="12">
        <v>80</v>
      </c>
      <c r="R229" s="11" t="s">
        <v>25</v>
      </c>
      <c r="S229" s="3" t="s">
        <v>343</v>
      </c>
      <c r="T229" s="3" t="s">
        <v>344</v>
      </c>
    </row>
    <row r="230" spans="1:20" ht="15.75" customHeight="1" x14ac:dyDescent="0.3">
      <c r="A230" s="7" t="s">
        <v>336</v>
      </c>
      <c r="B230" s="8" t="s">
        <v>19</v>
      </c>
      <c r="C230" s="9" t="s">
        <v>279</v>
      </c>
      <c r="D230" s="5">
        <v>37.89</v>
      </c>
      <c r="E230" s="5">
        <v>45.75</v>
      </c>
      <c r="F230" s="5">
        <v>44.5</v>
      </c>
      <c r="G230" s="5">
        <v>53.75</v>
      </c>
      <c r="H230" s="5">
        <v>56.75</v>
      </c>
      <c r="I230" s="5">
        <v>66.625</v>
      </c>
      <c r="J230" s="10" t="s">
        <v>21</v>
      </c>
      <c r="K230" s="10" t="s">
        <v>21</v>
      </c>
      <c r="L230" s="10" t="s">
        <v>21</v>
      </c>
      <c r="M230" s="10" t="s">
        <v>21</v>
      </c>
      <c r="N230" s="5">
        <v>123.25</v>
      </c>
      <c r="O230" s="11" t="s">
        <v>61</v>
      </c>
      <c r="P230" s="11" t="s">
        <v>187</v>
      </c>
      <c r="Q230" s="12">
        <v>80</v>
      </c>
      <c r="R230" s="11" t="s">
        <v>25</v>
      </c>
      <c r="S230" s="3" t="s">
        <v>343</v>
      </c>
      <c r="T230" s="3" t="s">
        <v>344</v>
      </c>
    </row>
    <row r="231" spans="1:20" ht="15.75" customHeight="1" x14ac:dyDescent="0.3">
      <c r="A231" s="7" t="s">
        <v>336</v>
      </c>
      <c r="B231" s="8" t="s">
        <v>19</v>
      </c>
      <c r="C231" s="9" t="s">
        <v>280</v>
      </c>
      <c r="D231" s="10" t="s">
        <v>21</v>
      </c>
      <c r="E231" s="10" t="s">
        <v>21</v>
      </c>
      <c r="F231" s="10" t="s">
        <v>21</v>
      </c>
      <c r="G231" s="10" t="s">
        <v>21</v>
      </c>
      <c r="H231" s="10" t="s">
        <v>21</v>
      </c>
      <c r="I231" s="10" t="s">
        <v>21</v>
      </c>
      <c r="J231" s="10" t="s">
        <v>21</v>
      </c>
      <c r="K231" s="10" t="s">
        <v>21</v>
      </c>
      <c r="L231" s="10" t="s">
        <v>21</v>
      </c>
      <c r="M231" s="10" t="s">
        <v>21</v>
      </c>
      <c r="N231" s="10" t="s">
        <v>21</v>
      </c>
      <c r="O231" s="11"/>
      <c r="P231" s="11"/>
      <c r="Q231" s="11"/>
      <c r="R231" s="11"/>
      <c r="S231" s="3" t="s">
        <v>343</v>
      </c>
      <c r="T231" s="3" t="s">
        <v>344</v>
      </c>
    </row>
    <row r="232" spans="1:20" ht="15.75" customHeight="1" x14ac:dyDescent="0.3">
      <c r="A232" s="7" t="s">
        <v>336</v>
      </c>
      <c r="B232" s="8" t="s">
        <v>19</v>
      </c>
      <c r="C232" s="9" t="s">
        <v>281</v>
      </c>
      <c r="D232" s="5">
        <v>30.11</v>
      </c>
      <c r="E232" s="5">
        <v>36.125</v>
      </c>
      <c r="F232" s="5">
        <v>40.012499999999996</v>
      </c>
      <c r="G232" s="5">
        <v>55.987499999999997</v>
      </c>
      <c r="H232" s="5">
        <v>76.5</v>
      </c>
      <c r="I232" s="5">
        <v>178.27500000000001</v>
      </c>
      <c r="J232" s="10" t="s">
        <v>21</v>
      </c>
      <c r="K232" s="10" t="s">
        <v>21</v>
      </c>
      <c r="L232" s="10" t="s">
        <v>21</v>
      </c>
      <c r="M232" s="10" t="s">
        <v>21</v>
      </c>
      <c r="N232" s="5">
        <v>381.5625</v>
      </c>
      <c r="O232" s="11" t="s">
        <v>23</v>
      </c>
      <c r="P232" s="11" t="s">
        <v>24</v>
      </c>
      <c r="Q232" s="12">
        <v>80</v>
      </c>
      <c r="R232" s="11" t="s">
        <v>25</v>
      </c>
      <c r="S232" s="3" t="s">
        <v>343</v>
      </c>
      <c r="T232" s="3" t="s">
        <v>344</v>
      </c>
    </row>
    <row r="233" spans="1:20" ht="15.75" customHeight="1" x14ac:dyDescent="0.3">
      <c r="A233" s="7" t="s">
        <v>336</v>
      </c>
      <c r="B233" s="8" t="s">
        <v>19</v>
      </c>
      <c r="C233" s="9" t="s">
        <v>282</v>
      </c>
      <c r="D233" s="10" t="s">
        <v>21</v>
      </c>
      <c r="E233" s="10" t="s">
        <v>21</v>
      </c>
      <c r="F233" s="10" t="s">
        <v>21</v>
      </c>
      <c r="G233" s="10" t="s">
        <v>21</v>
      </c>
      <c r="H233" s="10" t="s">
        <v>21</v>
      </c>
      <c r="I233" s="10" t="s">
        <v>21</v>
      </c>
      <c r="J233" s="10" t="s">
        <v>21</v>
      </c>
      <c r="K233" s="10" t="s">
        <v>21</v>
      </c>
      <c r="L233" s="10" t="s">
        <v>21</v>
      </c>
      <c r="M233" s="10" t="s">
        <v>21</v>
      </c>
      <c r="N233" s="10" t="s">
        <v>21</v>
      </c>
      <c r="O233" s="11"/>
      <c r="P233" s="11"/>
      <c r="Q233" s="11"/>
      <c r="R233" s="11"/>
      <c r="S233" s="3" t="s">
        <v>343</v>
      </c>
      <c r="T233" s="3" t="s">
        <v>344</v>
      </c>
    </row>
    <row r="234" spans="1:20" ht="15.75" customHeight="1" x14ac:dyDescent="0.3">
      <c r="A234" s="7" t="s">
        <v>336</v>
      </c>
      <c r="B234" s="8" t="s">
        <v>19</v>
      </c>
      <c r="C234" s="9" t="s">
        <v>283</v>
      </c>
      <c r="D234" s="10" t="s">
        <v>21</v>
      </c>
      <c r="E234" s="10" t="s">
        <v>21</v>
      </c>
      <c r="F234" s="10" t="s">
        <v>21</v>
      </c>
      <c r="G234" s="10" t="s">
        <v>21</v>
      </c>
      <c r="H234" s="10" t="s">
        <v>21</v>
      </c>
      <c r="I234" s="10" t="s">
        <v>21</v>
      </c>
      <c r="J234" s="10" t="s">
        <v>21</v>
      </c>
      <c r="K234" s="10" t="s">
        <v>21</v>
      </c>
      <c r="L234" s="10" t="s">
        <v>21</v>
      </c>
      <c r="M234" s="10" t="s">
        <v>21</v>
      </c>
      <c r="N234" s="10" t="s">
        <v>21</v>
      </c>
      <c r="O234" s="11"/>
      <c r="P234" s="11"/>
      <c r="Q234" s="11"/>
      <c r="R234" s="11"/>
      <c r="S234" s="3" t="s">
        <v>343</v>
      </c>
      <c r="T234" s="3" t="s">
        <v>344</v>
      </c>
    </row>
    <row r="235" spans="1:20" ht="15.75" customHeight="1" x14ac:dyDescent="0.3">
      <c r="A235" s="7" t="s">
        <v>336</v>
      </c>
      <c r="B235" s="8" t="s">
        <v>19</v>
      </c>
      <c r="C235" s="9" t="s">
        <v>284</v>
      </c>
      <c r="D235" s="5">
        <v>34.54</v>
      </c>
      <c r="E235" s="5">
        <v>42.1875</v>
      </c>
      <c r="F235" s="5">
        <v>47.375</v>
      </c>
      <c r="G235" s="5">
        <v>65.45</v>
      </c>
      <c r="H235" s="5">
        <v>93.375</v>
      </c>
      <c r="I235" s="5">
        <v>201.82500000000002</v>
      </c>
      <c r="J235" s="10" t="s">
        <v>21</v>
      </c>
      <c r="K235" s="10" t="s">
        <v>21</v>
      </c>
      <c r="L235" s="10" t="s">
        <v>21</v>
      </c>
      <c r="M235" s="10" t="s">
        <v>21</v>
      </c>
      <c r="N235" s="5">
        <v>413.75</v>
      </c>
      <c r="O235" s="11" t="s">
        <v>271</v>
      </c>
      <c r="P235" s="11" t="s">
        <v>271</v>
      </c>
      <c r="Q235" s="12">
        <v>80</v>
      </c>
      <c r="R235" s="11" t="s">
        <v>25</v>
      </c>
      <c r="S235" s="3" t="s">
        <v>343</v>
      </c>
      <c r="T235" s="3" t="s">
        <v>344</v>
      </c>
    </row>
    <row r="236" spans="1:20" ht="15.75" customHeight="1" x14ac:dyDescent="0.3">
      <c r="A236" s="7" t="s">
        <v>336</v>
      </c>
      <c r="B236" s="8" t="s">
        <v>19</v>
      </c>
      <c r="C236" s="9" t="s">
        <v>285</v>
      </c>
      <c r="D236" s="10" t="s">
        <v>21</v>
      </c>
      <c r="E236" s="10" t="s">
        <v>21</v>
      </c>
      <c r="F236" s="10" t="s">
        <v>21</v>
      </c>
      <c r="G236" s="10" t="s">
        <v>21</v>
      </c>
      <c r="H236" s="10" t="s">
        <v>21</v>
      </c>
      <c r="I236" s="10" t="s">
        <v>21</v>
      </c>
      <c r="J236" s="10" t="s">
        <v>21</v>
      </c>
      <c r="K236" s="10" t="s">
        <v>21</v>
      </c>
      <c r="L236" s="10" t="s">
        <v>21</v>
      </c>
      <c r="M236" s="10" t="s">
        <v>21</v>
      </c>
      <c r="N236" s="10" t="s">
        <v>21</v>
      </c>
      <c r="O236" s="11"/>
      <c r="P236" s="11"/>
      <c r="Q236" s="11"/>
      <c r="R236" s="11"/>
      <c r="S236" s="3" t="s">
        <v>343</v>
      </c>
      <c r="T236" s="3" t="s">
        <v>344</v>
      </c>
    </row>
    <row r="237" spans="1:20" ht="15.75" customHeight="1" x14ac:dyDescent="0.3">
      <c r="A237" s="7" t="s">
        <v>336</v>
      </c>
      <c r="B237" s="8" t="s">
        <v>19</v>
      </c>
      <c r="C237" s="9" t="s">
        <v>286</v>
      </c>
      <c r="D237" s="5">
        <v>26.3</v>
      </c>
      <c r="E237" s="5">
        <v>28.125</v>
      </c>
      <c r="F237" s="5">
        <v>31.625</v>
      </c>
      <c r="G237" s="5">
        <v>45.05</v>
      </c>
      <c r="H237" s="5">
        <v>70.349999999999994</v>
      </c>
      <c r="I237" s="5">
        <v>133.22499999999999</v>
      </c>
      <c r="J237" s="10" t="s">
        <v>21</v>
      </c>
      <c r="K237" s="10" t="s">
        <v>21</v>
      </c>
      <c r="L237" s="10" t="s">
        <v>21</v>
      </c>
      <c r="M237" s="10" t="s">
        <v>21</v>
      </c>
      <c r="N237" s="5">
        <v>281.625</v>
      </c>
      <c r="O237" s="11" t="s">
        <v>29</v>
      </c>
      <c r="P237" s="11" t="s">
        <v>30</v>
      </c>
      <c r="Q237" s="12">
        <v>80</v>
      </c>
      <c r="R237" s="11" t="s">
        <v>25</v>
      </c>
      <c r="S237" s="3" t="s">
        <v>343</v>
      </c>
      <c r="T237" s="3" t="s">
        <v>344</v>
      </c>
    </row>
    <row r="238" spans="1:20" ht="15.75" customHeight="1" x14ac:dyDescent="0.3">
      <c r="A238" s="7" t="s">
        <v>336</v>
      </c>
      <c r="B238" s="8" t="s">
        <v>19</v>
      </c>
      <c r="C238" s="9" t="s">
        <v>287</v>
      </c>
      <c r="D238" s="5">
        <v>19.84</v>
      </c>
      <c r="E238" s="5">
        <v>23.875</v>
      </c>
      <c r="F238" s="5">
        <v>26.25</v>
      </c>
      <c r="G238" s="5">
        <v>28.75</v>
      </c>
      <c r="H238" s="5">
        <v>31.25</v>
      </c>
      <c r="I238" s="5">
        <v>36.25</v>
      </c>
      <c r="J238" s="10" t="s">
        <v>21</v>
      </c>
      <c r="K238" s="10" t="s">
        <v>21</v>
      </c>
      <c r="L238" s="10" t="s">
        <v>21</v>
      </c>
      <c r="M238" s="10" t="s">
        <v>21</v>
      </c>
      <c r="N238" s="5">
        <v>91.25</v>
      </c>
      <c r="O238" s="11" t="s">
        <v>29</v>
      </c>
      <c r="P238" s="11" t="s">
        <v>33</v>
      </c>
      <c r="Q238" s="12">
        <v>80</v>
      </c>
      <c r="R238" s="11" t="s">
        <v>25</v>
      </c>
      <c r="S238" s="3" t="s">
        <v>343</v>
      </c>
      <c r="T238" s="3" t="s">
        <v>344</v>
      </c>
    </row>
    <row r="239" spans="1:20" ht="15.75" customHeight="1" x14ac:dyDescent="0.3">
      <c r="A239" s="7" t="s">
        <v>336</v>
      </c>
      <c r="B239" s="8" t="s">
        <v>19</v>
      </c>
      <c r="C239" s="9" t="s">
        <v>288</v>
      </c>
      <c r="D239" s="5">
        <v>23.23</v>
      </c>
      <c r="E239" s="5">
        <v>33.25</v>
      </c>
      <c r="F239" s="5">
        <v>37.125</v>
      </c>
      <c r="G239" s="5">
        <v>53.75</v>
      </c>
      <c r="H239" s="5">
        <v>73.125</v>
      </c>
      <c r="I239" s="5">
        <v>135.625</v>
      </c>
      <c r="J239" s="10" t="s">
        <v>21</v>
      </c>
      <c r="K239" s="10" t="s">
        <v>21</v>
      </c>
      <c r="L239" s="10" t="s">
        <v>21</v>
      </c>
      <c r="M239" s="10" t="s">
        <v>21</v>
      </c>
      <c r="N239" s="5">
        <v>286.875</v>
      </c>
      <c r="O239" s="11" t="s">
        <v>29</v>
      </c>
      <c r="P239" s="11" t="s">
        <v>38</v>
      </c>
      <c r="Q239" s="12">
        <v>80</v>
      </c>
      <c r="R239" s="11" t="s">
        <v>25</v>
      </c>
      <c r="S239" s="3" t="s">
        <v>343</v>
      </c>
      <c r="T239" s="3" t="s">
        <v>344</v>
      </c>
    </row>
    <row r="240" spans="1:20" ht="15.75" customHeight="1" x14ac:dyDescent="0.3">
      <c r="A240" s="7" t="s">
        <v>336</v>
      </c>
      <c r="B240" s="8" t="s">
        <v>19</v>
      </c>
      <c r="C240" s="9" t="s">
        <v>289</v>
      </c>
      <c r="D240" s="5">
        <v>30.11</v>
      </c>
      <c r="E240" s="5">
        <v>36.125</v>
      </c>
      <c r="F240" s="5">
        <v>40.012499999999996</v>
      </c>
      <c r="G240" s="5">
        <v>55.987499999999997</v>
      </c>
      <c r="H240" s="5">
        <v>76.5</v>
      </c>
      <c r="I240" s="5">
        <v>178.27500000000001</v>
      </c>
      <c r="J240" s="10" t="s">
        <v>21</v>
      </c>
      <c r="K240" s="10" t="s">
        <v>21</v>
      </c>
      <c r="L240" s="10" t="s">
        <v>21</v>
      </c>
      <c r="M240" s="10" t="s">
        <v>21</v>
      </c>
      <c r="N240" s="5">
        <v>381.5625</v>
      </c>
      <c r="O240" s="11" t="s">
        <v>23</v>
      </c>
      <c r="P240" s="11" t="s">
        <v>24</v>
      </c>
      <c r="Q240" s="12">
        <v>80</v>
      </c>
      <c r="R240" s="11" t="s">
        <v>25</v>
      </c>
      <c r="S240" s="3" t="s">
        <v>343</v>
      </c>
      <c r="T240" s="3" t="s">
        <v>344</v>
      </c>
    </row>
    <row r="241" spans="1:20" ht="15.75" customHeight="1" x14ac:dyDescent="0.3">
      <c r="A241" s="7" t="s">
        <v>336</v>
      </c>
      <c r="B241" s="8" t="s">
        <v>19</v>
      </c>
      <c r="C241" s="9" t="s">
        <v>290</v>
      </c>
      <c r="D241" s="5">
        <v>34.54</v>
      </c>
      <c r="E241" s="5">
        <v>42.1875</v>
      </c>
      <c r="F241" s="5">
        <v>47.375</v>
      </c>
      <c r="G241" s="5">
        <v>65.45</v>
      </c>
      <c r="H241" s="5">
        <v>93.375</v>
      </c>
      <c r="I241" s="5">
        <v>201.82500000000002</v>
      </c>
      <c r="J241" s="10" t="s">
        <v>21</v>
      </c>
      <c r="K241" s="10" t="s">
        <v>21</v>
      </c>
      <c r="L241" s="10" t="s">
        <v>21</v>
      </c>
      <c r="M241" s="10" t="s">
        <v>21</v>
      </c>
      <c r="N241" s="5">
        <v>413.75</v>
      </c>
      <c r="O241" s="11" t="s">
        <v>271</v>
      </c>
      <c r="P241" s="11" t="s">
        <v>271</v>
      </c>
      <c r="Q241" s="12">
        <v>80</v>
      </c>
      <c r="R241" s="11" t="s">
        <v>25</v>
      </c>
      <c r="S241" s="3" t="s">
        <v>343</v>
      </c>
      <c r="T241" s="3" t="s">
        <v>344</v>
      </c>
    </row>
    <row r="242" spans="1:20" ht="15.75" customHeight="1" x14ac:dyDescent="0.3">
      <c r="A242" s="7" t="s">
        <v>336</v>
      </c>
      <c r="B242" s="8" t="s">
        <v>19</v>
      </c>
      <c r="C242" s="9" t="s">
        <v>291</v>
      </c>
      <c r="D242" s="5">
        <v>34.54</v>
      </c>
      <c r="E242" s="5">
        <v>42.1875</v>
      </c>
      <c r="F242" s="5">
        <v>47.375</v>
      </c>
      <c r="G242" s="5">
        <v>65.45</v>
      </c>
      <c r="H242" s="5">
        <v>93.375</v>
      </c>
      <c r="I242" s="5">
        <v>201.82500000000002</v>
      </c>
      <c r="J242" s="10" t="s">
        <v>21</v>
      </c>
      <c r="K242" s="10" t="s">
        <v>21</v>
      </c>
      <c r="L242" s="10" t="s">
        <v>21</v>
      </c>
      <c r="M242" s="10" t="s">
        <v>21</v>
      </c>
      <c r="N242" s="5">
        <v>413.75</v>
      </c>
      <c r="O242" s="11" t="s">
        <v>271</v>
      </c>
      <c r="P242" s="11" t="s">
        <v>271</v>
      </c>
      <c r="Q242" s="12">
        <v>80</v>
      </c>
      <c r="R242" s="11" t="s">
        <v>25</v>
      </c>
      <c r="S242" s="3" t="s">
        <v>343</v>
      </c>
      <c r="T242" s="3" t="s">
        <v>344</v>
      </c>
    </row>
    <row r="243" spans="1:20" ht="15.75" customHeight="1" x14ac:dyDescent="0.3">
      <c r="A243" s="7" t="s">
        <v>336</v>
      </c>
      <c r="B243" s="8" t="s">
        <v>19</v>
      </c>
      <c r="C243" s="9" t="s">
        <v>292</v>
      </c>
      <c r="D243" s="5">
        <v>22.28</v>
      </c>
      <c r="E243" s="5">
        <v>24.512499999999999</v>
      </c>
      <c r="F243" s="5">
        <v>25</v>
      </c>
      <c r="G243" s="5">
        <v>27.5</v>
      </c>
      <c r="H243" s="5">
        <v>33.75</v>
      </c>
      <c r="I243" s="5">
        <v>40.4</v>
      </c>
      <c r="J243" s="10" t="s">
        <v>21</v>
      </c>
      <c r="K243" s="10" t="s">
        <v>21</v>
      </c>
      <c r="L243" s="10" t="s">
        <v>21</v>
      </c>
      <c r="M243" s="10" t="s">
        <v>21</v>
      </c>
      <c r="N243" s="5">
        <v>86.25</v>
      </c>
      <c r="O243" s="11" t="s">
        <v>29</v>
      </c>
      <c r="P243" s="11" t="s">
        <v>38</v>
      </c>
      <c r="Q243" s="12">
        <v>80</v>
      </c>
      <c r="R243" s="11" t="s">
        <v>25</v>
      </c>
      <c r="S243" s="3" t="s">
        <v>343</v>
      </c>
      <c r="T243" s="3" t="s">
        <v>344</v>
      </c>
    </row>
    <row r="244" spans="1:20" ht="15.75" customHeight="1" x14ac:dyDescent="0.3">
      <c r="A244" s="7" t="s">
        <v>336</v>
      </c>
      <c r="B244" s="8" t="s">
        <v>19</v>
      </c>
      <c r="C244" s="9" t="s">
        <v>293</v>
      </c>
      <c r="D244" s="10" t="s">
        <v>21</v>
      </c>
      <c r="E244" s="10" t="s">
        <v>21</v>
      </c>
      <c r="F244" s="10" t="s">
        <v>21</v>
      </c>
      <c r="G244" s="10" t="s">
        <v>21</v>
      </c>
      <c r="H244" s="10" t="s">
        <v>21</v>
      </c>
      <c r="I244" s="10" t="s">
        <v>21</v>
      </c>
      <c r="J244" s="10" t="s">
        <v>21</v>
      </c>
      <c r="K244" s="10" t="s">
        <v>21</v>
      </c>
      <c r="L244" s="10" t="s">
        <v>21</v>
      </c>
      <c r="M244" s="10" t="s">
        <v>21</v>
      </c>
      <c r="N244" s="10" t="s">
        <v>21</v>
      </c>
      <c r="O244" s="11"/>
      <c r="P244" s="11"/>
      <c r="Q244" s="11"/>
      <c r="R244" s="11"/>
      <c r="S244" s="3" t="s">
        <v>343</v>
      </c>
      <c r="T244" s="3" t="s">
        <v>344</v>
      </c>
    </row>
    <row r="245" spans="1:20" ht="15.75" customHeight="1" x14ac:dyDescent="0.3">
      <c r="A245" s="7" t="s">
        <v>336</v>
      </c>
      <c r="B245" s="8" t="s">
        <v>19</v>
      </c>
      <c r="C245" s="9" t="s">
        <v>294</v>
      </c>
      <c r="D245" s="5">
        <v>28.42</v>
      </c>
      <c r="E245" s="5">
        <v>33</v>
      </c>
      <c r="F245" s="5">
        <v>38.125</v>
      </c>
      <c r="G245" s="5">
        <v>54.75</v>
      </c>
      <c r="H245" s="5">
        <v>77.5</v>
      </c>
      <c r="I245" s="5">
        <v>138.125</v>
      </c>
      <c r="J245" s="10" t="s">
        <v>21</v>
      </c>
      <c r="K245" s="10" t="s">
        <v>21</v>
      </c>
      <c r="L245" s="10" t="s">
        <v>21</v>
      </c>
      <c r="M245" s="10" t="s">
        <v>21</v>
      </c>
      <c r="N245" s="5">
        <v>289.625</v>
      </c>
      <c r="O245" s="11" t="s">
        <v>38</v>
      </c>
      <c r="P245" s="11" t="s">
        <v>24</v>
      </c>
      <c r="Q245" s="12">
        <v>80</v>
      </c>
      <c r="R245" s="11" t="s">
        <v>25</v>
      </c>
      <c r="S245" s="3" t="s">
        <v>343</v>
      </c>
      <c r="T245" s="3" t="s">
        <v>344</v>
      </c>
    </row>
    <row r="246" spans="1:20" ht="15.75" customHeight="1" x14ac:dyDescent="0.3">
      <c r="A246" s="7" t="s">
        <v>336</v>
      </c>
      <c r="B246" s="8" t="s">
        <v>19</v>
      </c>
      <c r="C246" s="9" t="s">
        <v>295</v>
      </c>
      <c r="D246" s="5">
        <v>34.54</v>
      </c>
      <c r="E246" s="5">
        <v>42.1875</v>
      </c>
      <c r="F246" s="5">
        <v>47.375</v>
      </c>
      <c r="G246" s="5">
        <v>65.45</v>
      </c>
      <c r="H246" s="5">
        <v>93.375</v>
      </c>
      <c r="I246" s="5">
        <v>201.82500000000002</v>
      </c>
      <c r="J246" s="10" t="s">
        <v>21</v>
      </c>
      <c r="K246" s="10" t="s">
        <v>21</v>
      </c>
      <c r="L246" s="10" t="s">
        <v>21</v>
      </c>
      <c r="M246" s="10" t="s">
        <v>21</v>
      </c>
      <c r="N246" s="5">
        <v>413.75</v>
      </c>
      <c r="O246" s="11" t="s">
        <v>271</v>
      </c>
      <c r="P246" s="11" t="s">
        <v>271</v>
      </c>
      <c r="Q246" s="12">
        <v>80</v>
      </c>
      <c r="R246" s="11" t="s">
        <v>25</v>
      </c>
      <c r="S246" s="3" t="s">
        <v>343</v>
      </c>
      <c r="T246" s="3" t="s">
        <v>344</v>
      </c>
    </row>
    <row r="247" spans="1:20" ht="15.75" customHeight="1" x14ac:dyDescent="0.3">
      <c r="A247" s="7" t="s">
        <v>336</v>
      </c>
      <c r="B247" s="8" t="s">
        <v>19</v>
      </c>
      <c r="C247" s="9" t="s">
        <v>296</v>
      </c>
      <c r="D247" s="10" t="s">
        <v>21</v>
      </c>
      <c r="E247" s="10" t="s">
        <v>21</v>
      </c>
      <c r="F247" s="10" t="s">
        <v>21</v>
      </c>
      <c r="G247" s="10" t="s">
        <v>21</v>
      </c>
      <c r="H247" s="10" t="s">
        <v>21</v>
      </c>
      <c r="I247" s="10" t="s">
        <v>21</v>
      </c>
      <c r="J247" s="10" t="s">
        <v>21</v>
      </c>
      <c r="K247" s="10" t="s">
        <v>21</v>
      </c>
      <c r="L247" s="10" t="s">
        <v>21</v>
      </c>
      <c r="M247" s="10" t="s">
        <v>21</v>
      </c>
      <c r="N247" s="10" t="s">
        <v>21</v>
      </c>
      <c r="O247" s="11"/>
      <c r="P247" s="11"/>
      <c r="Q247" s="11"/>
      <c r="R247" s="11"/>
      <c r="S247" s="3" t="s">
        <v>343</v>
      </c>
      <c r="T247" s="3" t="s">
        <v>344</v>
      </c>
    </row>
    <row r="248" spans="1:20" ht="15.75" customHeight="1" x14ac:dyDescent="0.3">
      <c r="A248" s="7" t="s">
        <v>336</v>
      </c>
      <c r="B248" s="8" t="s">
        <v>19</v>
      </c>
      <c r="C248" s="9" t="s">
        <v>297</v>
      </c>
      <c r="D248" s="10" t="s">
        <v>21</v>
      </c>
      <c r="E248" s="10" t="s">
        <v>21</v>
      </c>
      <c r="F248" s="10" t="s">
        <v>21</v>
      </c>
      <c r="G248" s="10" t="s">
        <v>21</v>
      </c>
      <c r="H248" s="10" t="s">
        <v>21</v>
      </c>
      <c r="I248" s="10" t="s">
        <v>21</v>
      </c>
      <c r="J248" s="10" t="s">
        <v>21</v>
      </c>
      <c r="K248" s="10" t="s">
        <v>21</v>
      </c>
      <c r="L248" s="10" t="s">
        <v>21</v>
      </c>
      <c r="M248" s="10" t="s">
        <v>21</v>
      </c>
      <c r="N248" s="10" t="s">
        <v>21</v>
      </c>
      <c r="O248" s="11"/>
      <c r="P248" s="11"/>
      <c r="Q248" s="11"/>
      <c r="R248" s="11"/>
      <c r="S248" s="3" t="s">
        <v>343</v>
      </c>
      <c r="T248" s="3" t="s">
        <v>344</v>
      </c>
    </row>
    <row r="249" spans="1:20" ht="15.75" customHeight="1" x14ac:dyDescent="0.3">
      <c r="A249" s="7" t="s">
        <v>336</v>
      </c>
      <c r="B249" s="8" t="s">
        <v>19</v>
      </c>
      <c r="C249" s="9" t="s">
        <v>298</v>
      </c>
      <c r="D249" s="5">
        <v>34.54</v>
      </c>
      <c r="E249" s="5">
        <v>42.1875</v>
      </c>
      <c r="F249" s="5">
        <v>47.375</v>
      </c>
      <c r="G249" s="5">
        <v>65.45</v>
      </c>
      <c r="H249" s="5">
        <v>93.375</v>
      </c>
      <c r="I249" s="5">
        <v>201.82500000000002</v>
      </c>
      <c r="J249" s="10" t="s">
        <v>21</v>
      </c>
      <c r="K249" s="10" t="s">
        <v>21</v>
      </c>
      <c r="L249" s="10" t="s">
        <v>21</v>
      </c>
      <c r="M249" s="10" t="s">
        <v>21</v>
      </c>
      <c r="N249" s="5">
        <v>413.75</v>
      </c>
      <c r="O249" s="11" t="s">
        <v>271</v>
      </c>
      <c r="P249" s="11" t="s">
        <v>271</v>
      </c>
      <c r="Q249" s="12">
        <v>80</v>
      </c>
      <c r="R249" s="11" t="s">
        <v>25</v>
      </c>
      <c r="S249" s="3" t="s">
        <v>343</v>
      </c>
      <c r="T249" s="3" t="s">
        <v>344</v>
      </c>
    </row>
    <row r="250" spans="1:20" ht="15.75" customHeight="1" x14ac:dyDescent="0.3">
      <c r="A250" s="7" t="s">
        <v>336</v>
      </c>
      <c r="B250" s="8" t="s">
        <v>19</v>
      </c>
      <c r="C250" s="9" t="s">
        <v>299</v>
      </c>
      <c r="D250" s="5">
        <v>34.54</v>
      </c>
      <c r="E250" s="5">
        <v>42.1875</v>
      </c>
      <c r="F250" s="5">
        <v>47.375</v>
      </c>
      <c r="G250" s="5">
        <v>65.45</v>
      </c>
      <c r="H250" s="5">
        <v>93.375</v>
      </c>
      <c r="I250" s="5">
        <v>201.82500000000002</v>
      </c>
      <c r="J250" s="10" t="s">
        <v>21</v>
      </c>
      <c r="K250" s="10" t="s">
        <v>21</v>
      </c>
      <c r="L250" s="10" t="s">
        <v>21</v>
      </c>
      <c r="M250" s="10" t="s">
        <v>21</v>
      </c>
      <c r="N250" s="5">
        <v>413.75</v>
      </c>
      <c r="O250" s="11" t="s">
        <v>271</v>
      </c>
      <c r="P250" s="11" t="s">
        <v>271</v>
      </c>
      <c r="Q250" s="12">
        <v>80</v>
      </c>
      <c r="R250" s="11" t="s">
        <v>25</v>
      </c>
      <c r="S250" s="3" t="s">
        <v>343</v>
      </c>
      <c r="T250" s="3" t="s">
        <v>344</v>
      </c>
    </row>
    <row r="251" spans="1:20" ht="15.75" customHeight="1" x14ac:dyDescent="0.25">
      <c r="B251" s="3"/>
      <c r="S251" s="3"/>
      <c r="T251" s="3"/>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sheetData>
  <conditionalFormatting sqref="A2:T250">
    <cfRule type="expression" dxfId="6" priority="1">
      <formula>IF($A2="N/A",TRUE,Fasle)</formula>
    </cfRule>
    <cfRule type="expression" dxfId="5" priority="2">
      <formula>IF($A2="EU",TRUE,Fasle)</formula>
    </cfRule>
  </conditionalFormatting>
  <dataValidations count="1">
    <dataValidation type="list" allowBlank="1" showInputMessage="1" showErrorMessage="1" sqref="A2:A250" xr:uid="{00000000-0002-0000-0000-000000000000}">
      <formula1>"EU,N/A"</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T1002"/>
  <sheetViews>
    <sheetView workbookViewId="0">
      <pane ySplit="1" topLeftCell="A1048560" activePane="bottomLeft" state="frozen"/>
      <selection pane="bottomLeft" activeCell="C1048566" sqref="C1048566"/>
    </sheetView>
  </sheetViews>
  <sheetFormatPr defaultColWidth="12.5546875" defaultRowHeight="15" customHeight="1" x14ac:dyDescent="0.25"/>
  <cols>
    <col min="1" max="1" width="7.33203125" customWidth="1"/>
    <col min="2" max="2" width="10.5546875" customWidth="1"/>
    <col min="3" max="3" width="19.88671875" customWidth="1"/>
    <col min="4" max="4" width="12.109375" customWidth="1"/>
    <col min="11" max="11" width="11.33203125" customWidth="1"/>
    <col min="15" max="15" width="11.6640625" customWidth="1"/>
    <col min="16" max="16" width="13.5546875" customWidth="1"/>
    <col min="19" max="19" width="14.33203125" customWidth="1"/>
  </cols>
  <sheetData>
    <row r="1" spans="1:20" ht="15.75" customHeight="1" x14ac:dyDescent="0.3">
      <c r="A1" s="33" t="s">
        <v>338</v>
      </c>
      <c r="B1" s="34" t="s">
        <v>0</v>
      </c>
      <c r="C1" s="34" t="s">
        <v>1</v>
      </c>
      <c r="D1" s="35" t="s">
        <v>2</v>
      </c>
      <c r="E1" s="35" t="s">
        <v>3</v>
      </c>
      <c r="F1" s="35" t="s">
        <v>4</v>
      </c>
      <c r="G1" s="35" t="s">
        <v>5</v>
      </c>
      <c r="H1" s="35" t="s">
        <v>6</v>
      </c>
      <c r="I1" s="35" t="s">
        <v>7</v>
      </c>
      <c r="J1" s="35" t="s">
        <v>8</v>
      </c>
      <c r="K1" s="35" t="s">
        <v>9</v>
      </c>
      <c r="L1" s="35" t="s">
        <v>10</v>
      </c>
      <c r="M1" s="35" t="s">
        <v>11</v>
      </c>
      <c r="N1" s="35" t="s">
        <v>12</v>
      </c>
      <c r="O1" s="35" t="s">
        <v>13</v>
      </c>
      <c r="P1" s="35" t="s">
        <v>14</v>
      </c>
      <c r="Q1" s="35" t="s">
        <v>15</v>
      </c>
      <c r="R1" s="35" t="s">
        <v>16</v>
      </c>
      <c r="S1" s="35" t="s">
        <v>17</v>
      </c>
      <c r="T1" s="36" t="s">
        <v>18</v>
      </c>
    </row>
    <row r="2" spans="1:20" ht="15.75" customHeight="1" x14ac:dyDescent="0.3">
      <c r="A2" s="37"/>
      <c r="B2" s="3"/>
      <c r="C2" s="4"/>
      <c r="D2" s="5"/>
      <c r="E2" s="5"/>
      <c r="F2" s="5"/>
      <c r="G2" s="5"/>
      <c r="H2" s="5"/>
      <c r="I2" s="5"/>
      <c r="J2" s="5"/>
      <c r="K2" s="5"/>
      <c r="L2" s="5"/>
      <c r="M2" s="5"/>
      <c r="N2" s="5"/>
      <c r="R2" s="6"/>
      <c r="S2" s="3"/>
      <c r="T2" s="38"/>
    </row>
    <row r="3" spans="1:20" ht="15.75" customHeight="1" x14ac:dyDescent="0.3">
      <c r="A3" s="39" t="str">
        <f>IF('Rates from Ireland Fedex Priort'!A2="","",'Rates from Ireland Fedex Priort'!A2)</f>
        <v>EU</v>
      </c>
      <c r="B3" s="8" t="str">
        <f>IF('Rates from Ireland Fedex Priort'!B2="","",'Rates from Ireland Fedex Priort'!B2)</f>
        <v>Ireland</v>
      </c>
      <c r="C3" s="9" t="str">
        <f>IF('Rates from Ireland Fedex Priort'!C2="","",'Rates from Ireland Fedex Priort'!C2)</f>
        <v>Afghanistan</v>
      </c>
      <c r="D3" s="10" t="str">
        <f>IF(ISNUMBER('Rates from Ireland Fedex Priort'!D2),_xlfn.CEILING.MATH('Rates from Ireland Fedex Priort'!D2,1)+(IF($A3="EU",Variables!$B$5,IF($A3="N/A",0,Variables!$B$2))),'Rates from Ireland Fedex Priort'!D2)</f>
        <v>No service</v>
      </c>
      <c r="E3" s="10" t="str">
        <f>IF(ISNUMBER('Rates from Ireland Fedex Priort'!E2),_xlfn.CEILING.MATH('Rates from Ireland Fedex Priort'!E2,1)+IF($A3="EU",Variables!$B$6,Variables!$B$3),'Rates from Ireland Fedex Priort'!E2)</f>
        <v>No service</v>
      </c>
      <c r="F3" s="10" t="str">
        <f>IF(ISNUMBER('Rates from Ireland Fedex Priort'!F2),_xlfn.CEILING.MATH('Rates from Ireland Fedex Priort'!F2,1)+IF($A3="EU",Variables!$B$6,Variables!$B$3),'Rates from Ireland Fedex Priort'!F2)</f>
        <v>No service</v>
      </c>
      <c r="G3" s="10" t="str">
        <f>IF(ISNUMBER('Rates from Ireland Fedex Priort'!G2),_xlfn.CEILING.MATH('Rates from Ireland Fedex Priort'!G2,1)+IF($A3="EU",Variables!$B$6,Variables!$B$3),'Rates from Ireland Fedex Priort'!G2)</f>
        <v>No service</v>
      </c>
      <c r="H3" s="10" t="str">
        <f>IF(ISNUMBER('Rates from Ireland Fedex Priort'!H2),_xlfn.CEILING.MATH('Rates from Ireland Fedex Priort'!H2,1)+IF($A3="EU",Variables!$B$6,Variables!$B$3),'Rates from Ireland Fedex Priort'!H2)</f>
        <v>No service</v>
      </c>
      <c r="I3" s="10" t="str">
        <f>IF(ISNUMBER('Rates from Ireland Fedex Priort'!I2),_xlfn.CEILING.MATH('Rates from Ireland Fedex Priort'!I2,1)+IF($A3="EU",Variables!$B$6,Variables!$B$3),'Rates from Ireland Fedex Priort'!I2)</f>
        <v>No service</v>
      </c>
      <c r="J3" s="10" t="str">
        <f>IF(ISNUMBER('Rates from Ireland Fedex Priort'!J2),_xlfn.CEILING.MATH('Rates from Ireland Fedex Priort'!J2,1)+IF($A3="EU",Variables!$B$6,Variables!$B$3),'Rates from Ireland Fedex Priort'!J2)</f>
        <v>No service</v>
      </c>
      <c r="K3" s="10" t="str">
        <f>IF(ISNUMBER('Rates from Ireland Fedex Priort'!K2),_xlfn.CEILING.MATH('Rates from Ireland Fedex Priort'!K2,1)+IF($A3="EU",Variables!$B$6,Variables!$B$3),'Rates from Ireland Fedex Priort'!K2)</f>
        <v>No service</v>
      </c>
      <c r="L3" s="10" t="str">
        <f>IF(ISNUMBER('Rates from Ireland Fedex Priort'!L2),_xlfn.CEILING.MATH('Rates from Ireland Fedex Priort'!L2,1)+IF($A3="EU",Variables!$B$6,Variables!$B$3),'Rates from Ireland Fedex Priort'!L2)</f>
        <v>No service</v>
      </c>
      <c r="M3" s="10" t="str">
        <f>IF(ISNUMBER('Rates from Ireland Fedex Priort'!M2),_xlfn.CEILING.MATH('Rates from Ireland Fedex Priort'!M2,1)+IF($A3="EU",Variables!$B$6,Variables!$B$3),'Rates from Ireland Fedex Priort'!M2)</f>
        <v>No service</v>
      </c>
      <c r="N3" s="10" t="str">
        <f>IF(ISNUMBER('Rates from Ireland Fedex Priort'!N2),_xlfn.CEILING.MATH('Rates from Ireland Fedex Priort'!N2,1)+IF($A3="EU",Variables!$B$6,Variables!$B$3),'Rates from Ireland Fedex Priort'!N2)</f>
        <v>No service</v>
      </c>
      <c r="S3" s="3"/>
      <c r="T3" s="38"/>
    </row>
    <row r="4" spans="1:20" ht="15.75" customHeight="1" x14ac:dyDescent="0.3">
      <c r="A4" s="39" t="str">
        <f>IF('Rates from Ireland Fedex Priort'!A3="","",'Rates from Ireland Fedex Priort'!A3)</f>
        <v>EU</v>
      </c>
      <c r="B4" s="8" t="str">
        <f>IF('Rates from Ireland Fedex Priort'!B3="","",'Rates from Ireland Fedex Priort'!B3)</f>
        <v>Ireland</v>
      </c>
      <c r="C4" s="9" t="str">
        <f>IF('Rates from Ireland Fedex Priort'!C3="","",'Rates from Ireland Fedex Priort'!C3)</f>
        <v>Albania</v>
      </c>
      <c r="D4" s="10">
        <f>IF(ISNUMBER('Rates from Ireland Fedex Priort'!D3),_xlfn.CEILING.MATH('Rates from Ireland Fedex Priort'!D3,1)+(IF($A4="EU",Variables!$B$5,IF($A4="N/A",0,Variables!$B$2))),'Rates from Ireland Fedex Priort'!D3)</f>
        <v>76</v>
      </c>
      <c r="E4" s="10">
        <f>IF(ISNUMBER('Rates from Ireland Fedex Priort'!E3),_xlfn.CEILING.MATH('Rates from Ireland Fedex Priort'!E3,1)+IF($A4="EU",Variables!$B$6,Variables!$B$3),'Rates from Ireland Fedex Priort'!E3)</f>
        <v>85</v>
      </c>
      <c r="F4" s="10">
        <f>IF(ISNUMBER('Rates from Ireland Fedex Priort'!F3),_xlfn.CEILING.MATH('Rates from Ireland Fedex Priort'!F3,1)+IF($A4="EU",Variables!$B$6,Variables!$B$3),'Rates from Ireland Fedex Priort'!F3)</f>
        <v>88</v>
      </c>
      <c r="G4" s="10">
        <f>IF(ISNUMBER('Rates from Ireland Fedex Priort'!G3),_xlfn.CEILING.MATH('Rates from Ireland Fedex Priort'!G3,1)+IF($A4="EU",Variables!$B$6,Variables!$B$3),'Rates from Ireland Fedex Priort'!G3)</f>
        <v>97</v>
      </c>
      <c r="H4" s="10">
        <f>IF(ISNUMBER('Rates from Ireland Fedex Priort'!H3),_xlfn.CEILING.MATH('Rates from Ireland Fedex Priort'!H3,1)+IF($A4="EU",Variables!$B$6,Variables!$B$3),'Rates from Ireland Fedex Priort'!H3)</f>
        <v>102</v>
      </c>
      <c r="I4" s="10">
        <f>IF(ISNUMBER('Rates from Ireland Fedex Priort'!I3),_xlfn.CEILING.MATH('Rates from Ireland Fedex Priort'!I3,1)+IF($A4="EU",Variables!$B$6,Variables!$B$3),'Rates from Ireland Fedex Priort'!I3)</f>
        <v>109</v>
      </c>
      <c r="J4" s="10" t="str">
        <f>IF(ISNUMBER('Rates from Ireland Fedex Priort'!J3),_xlfn.CEILING.MATH('Rates from Ireland Fedex Priort'!J3,1)+IF($A4="EU",Variables!$B$6,Variables!$B$3),'Rates from Ireland Fedex Priort'!J3)</f>
        <v>No service</v>
      </c>
      <c r="K4" s="10" t="str">
        <f>IF(ISNUMBER('Rates from Ireland Fedex Priort'!K3),_xlfn.CEILING.MATH('Rates from Ireland Fedex Priort'!K3,1)+IF($A4="EU",Variables!$B$6,Variables!$B$3),'Rates from Ireland Fedex Priort'!K3)</f>
        <v>No service</v>
      </c>
      <c r="L4" s="10" t="str">
        <f>IF(ISNUMBER('Rates from Ireland Fedex Priort'!L3),_xlfn.CEILING.MATH('Rates from Ireland Fedex Priort'!L3,1)+IF($A4="EU",Variables!$B$6,Variables!$B$3),'Rates from Ireland Fedex Priort'!L3)</f>
        <v>No service</v>
      </c>
      <c r="M4" s="10" t="str">
        <f>IF(ISNUMBER('Rates from Ireland Fedex Priort'!M3),_xlfn.CEILING.MATH('Rates from Ireland Fedex Priort'!M3,1)+IF($A4="EU",Variables!$B$6,Variables!$B$3),'Rates from Ireland Fedex Priort'!M3)</f>
        <v>No service</v>
      </c>
      <c r="N4" s="10" t="str">
        <f>IF(ISNUMBER('Rates from Ireland Fedex Priort'!N3),_xlfn.CEILING.MATH('Rates from Ireland Fedex Priort'!N3,1)+IF($A4="EU",Variables!$B$6,Variables!$B$3),'Rates from Ireland Fedex Priort'!N3)</f>
        <v>No service</v>
      </c>
      <c r="O4" s="11" t="s">
        <v>23</v>
      </c>
      <c r="P4" s="11" t="s">
        <v>24</v>
      </c>
      <c r="Q4" s="12">
        <v>80</v>
      </c>
      <c r="R4" s="11" t="s">
        <v>25</v>
      </c>
      <c r="S4" s="3" t="s">
        <v>26</v>
      </c>
      <c r="T4" s="38" t="s">
        <v>27</v>
      </c>
    </row>
    <row r="5" spans="1:20" ht="15.75" customHeight="1" x14ac:dyDescent="0.3">
      <c r="A5" s="39" t="str">
        <f>IF('Rates from Ireland Fedex Priort'!A4="","",'Rates from Ireland Fedex Priort'!A4)</f>
        <v>EU</v>
      </c>
      <c r="B5" s="8" t="str">
        <f>IF('Rates from Ireland Fedex Priort'!B4="","",'Rates from Ireland Fedex Priort'!B4)</f>
        <v>Ireland</v>
      </c>
      <c r="C5" s="9" t="str">
        <f>IF('Rates from Ireland Fedex Priort'!C4="","",'Rates from Ireland Fedex Priort'!C4)</f>
        <v>Algeria</v>
      </c>
      <c r="D5" s="10">
        <f>IF(ISNUMBER('Rates from Ireland Fedex Priort'!D4),_xlfn.CEILING.MATH('Rates from Ireland Fedex Priort'!D4,1)+(IF($A5="EU",Variables!$B$5,IF($A5="N/A",0,Variables!$B$2))),'Rates from Ireland Fedex Priort'!D4)</f>
        <v>62</v>
      </c>
      <c r="E5" s="10">
        <f>IF(ISNUMBER('Rates from Ireland Fedex Priort'!E4),_xlfn.CEILING.MATH('Rates from Ireland Fedex Priort'!E4,1)+IF($A5="EU",Variables!$B$6,Variables!$B$3),'Rates from Ireland Fedex Priort'!E4)</f>
        <v>69</v>
      </c>
      <c r="F5" s="10">
        <f>IF(ISNUMBER('Rates from Ireland Fedex Priort'!F4),_xlfn.CEILING.MATH('Rates from Ireland Fedex Priort'!F4,1)+IF($A5="EU",Variables!$B$6,Variables!$B$3),'Rates from Ireland Fedex Priort'!F4)</f>
        <v>72</v>
      </c>
      <c r="G5" s="10">
        <f>IF(ISNUMBER('Rates from Ireland Fedex Priort'!G4),_xlfn.CEILING.MATH('Rates from Ireland Fedex Priort'!G4,1)+IF($A5="EU",Variables!$B$6,Variables!$B$3),'Rates from Ireland Fedex Priort'!G4)</f>
        <v>86</v>
      </c>
      <c r="H5" s="10">
        <f>IF(ISNUMBER('Rates from Ireland Fedex Priort'!H4),_xlfn.CEILING.MATH('Rates from Ireland Fedex Priort'!H4,1)+IF($A5="EU",Variables!$B$6,Variables!$B$3),'Rates from Ireland Fedex Priort'!H4)</f>
        <v>111</v>
      </c>
      <c r="I5" s="10">
        <f>IF(ISNUMBER('Rates from Ireland Fedex Priort'!I4),_xlfn.CEILING.MATH('Rates from Ireland Fedex Priort'!I4,1)+IF($A5="EU",Variables!$B$6,Variables!$B$3),'Rates from Ireland Fedex Priort'!I4)</f>
        <v>174</v>
      </c>
      <c r="J5" s="10" t="str">
        <f>IF(ISNUMBER('Rates from Ireland Fedex Priort'!J4),_xlfn.CEILING.MATH('Rates from Ireland Fedex Priort'!J4,1)+IF($A5="EU",Variables!$B$6,Variables!$B$3),'Rates from Ireland Fedex Priort'!J4)</f>
        <v>No service</v>
      </c>
      <c r="K5" s="10" t="str">
        <f>IF(ISNUMBER('Rates from Ireland Fedex Priort'!K4),_xlfn.CEILING.MATH('Rates from Ireland Fedex Priort'!K4,1)+IF($A5="EU",Variables!$B$6,Variables!$B$3),'Rates from Ireland Fedex Priort'!K4)</f>
        <v>No service</v>
      </c>
      <c r="L5" s="10" t="str">
        <f>IF(ISNUMBER('Rates from Ireland Fedex Priort'!L4),_xlfn.CEILING.MATH('Rates from Ireland Fedex Priort'!L4,1)+IF($A5="EU",Variables!$B$6,Variables!$B$3),'Rates from Ireland Fedex Priort'!L4)</f>
        <v>No service</v>
      </c>
      <c r="M5" s="10" t="str">
        <f>IF(ISNUMBER('Rates from Ireland Fedex Priort'!M4),_xlfn.CEILING.MATH('Rates from Ireland Fedex Priort'!M4,1)+IF($A5="EU",Variables!$B$6,Variables!$B$3),'Rates from Ireland Fedex Priort'!M4)</f>
        <v>No service</v>
      </c>
      <c r="N5" s="10" t="str">
        <f>IF(ISNUMBER('Rates from Ireland Fedex Priort'!N4),_xlfn.CEILING.MATH('Rates from Ireland Fedex Priort'!N4,1)+IF($A5="EU",Variables!$B$6,Variables!$B$3),'Rates from Ireland Fedex Priort'!N4)</f>
        <v>No service</v>
      </c>
      <c r="O5" s="11" t="s">
        <v>29</v>
      </c>
      <c r="P5" s="11" t="s">
        <v>30</v>
      </c>
      <c r="Q5" s="12">
        <v>80</v>
      </c>
      <c r="R5" s="11" t="s">
        <v>25</v>
      </c>
      <c r="S5" s="3" t="s">
        <v>26</v>
      </c>
      <c r="T5" s="38" t="s">
        <v>27</v>
      </c>
    </row>
    <row r="6" spans="1:20" ht="15.75" customHeight="1" x14ac:dyDescent="0.3">
      <c r="A6" s="39" t="str">
        <f>IF('Rates from Ireland Fedex Priort'!A5="","",'Rates from Ireland Fedex Priort'!A5)</f>
        <v>EU</v>
      </c>
      <c r="B6" s="8" t="str">
        <f>IF('Rates from Ireland Fedex Priort'!B5="","",'Rates from Ireland Fedex Priort'!B5)</f>
        <v>Ireland</v>
      </c>
      <c r="C6" s="9" t="str">
        <f>IF('Rates from Ireland Fedex Priort'!C5="","",'Rates from Ireland Fedex Priort'!C5)</f>
        <v>American Samoa (US)</v>
      </c>
      <c r="D6" s="10">
        <f>IF(ISNUMBER('Rates from Ireland Fedex Priort'!D5),_xlfn.CEILING.MATH('Rates from Ireland Fedex Priort'!D5,1)+IF($A6="EU",Variables!$B$5,Variables!$B$2),'Rates from Ireland Fedex Priort'!D5)</f>
        <v>72</v>
      </c>
      <c r="E6" s="10">
        <f>IF(ISNUMBER('Rates from Ireland Fedex Priort'!E5),_xlfn.CEILING.MATH('Rates from Ireland Fedex Priort'!E5,1)+IF($A6="EU",Variables!$B$6,Variables!$B$3),'Rates from Ireland Fedex Priort'!E5)</f>
        <v>83</v>
      </c>
      <c r="F6" s="10">
        <f>IF(ISNUMBER('Rates from Ireland Fedex Priort'!F5),_xlfn.CEILING.MATH('Rates from Ireland Fedex Priort'!F5,1)+IF($A6="EU",Variables!$B$6,Variables!$B$3),'Rates from Ireland Fedex Priort'!F5)</f>
        <v>88</v>
      </c>
      <c r="G6" s="10">
        <f>IF(ISNUMBER('Rates from Ireland Fedex Priort'!G5),_xlfn.CEILING.MATH('Rates from Ireland Fedex Priort'!G5,1)+IF($A6="EU",Variables!$B$6,Variables!$B$3),'Rates from Ireland Fedex Priort'!G5)</f>
        <v>106</v>
      </c>
      <c r="H6" s="10" t="str">
        <f>IF(ISNUMBER('Rates from Ireland Fedex Priort'!H5),_xlfn.CEILING.MATH('Rates from Ireland Fedex Priort'!H5,1)+IF($A6="EU",Variables!$B$6,Variables!$B$3),'Rates from Ireland Fedex Priort'!H5)</f>
        <v>No service</v>
      </c>
      <c r="I6" s="10" t="str">
        <f>IF(ISNUMBER('Rates from Ireland Fedex Priort'!I5),_xlfn.CEILING.MATH('Rates from Ireland Fedex Priort'!I5,1)+IF($A6="EU",Variables!$B$6,Variables!$B$3),'Rates from Ireland Fedex Priort'!I5)</f>
        <v>No service</v>
      </c>
      <c r="J6" s="10" t="str">
        <f>IF(ISNUMBER('Rates from Ireland Fedex Priort'!J5),_xlfn.CEILING.MATH('Rates from Ireland Fedex Priort'!J5,1)+IF($A6="EU",Variables!$B$6,Variables!$B$3),'Rates from Ireland Fedex Priort'!J5)</f>
        <v>No service</v>
      </c>
      <c r="K6" s="10" t="str">
        <f>IF(ISNUMBER('Rates from Ireland Fedex Priort'!K5),_xlfn.CEILING.MATH('Rates from Ireland Fedex Priort'!K5,1)+IF($A6="EU",Variables!$B$6,Variables!$B$3),'Rates from Ireland Fedex Priort'!K5)</f>
        <v>No service</v>
      </c>
      <c r="L6" s="10" t="str">
        <f>IF(ISNUMBER('Rates from Ireland Fedex Priort'!L5),_xlfn.CEILING.MATH('Rates from Ireland Fedex Priort'!L5,1)+IF($A6="EU",Variables!$B$6,Variables!$B$3),'Rates from Ireland Fedex Priort'!L5)</f>
        <v>No service</v>
      </c>
      <c r="M6" s="10" t="str">
        <f>IF(ISNUMBER('Rates from Ireland Fedex Priort'!M5),_xlfn.CEILING.MATH('Rates from Ireland Fedex Priort'!M5,1)+IF($A6="EU",Variables!$B$6,Variables!$B$3),'Rates from Ireland Fedex Priort'!M5)</f>
        <v>No service</v>
      </c>
      <c r="N6" s="10" t="str">
        <f>IF(ISNUMBER('Rates from Ireland Fedex Priort'!N5),_xlfn.CEILING.MATH('Rates from Ireland Fedex Priort'!N5,1)+IF($A6="EU",Variables!$B$6,Variables!$B$3),'Rates from Ireland Fedex Priort'!N5)</f>
        <v>No service</v>
      </c>
      <c r="O6" s="11"/>
      <c r="P6" s="11"/>
      <c r="Q6" s="11"/>
      <c r="R6" s="11"/>
      <c r="S6" s="3" t="s">
        <v>26</v>
      </c>
      <c r="T6" s="38" t="s">
        <v>27</v>
      </c>
    </row>
    <row r="7" spans="1:20" ht="15.75" customHeight="1" x14ac:dyDescent="0.3">
      <c r="A7" s="39" t="str">
        <f>IF('Rates from Ireland Fedex Priort'!A6="","",'Rates from Ireland Fedex Priort'!A6)</f>
        <v>EU</v>
      </c>
      <c r="B7" s="8" t="str">
        <f>IF('Rates from Ireland Fedex Priort'!B6="","",'Rates from Ireland Fedex Priort'!B6)</f>
        <v>Ireland</v>
      </c>
      <c r="C7" s="9" t="str">
        <f>IF('Rates from Ireland Fedex Priort'!C6="","",'Rates from Ireland Fedex Priort'!C6)</f>
        <v>Andorra</v>
      </c>
      <c r="D7" s="10">
        <f>IF(ISNUMBER('Rates from Ireland Fedex Priort'!D6),_xlfn.CEILING.MATH('Rates from Ireland Fedex Priort'!D6,1)+IF($A7="EU",Variables!$B$5,Variables!$B$2),'Rates from Ireland Fedex Priort'!D6)</f>
        <v>63</v>
      </c>
      <c r="E7" s="10">
        <f>IF(ISNUMBER('Rates from Ireland Fedex Priort'!E6),_xlfn.CEILING.MATH('Rates from Ireland Fedex Priort'!E6,1)+IF($A7="EU",Variables!$B$6,Variables!$B$3),'Rates from Ireland Fedex Priort'!E6)</f>
        <v>65</v>
      </c>
      <c r="F7" s="10">
        <f>IF(ISNUMBER('Rates from Ireland Fedex Priort'!F6),_xlfn.CEILING.MATH('Rates from Ireland Fedex Priort'!F6,1)+IF($A7="EU",Variables!$B$6,Variables!$B$3),'Rates from Ireland Fedex Priort'!F6)</f>
        <v>65</v>
      </c>
      <c r="G7" s="10">
        <f>IF(ISNUMBER('Rates from Ireland Fedex Priort'!G6),_xlfn.CEILING.MATH('Rates from Ireland Fedex Priort'!G6,1)+IF($A7="EU",Variables!$B$6,Variables!$B$3),'Rates from Ireland Fedex Priort'!G6)</f>
        <v>67</v>
      </c>
      <c r="H7" s="10">
        <f>IF(ISNUMBER('Rates from Ireland Fedex Priort'!H6),_xlfn.CEILING.MATH('Rates from Ireland Fedex Priort'!H6,1)+IF($A7="EU",Variables!$B$6,Variables!$B$3),'Rates from Ireland Fedex Priort'!H6)</f>
        <v>71</v>
      </c>
      <c r="I7" s="10">
        <f>IF(ISNUMBER('Rates from Ireland Fedex Priort'!I6),_xlfn.CEILING.MATH('Rates from Ireland Fedex Priort'!I6,1)+IF($A7="EU",Variables!$B$6,Variables!$B$3),'Rates from Ireland Fedex Priort'!I6)</f>
        <v>78</v>
      </c>
      <c r="J7" s="10" t="str">
        <f>IF(ISNUMBER('Rates from Ireland Fedex Priort'!J6),_xlfn.CEILING.MATH('Rates from Ireland Fedex Priort'!J6,1)+IF($A7="EU",Variables!$B$6,Variables!$B$3),'Rates from Ireland Fedex Priort'!J6)</f>
        <v>No service</v>
      </c>
      <c r="K7" s="10" t="str">
        <f>IF(ISNUMBER('Rates from Ireland Fedex Priort'!K6),_xlfn.CEILING.MATH('Rates from Ireland Fedex Priort'!K6,1)+IF($A7="EU",Variables!$B$6,Variables!$B$3),'Rates from Ireland Fedex Priort'!K6)</f>
        <v>No service</v>
      </c>
      <c r="L7" s="10" t="str">
        <f>IF(ISNUMBER('Rates from Ireland Fedex Priort'!L6),_xlfn.CEILING.MATH('Rates from Ireland Fedex Priort'!L6,1)+IF($A7="EU",Variables!$B$6,Variables!$B$3),'Rates from Ireland Fedex Priort'!L6)</f>
        <v>No service</v>
      </c>
      <c r="M7" s="10" t="str">
        <f>IF(ISNUMBER('Rates from Ireland Fedex Priort'!M6),_xlfn.CEILING.MATH('Rates from Ireland Fedex Priort'!M6,1)+IF($A7="EU",Variables!$B$6,Variables!$B$3),'Rates from Ireland Fedex Priort'!M6)</f>
        <v>No service</v>
      </c>
      <c r="N7" s="10" t="str">
        <f>IF(ISNUMBER('Rates from Ireland Fedex Priort'!N6),_xlfn.CEILING.MATH('Rates from Ireland Fedex Priort'!N6,1)+IF($A7="EU",Variables!$B$6,Variables!$B$3),'Rates from Ireland Fedex Priort'!N6)</f>
        <v>No service</v>
      </c>
      <c r="O7" s="11" t="s">
        <v>33</v>
      </c>
      <c r="P7" s="11" t="s">
        <v>23</v>
      </c>
      <c r="Q7" s="12">
        <v>80</v>
      </c>
      <c r="R7" s="11" t="s">
        <v>25</v>
      </c>
      <c r="S7" s="3" t="s">
        <v>26</v>
      </c>
      <c r="T7" s="38" t="s">
        <v>27</v>
      </c>
    </row>
    <row r="8" spans="1:20" ht="15.75" customHeight="1" x14ac:dyDescent="0.3">
      <c r="A8" s="39" t="str">
        <f>IF('Rates from Ireland Fedex Priort'!A7="","",'Rates from Ireland Fedex Priort'!A7)</f>
        <v>EU</v>
      </c>
      <c r="B8" s="8" t="str">
        <f>IF('Rates from Ireland Fedex Priort'!B7="","",'Rates from Ireland Fedex Priort'!B7)</f>
        <v>Ireland</v>
      </c>
      <c r="C8" s="9" t="str">
        <f>IF('Rates from Ireland Fedex Priort'!C7="","",'Rates from Ireland Fedex Priort'!C7)</f>
        <v>Angola</v>
      </c>
      <c r="D8" s="10">
        <f>IF(ISNUMBER('Rates from Ireland Fedex Priort'!D7),_xlfn.CEILING.MATH('Rates from Ireland Fedex Priort'!D7,1)+IF($A8="EU",Variables!$B$5,Variables!$B$2),'Rates from Ireland Fedex Priort'!D7)</f>
        <v>72</v>
      </c>
      <c r="E8" s="10">
        <f>IF(ISNUMBER('Rates from Ireland Fedex Priort'!E7),_xlfn.CEILING.MATH('Rates from Ireland Fedex Priort'!E7,1)+IF($A8="EU",Variables!$B$6,Variables!$B$3),'Rates from Ireland Fedex Priort'!E7)</f>
        <v>83</v>
      </c>
      <c r="F8" s="10">
        <f>IF(ISNUMBER('Rates from Ireland Fedex Priort'!F7),_xlfn.CEILING.MATH('Rates from Ireland Fedex Priort'!F7,1)+IF($A8="EU",Variables!$B$6,Variables!$B$3),'Rates from Ireland Fedex Priort'!F7)</f>
        <v>88</v>
      </c>
      <c r="G8" s="10">
        <f>IF(ISNUMBER('Rates from Ireland Fedex Priort'!G7),_xlfn.CEILING.MATH('Rates from Ireland Fedex Priort'!G7,1)+IF($A8="EU",Variables!$B$6,Variables!$B$3),'Rates from Ireland Fedex Priort'!G7)</f>
        <v>106</v>
      </c>
      <c r="H8" s="10">
        <f>IF(ISNUMBER('Rates from Ireland Fedex Priort'!H7),_xlfn.CEILING.MATH('Rates from Ireland Fedex Priort'!H7,1)+IF($A8="EU",Variables!$B$6,Variables!$B$3),'Rates from Ireland Fedex Priort'!H7)</f>
        <v>134</v>
      </c>
      <c r="I8" s="10">
        <f>IF(ISNUMBER('Rates from Ireland Fedex Priort'!I7),_xlfn.CEILING.MATH('Rates from Ireland Fedex Priort'!I7,1)+IF($A8="EU",Variables!$B$6,Variables!$B$3),'Rates from Ireland Fedex Priort'!I7)</f>
        <v>242</v>
      </c>
      <c r="J8" s="10" t="str">
        <f>IF(ISNUMBER('Rates from Ireland Fedex Priort'!J7),_xlfn.CEILING.MATH('Rates from Ireland Fedex Priort'!J7,1)+IF($A8="EU",Variables!$B$6,Variables!$B$3),'Rates from Ireland Fedex Priort'!J7)</f>
        <v>No service</v>
      </c>
      <c r="K8" s="10" t="str">
        <f>IF(ISNUMBER('Rates from Ireland Fedex Priort'!K7),_xlfn.CEILING.MATH('Rates from Ireland Fedex Priort'!K7,1)+IF($A8="EU",Variables!$B$6,Variables!$B$3),'Rates from Ireland Fedex Priort'!K7)</f>
        <v>No service</v>
      </c>
      <c r="L8" s="10" t="str">
        <f>IF(ISNUMBER('Rates from Ireland Fedex Priort'!L7),_xlfn.CEILING.MATH('Rates from Ireland Fedex Priort'!L7,1)+IF($A8="EU",Variables!$B$6,Variables!$B$3),'Rates from Ireland Fedex Priort'!L7)</f>
        <v>No service</v>
      </c>
      <c r="M8" s="10" t="str">
        <f>IF(ISNUMBER('Rates from Ireland Fedex Priort'!M7),_xlfn.CEILING.MATH('Rates from Ireland Fedex Priort'!M7,1)+IF($A8="EU",Variables!$B$6,Variables!$B$3),'Rates from Ireland Fedex Priort'!M7)</f>
        <v>No service</v>
      </c>
      <c r="N8" s="10" t="str">
        <f>IF(ISNUMBER('Rates from Ireland Fedex Priort'!N7),_xlfn.CEILING.MATH('Rates from Ireland Fedex Priort'!N7,1)+IF($A8="EU",Variables!$B$6,Variables!$B$3),'Rates from Ireland Fedex Priort'!N7)</f>
        <v>No service</v>
      </c>
      <c r="O8" s="11" t="s">
        <v>35</v>
      </c>
      <c r="P8" s="11" t="s">
        <v>36</v>
      </c>
      <c r="Q8" s="12">
        <v>80</v>
      </c>
      <c r="R8" s="11" t="s">
        <v>25</v>
      </c>
      <c r="S8" s="3" t="s">
        <v>26</v>
      </c>
      <c r="T8" s="38" t="s">
        <v>27</v>
      </c>
    </row>
    <row r="9" spans="1:20" ht="15.75" customHeight="1" x14ac:dyDescent="0.3">
      <c r="A9" s="39" t="str">
        <f>IF('Rates from Ireland Fedex Priort'!A8="","",'Rates from Ireland Fedex Priort'!A8)</f>
        <v>EU</v>
      </c>
      <c r="B9" s="8" t="str">
        <f>IF('Rates from Ireland Fedex Priort'!B8="","",'Rates from Ireland Fedex Priort'!B8)</f>
        <v>Ireland</v>
      </c>
      <c r="C9" s="9" t="str">
        <f>IF('Rates from Ireland Fedex Priort'!C8="","",'Rates from Ireland Fedex Priort'!C8)</f>
        <v>Anguilla</v>
      </c>
      <c r="D9" s="10">
        <f>IF(ISNUMBER('Rates from Ireland Fedex Priort'!D8),_xlfn.CEILING.MATH('Rates from Ireland Fedex Priort'!D8,1)+IF($A9="EU",Variables!$B$5,Variables!$B$2),'Rates from Ireland Fedex Priort'!D8)</f>
        <v>68</v>
      </c>
      <c r="E9" s="10">
        <f>IF(ISNUMBER('Rates from Ireland Fedex Priort'!E8),_xlfn.CEILING.MATH('Rates from Ireland Fedex Priort'!E8,1)+IF($A9="EU",Variables!$B$6,Variables!$B$3),'Rates from Ireland Fedex Priort'!E8)</f>
        <v>77</v>
      </c>
      <c r="F9" s="10">
        <f>IF(ISNUMBER('Rates from Ireland Fedex Priort'!F8),_xlfn.CEILING.MATH('Rates from Ireland Fedex Priort'!F8,1)+IF($A9="EU",Variables!$B$6,Variables!$B$3),'Rates from Ireland Fedex Priort'!F8)</f>
        <v>81</v>
      </c>
      <c r="G9" s="10">
        <f>IF(ISNUMBER('Rates from Ireland Fedex Priort'!G8),_xlfn.CEILING.MATH('Rates from Ireland Fedex Priort'!G8,1)+IF($A9="EU",Variables!$B$6,Variables!$B$3),'Rates from Ireland Fedex Priort'!G8)</f>
        <v>96</v>
      </c>
      <c r="H9" s="10">
        <f>IF(ISNUMBER('Rates from Ireland Fedex Priort'!H8),_xlfn.CEILING.MATH('Rates from Ireland Fedex Priort'!H8,1)+IF($A9="EU",Variables!$B$6,Variables!$B$3),'Rates from Ireland Fedex Priort'!H8)</f>
        <v>117</v>
      </c>
      <c r="I9" s="10">
        <f>IF(ISNUMBER('Rates from Ireland Fedex Priort'!I8),_xlfn.CEILING.MATH('Rates from Ireland Fedex Priort'!I8,1)+IF($A9="EU",Variables!$B$6,Variables!$B$3),'Rates from Ireland Fedex Priort'!I8)</f>
        <v>219</v>
      </c>
      <c r="J9" s="10" t="str">
        <f>IF(ISNUMBER('Rates from Ireland Fedex Priort'!J8),_xlfn.CEILING.MATH('Rates from Ireland Fedex Priort'!J8,1)+IF($A9="EU",Variables!$B$6,Variables!$B$3),'Rates from Ireland Fedex Priort'!J8)</f>
        <v>No service</v>
      </c>
      <c r="K9" s="10" t="str">
        <f>IF(ISNUMBER('Rates from Ireland Fedex Priort'!K8),_xlfn.CEILING.MATH('Rates from Ireland Fedex Priort'!K8,1)+IF($A9="EU",Variables!$B$6,Variables!$B$3),'Rates from Ireland Fedex Priort'!K8)</f>
        <v>No service</v>
      </c>
      <c r="L9" s="10" t="str">
        <f>IF(ISNUMBER('Rates from Ireland Fedex Priort'!L8),_xlfn.CEILING.MATH('Rates from Ireland Fedex Priort'!L8,1)+IF($A9="EU",Variables!$B$6,Variables!$B$3),'Rates from Ireland Fedex Priort'!L8)</f>
        <v>No service</v>
      </c>
      <c r="M9" s="10" t="str">
        <f>IF(ISNUMBER('Rates from Ireland Fedex Priort'!M8),_xlfn.CEILING.MATH('Rates from Ireland Fedex Priort'!M8,1)+IF($A9="EU",Variables!$B$6,Variables!$B$3),'Rates from Ireland Fedex Priort'!M8)</f>
        <v>No service</v>
      </c>
      <c r="N9" s="10" t="str">
        <f>IF(ISNUMBER('Rates from Ireland Fedex Priort'!N8),_xlfn.CEILING.MATH('Rates from Ireland Fedex Priort'!N8,1)+IF($A9="EU",Variables!$B$6,Variables!$B$3),'Rates from Ireland Fedex Priort'!N8)</f>
        <v>No service</v>
      </c>
      <c r="O9" s="11" t="s">
        <v>38</v>
      </c>
      <c r="P9" s="11" t="s">
        <v>39</v>
      </c>
      <c r="Q9" s="12">
        <v>80</v>
      </c>
      <c r="R9" s="11" t="s">
        <v>25</v>
      </c>
      <c r="S9" s="3" t="s">
        <v>26</v>
      </c>
      <c r="T9" s="38" t="s">
        <v>27</v>
      </c>
    </row>
    <row r="10" spans="1:20" ht="15.75" customHeight="1" x14ac:dyDescent="0.3">
      <c r="A10" s="39" t="str">
        <f>IF('Rates from Ireland Fedex Priort'!A9="","",'Rates from Ireland Fedex Priort'!A9)</f>
        <v>EU</v>
      </c>
      <c r="B10" s="8" t="str">
        <f>IF('Rates from Ireland Fedex Priort'!B9="","",'Rates from Ireland Fedex Priort'!B9)</f>
        <v>Ireland</v>
      </c>
      <c r="C10" s="9" t="str">
        <f>IF('Rates from Ireland Fedex Priort'!C9="","",'Rates from Ireland Fedex Priort'!C9)</f>
        <v>Antigua and Barbuda</v>
      </c>
      <c r="D10" s="10">
        <f>IF(ISNUMBER('Rates from Ireland Fedex Priort'!D9),_xlfn.CEILING.MATH('Rates from Ireland Fedex Priort'!D9,1)+IF($A10="EU",Variables!$B$5,Variables!$B$2),'Rates from Ireland Fedex Priort'!D9)</f>
        <v>68</v>
      </c>
      <c r="E10" s="10">
        <f>IF(ISNUMBER('Rates from Ireland Fedex Priort'!E9),_xlfn.CEILING.MATH('Rates from Ireland Fedex Priort'!E9,1)+IF($A10="EU",Variables!$B$6,Variables!$B$3),'Rates from Ireland Fedex Priort'!E9)</f>
        <v>77</v>
      </c>
      <c r="F10" s="10">
        <f>IF(ISNUMBER('Rates from Ireland Fedex Priort'!F9),_xlfn.CEILING.MATH('Rates from Ireland Fedex Priort'!F9,1)+IF($A10="EU",Variables!$B$6,Variables!$B$3),'Rates from Ireland Fedex Priort'!F9)</f>
        <v>81</v>
      </c>
      <c r="G10" s="10">
        <f>IF(ISNUMBER('Rates from Ireland Fedex Priort'!G9),_xlfn.CEILING.MATH('Rates from Ireland Fedex Priort'!G9,1)+IF($A10="EU",Variables!$B$6,Variables!$B$3),'Rates from Ireland Fedex Priort'!G9)</f>
        <v>96</v>
      </c>
      <c r="H10" s="10">
        <f>IF(ISNUMBER('Rates from Ireland Fedex Priort'!H9),_xlfn.CEILING.MATH('Rates from Ireland Fedex Priort'!H9,1)+IF($A10="EU",Variables!$B$6,Variables!$B$3),'Rates from Ireland Fedex Priort'!H9)</f>
        <v>117</v>
      </c>
      <c r="I10" s="10">
        <f>IF(ISNUMBER('Rates from Ireland Fedex Priort'!I9),_xlfn.CEILING.MATH('Rates from Ireland Fedex Priort'!I9,1)+IF($A10="EU",Variables!$B$6,Variables!$B$3),'Rates from Ireland Fedex Priort'!I9)</f>
        <v>219</v>
      </c>
      <c r="J10" s="10" t="str">
        <f>IF(ISNUMBER('Rates from Ireland Fedex Priort'!J9),_xlfn.CEILING.MATH('Rates from Ireland Fedex Priort'!J9,1)+IF($A10="EU",Variables!$B$6,Variables!$B$3),'Rates from Ireland Fedex Priort'!J9)</f>
        <v>No service</v>
      </c>
      <c r="K10" s="10" t="str">
        <f>IF(ISNUMBER('Rates from Ireland Fedex Priort'!K9),_xlfn.CEILING.MATH('Rates from Ireland Fedex Priort'!K9,1)+IF($A10="EU",Variables!$B$6,Variables!$B$3),'Rates from Ireland Fedex Priort'!K9)</f>
        <v>No service</v>
      </c>
      <c r="L10" s="10" t="str">
        <f>IF(ISNUMBER('Rates from Ireland Fedex Priort'!L9),_xlfn.CEILING.MATH('Rates from Ireland Fedex Priort'!L9,1)+IF($A10="EU",Variables!$B$6,Variables!$B$3),'Rates from Ireland Fedex Priort'!L9)</f>
        <v>No service</v>
      </c>
      <c r="M10" s="10" t="str">
        <f>IF(ISNUMBER('Rates from Ireland Fedex Priort'!M9),_xlfn.CEILING.MATH('Rates from Ireland Fedex Priort'!M9,1)+IF($A10="EU",Variables!$B$6,Variables!$B$3),'Rates from Ireland Fedex Priort'!M9)</f>
        <v>No service</v>
      </c>
      <c r="N10" s="10" t="str">
        <f>IF(ISNUMBER('Rates from Ireland Fedex Priort'!N9),_xlfn.CEILING.MATH('Rates from Ireland Fedex Priort'!N9,1)+IF($A10="EU",Variables!$B$6,Variables!$B$3),'Rates from Ireland Fedex Priort'!N9)</f>
        <v>No service</v>
      </c>
      <c r="O10" s="11" t="s">
        <v>41</v>
      </c>
      <c r="P10" s="11" t="s">
        <v>23</v>
      </c>
      <c r="Q10" s="12">
        <v>80</v>
      </c>
      <c r="R10" s="11" t="s">
        <v>25</v>
      </c>
      <c r="S10" s="3" t="s">
        <v>26</v>
      </c>
      <c r="T10" s="38" t="s">
        <v>27</v>
      </c>
    </row>
    <row r="11" spans="1:20" ht="15.75" customHeight="1" x14ac:dyDescent="0.3">
      <c r="A11" s="39" t="str">
        <f>IF('Rates from Ireland Fedex Priort'!A10="","",'Rates from Ireland Fedex Priort'!A10)</f>
        <v>EU</v>
      </c>
      <c r="B11" s="8" t="str">
        <f>IF('Rates from Ireland Fedex Priort'!B10="","",'Rates from Ireland Fedex Priort'!B10)</f>
        <v>Ireland</v>
      </c>
      <c r="C11" s="9" t="str">
        <f>IF('Rates from Ireland Fedex Priort'!C10="","",'Rates from Ireland Fedex Priort'!C10)</f>
        <v>Argentina</v>
      </c>
      <c r="D11" s="10">
        <f>IF(ISNUMBER('Rates from Ireland Fedex Priort'!D10),_xlfn.CEILING.MATH('Rates from Ireland Fedex Priort'!D10,1)+IF($A11="EU",Variables!$B$5,Variables!$B$2),'Rates from Ireland Fedex Priort'!D10)</f>
        <v>68</v>
      </c>
      <c r="E11" s="10">
        <f>IF(ISNUMBER('Rates from Ireland Fedex Priort'!E10),_xlfn.CEILING.MATH('Rates from Ireland Fedex Priort'!E10,1)+IF($A11="EU",Variables!$B$6,Variables!$B$3),'Rates from Ireland Fedex Priort'!E10)</f>
        <v>77</v>
      </c>
      <c r="F11" s="10">
        <f>IF(ISNUMBER('Rates from Ireland Fedex Priort'!F10),_xlfn.CEILING.MATH('Rates from Ireland Fedex Priort'!F10,1)+IF($A11="EU",Variables!$B$6,Variables!$B$3),'Rates from Ireland Fedex Priort'!F10)</f>
        <v>81</v>
      </c>
      <c r="G11" s="10">
        <f>IF(ISNUMBER('Rates from Ireland Fedex Priort'!G10),_xlfn.CEILING.MATH('Rates from Ireland Fedex Priort'!G10,1)+IF($A11="EU",Variables!$B$6,Variables!$B$3),'Rates from Ireland Fedex Priort'!G10)</f>
        <v>96</v>
      </c>
      <c r="H11" s="10">
        <f>IF(ISNUMBER('Rates from Ireland Fedex Priort'!H10),_xlfn.CEILING.MATH('Rates from Ireland Fedex Priort'!H10,1)+IF($A11="EU",Variables!$B$6,Variables!$B$3),'Rates from Ireland Fedex Priort'!H10)</f>
        <v>117</v>
      </c>
      <c r="I11" s="10">
        <f>IF(ISNUMBER('Rates from Ireland Fedex Priort'!I10),_xlfn.CEILING.MATH('Rates from Ireland Fedex Priort'!I10,1)+IF($A11="EU",Variables!$B$6,Variables!$B$3),'Rates from Ireland Fedex Priort'!I10)</f>
        <v>219</v>
      </c>
      <c r="J11" s="10" t="str">
        <f>IF(ISNUMBER('Rates from Ireland Fedex Priort'!J10),_xlfn.CEILING.MATH('Rates from Ireland Fedex Priort'!J10,1)+IF($A11="EU",Variables!$B$6,Variables!$B$3),'Rates from Ireland Fedex Priort'!J10)</f>
        <v>No service</v>
      </c>
      <c r="K11" s="10" t="str">
        <f>IF(ISNUMBER('Rates from Ireland Fedex Priort'!K10),_xlfn.CEILING.MATH('Rates from Ireland Fedex Priort'!K10,1)+IF($A11="EU",Variables!$B$6,Variables!$B$3),'Rates from Ireland Fedex Priort'!K10)</f>
        <v>No service</v>
      </c>
      <c r="L11" s="10" t="str">
        <f>IF(ISNUMBER('Rates from Ireland Fedex Priort'!L10),_xlfn.CEILING.MATH('Rates from Ireland Fedex Priort'!L10,1)+IF($A11="EU",Variables!$B$6,Variables!$B$3),'Rates from Ireland Fedex Priort'!L10)</f>
        <v>No service</v>
      </c>
      <c r="M11" s="10" t="str">
        <f>IF(ISNUMBER('Rates from Ireland Fedex Priort'!M10),_xlfn.CEILING.MATH('Rates from Ireland Fedex Priort'!M10,1)+IF($A11="EU",Variables!$B$6,Variables!$B$3),'Rates from Ireland Fedex Priort'!M10)</f>
        <v>No service</v>
      </c>
      <c r="N11" s="10" t="str">
        <f>IF(ISNUMBER('Rates from Ireland Fedex Priort'!N10),_xlfn.CEILING.MATH('Rates from Ireland Fedex Priort'!N10,1)+IF($A11="EU",Variables!$B$6,Variables!$B$3),'Rates from Ireland Fedex Priort'!N10)</f>
        <v>No service</v>
      </c>
      <c r="O11" s="11" t="s">
        <v>41</v>
      </c>
      <c r="P11" s="11" t="s">
        <v>23</v>
      </c>
      <c r="Q11" s="12">
        <v>80</v>
      </c>
      <c r="R11" s="11" t="s">
        <v>25</v>
      </c>
      <c r="S11" s="3" t="s">
        <v>26</v>
      </c>
      <c r="T11" s="38" t="s">
        <v>27</v>
      </c>
    </row>
    <row r="12" spans="1:20" ht="15.75" customHeight="1" x14ac:dyDescent="0.3">
      <c r="A12" s="39" t="str">
        <f>IF('Rates from Ireland Fedex Priort'!A11="","",'Rates from Ireland Fedex Priort'!A11)</f>
        <v>EU</v>
      </c>
      <c r="B12" s="8" t="str">
        <f>IF('Rates from Ireland Fedex Priort'!B11="","",'Rates from Ireland Fedex Priort'!B11)</f>
        <v>Ireland</v>
      </c>
      <c r="C12" s="9" t="str">
        <f>IF('Rates from Ireland Fedex Priort'!C11="","",'Rates from Ireland Fedex Priort'!C11)</f>
        <v>Armenia</v>
      </c>
      <c r="D12" s="10">
        <f>IF(ISNUMBER('Rates from Ireland Fedex Priort'!D11),_xlfn.CEILING.MATH('Rates from Ireland Fedex Priort'!D11,1)+IF($A12="EU",Variables!$B$5,Variables!$B$2),'Rates from Ireland Fedex Priort'!D11)</f>
        <v>62</v>
      </c>
      <c r="E12" s="10">
        <f>IF(ISNUMBER('Rates from Ireland Fedex Priort'!E11),_xlfn.CEILING.MATH('Rates from Ireland Fedex Priort'!E11,1)+IF($A12="EU",Variables!$B$6,Variables!$B$3),'Rates from Ireland Fedex Priort'!E11)</f>
        <v>69</v>
      </c>
      <c r="F12" s="10">
        <f>IF(ISNUMBER('Rates from Ireland Fedex Priort'!F11),_xlfn.CEILING.MATH('Rates from Ireland Fedex Priort'!F11,1)+IF($A12="EU",Variables!$B$6,Variables!$B$3),'Rates from Ireland Fedex Priort'!F11)</f>
        <v>72</v>
      </c>
      <c r="G12" s="10">
        <f>IF(ISNUMBER('Rates from Ireland Fedex Priort'!G11),_xlfn.CEILING.MATH('Rates from Ireland Fedex Priort'!G11,1)+IF($A12="EU",Variables!$B$6,Variables!$B$3),'Rates from Ireland Fedex Priort'!G11)</f>
        <v>86</v>
      </c>
      <c r="H12" s="10">
        <f>IF(ISNUMBER('Rates from Ireland Fedex Priort'!H11),_xlfn.CEILING.MATH('Rates from Ireland Fedex Priort'!H11,1)+IF($A12="EU",Variables!$B$6,Variables!$B$3),'Rates from Ireland Fedex Priort'!H11)</f>
        <v>111</v>
      </c>
      <c r="I12" s="10">
        <f>IF(ISNUMBER('Rates from Ireland Fedex Priort'!I11),_xlfn.CEILING.MATH('Rates from Ireland Fedex Priort'!I11,1)+IF($A12="EU",Variables!$B$6,Variables!$B$3),'Rates from Ireland Fedex Priort'!I11)</f>
        <v>174</v>
      </c>
      <c r="J12" s="10" t="str">
        <f>IF(ISNUMBER('Rates from Ireland Fedex Priort'!J11),_xlfn.CEILING.MATH('Rates from Ireland Fedex Priort'!J11,1)+IF($A12="EU",Variables!$B$6,Variables!$B$3),'Rates from Ireland Fedex Priort'!J11)</f>
        <v>No service</v>
      </c>
      <c r="K12" s="10" t="str">
        <f>IF(ISNUMBER('Rates from Ireland Fedex Priort'!K11),_xlfn.CEILING.MATH('Rates from Ireland Fedex Priort'!K11,1)+IF($A12="EU",Variables!$B$6,Variables!$B$3),'Rates from Ireland Fedex Priort'!K11)</f>
        <v>No service</v>
      </c>
      <c r="L12" s="10" t="str">
        <f>IF(ISNUMBER('Rates from Ireland Fedex Priort'!L11),_xlfn.CEILING.MATH('Rates from Ireland Fedex Priort'!L11,1)+IF($A12="EU",Variables!$B$6,Variables!$B$3),'Rates from Ireland Fedex Priort'!L11)</f>
        <v>No service</v>
      </c>
      <c r="M12" s="10" t="str">
        <f>IF(ISNUMBER('Rates from Ireland Fedex Priort'!M11),_xlfn.CEILING.MATH('Rates from Ireland Fedex Priort'!M11,1)+IF($A12="EU",Variables!$B$6,Variables!$B$3),'Rates from Ireland Fedex Priort'!M11)</f>
        <v>No service</v>
      </c>
      <c r="N12" s="10" t="str">
        <f>IF(ISNUMBER('Rates from Ireland Fedex Priort'!N11),_xlfn.CEILING.MATH('Rates from Ireland Fedex Priort'!N11,1)+IF($A12="EU",Variables!$B$6,Variables!$B$3),'Rates from Ireland Fedex Priort'!N11)</f>
        <v>No service</v>
      </c>
      <c r="O12" s="11" t="s">
        <v>29</v>
      </c>
      <c r="P12" s="11" t="s">
        <v>30</v>
      </c>
      <c r="Q12" s="12">
        <v>80</v>
      </c>
      <c r="R12" s="11" t="s">
        <v>25</v>
      </c>
      <c r="S12" s="3" t="s">
        <v>26</v>
      </c>
      <c r="T12" s="38" t="s">
        <v>27</v>
      </c>
    </row>
    <row r="13" spans="1:20" ht="15.75" customHeight="1" x14ac:dyDescent="0.3">
      <c r="A13" s="39" t="str">
        <f>IF('Rates from Ireland Fedex Priort'!A12="","",'Rates from Ireland Fedex Priort'!A12)</f>
        <v>EU</v>
      </c>
      <c r="B13" s="8" t="str">
        <f>IF('Rates from Ireland Fedex Priort'!B12="","",'Rates from Ireland Fedex Priort'!B12)</f>
        <v>Ireland</v>
      </c>
      <c r="C13" s="9" t="str">
        <f>IF('Rates from Ireland Fedex Priort'!C12="","",'Rates from Ireland Fedex Priort'!C12)</f>
        <v>Aruba (Netherlands)</v>
      </c>
      <c r="D13" s="10">
        <f>IF(ISNUMBER('Rates from Ireland Fedex Priort'!D12),_xlfn.CEILING.MATH('Rates from Ireland Fedex Priort'!D12,1)+IF($A13="EU",Variables!$B$5,Variables!$B$2),'Rates from Ireland Fedex Priort'!D12)</f>
        <v>68</v>
      </c>
      <c r="E13" s="10">
        <f>IF(ISNUMBER('Rates from Ireland Fedex Priort'!E12),_xlfn.CEILING.MATH('Rates from Ireland Fedex Priort'!E12,1)+IF($A13="EU",Variables!$B$6,Variables!$B$3),'Rates from Ireland Fedex Priort'!E12)</f>
        <v>77</v>
      </c>
      <c r="F13" s="10">
        <f>IF(ISNUMBER('Rates from Ireland Fedex Priort'!F12),_xlfn.CEILING.MATH('Rates from Ireland Fedex Priort'!F12,1)+IF($A13="EU",Variables!$B$6,Variables!$B$3),'Rates from Ireland Fedex Priort'!F12)</f>
        <v>81</v>
      </c>
      <c r="G13" s="10">
        <f>IF(ISNUMBER('Rates from Ireland Fedex Priort'!G12),_xlfn.CEILING.MATH('Rates from Ireland Fedex Priort'!G12,1)+IF($A13="EU",Variables!$B$6,Variables!$B$3),'Rates from Ireland Fedex Priort'!G12)</f>
        <v>96</v>
      </c>
      <c r="H13" s="10">
        <f>IF(ISNUMBER('Rates from Ireland Fedex Priort'!H12),_xlfn.CEILING.MATH('Rates from Ireland Fedex Priort'!H12,1)+IF($A13="EU",Variables!$B$6,Variables!$B$3),'Rates from Ireland Fedex Priort'!H12)</f>
        <v>117</v>
      </c>
      <c r="I13" s="10">
        <f>IF(ISNUMBER('Rates from Ireland Fedex Priort'!I12),_xlfn.CEILING.MATH('Rates from Ireland Fedex Priort'!I12,1)+IF($A13="EU",Variables!$B$6,Variables!$B$3),'Rates from Ireland Fedex Priort'!I12)</f>
        <v>219</v>
      </c>
      <c r="J13" s="10" t="str">
        <f>IF(ISNUMBER('Rates from Ireland Fedex Priort'!J12),_xlfn.CEILING.MATH('Rates from Ireland Fedex Priort'!J12,1)+IF($A13="EU",Variables!$B$6,Variables!$B$3),'Rates from Ireland Fedex Priort'!J12)</f>
        <v>No service</v>
      </c>
      <c r="K13" s="10" t="str">
        <f>IF(ISNUMBER('Rates from Ireland Fedex Priort'!K12),_xlfn.CEILING.MATH('Rates from Ireland Fedex Priort'!K12,1)+IF($A13="EU",Variables!$B$6,Variables!$B$3),'Rates from Ireland Fedex Priort'!K12)</f>
        <v>No service</v>
      </c>
      <c r="L13" s="10" t="str">
        <f>IF(ISNUMBER('Rates from Ireland Fedex Priort'!L12),_xlfn.CEILING.MATH('Rates from Ireland Fedex Priort'!L12,1)+IF($A13="EU",Variables!$B$6,Variables!$B$3),'Rates from Ireland Fedex Priort'!L12)</f>
        <v>No service</v>
      </c>
      <c r="M13" s="10" t="str">
        <f>IF(ISNUMBER('Rates from Ireland Fedex Priort'!M12),_xlfn.CEILING.MATH('Rates from Ireland Fedex Priort'!M12,1)+IF($A13="EU",Variables!$B$6,Variables!$B$3),'Rates from Ireland Fedex Priort'!M12)</f>
        <v>No service</v>
      </c>
      <c r="N13" s="10" t="str">
        <f>IF(ISNUMBER('Rates from Ireland Fedex Priort'!N12),_xlfn.CEILING.MATH('Rates from Ireland Fedex Priort'!N12,1)+IF($A13="EU",Variables!$B$6,Variables!$B$3),'Rates from Ireland Fedex Priort'!N12)</f>
        <v>No service</v>
      </c>
      <c r="O13" s="11" t="s">
        <v>41</v>
      </c>
      <c r="P13" s="11" t="s">
        <v>23</v>
      </c>
      <c r="Q13" s="12">
        <v>80</v>
      </c>
      <c r="R13" s="11" t="s">
        <v>25</v>
      </c>
      <c r="S13" s="3" t="s">
        <v>26</v>
      </c>
      <c r="T13" s="38" t="s">
        <v>27</v>
      </c>
    </row>
    <row r="14" spans="1:20" ht="15.75" customHeight="1" x14ac:dyDescent="0.3">
      <c r="A14" s="39" t="str">
        <f>IF('Rates from Ireland Fedex Priort'!A13="","",'Rates from Ireland Fedex Priort'!A13)</f>
        <v>EU</v>
      </c>
      <c r="B14" s="8" t="str">
        <f>IF('Rates from Ireland Fedex Priort'!B13="","",'Rates from Ireland Fedex Priort'!B13)</f>
        <v>Ireland</v>
      </c>
      <c r="C14" s="9" t="str">
        <f>IF('Rates from Ireland Fedex Priort'!C13="","",'Rates from Ireland Fedex Priort'!C13)</f>
        <v>Australia</v>
      </c>
      <c r="D14" s="10">
        <f>IF(ISNUMBER('Rates from Ireland Fedex Priort'!D13),_xlfn.CEILING.MATH('Rates from Ireland Fedex Priort'!D13,1)+IF($A14="EU",Variables!$B$5,Variables!$B$2),'Rates from Ireland Fedex Priort'!D13)</f>
        <v>88</v>
      </c>
      <c r="E14" s="10">
        <f>IF(ISNUMBER('Rates from Ireland Fedex Priort'!E13),_xlfn.CEILING.MATH('Rates from Ireland Fedex Priort'!E13,1)+IF($A14="EU",Variables!$B$6,Variables!$B$3),'Rates from Ireland Fedex Priort'!E13)</f>
        <v>104</v>
      </c>
      <c r="F14" s="10">
        <f>IF(ISNUMBER('Rates from Ireland Fedex Priort'!F13),_xlfn.CEILING.MATH('Rates from Ireland Fedex Priort'!F13,1)+IF($A14="EU",Variables!$B$6,Variables!$B$3),'Rates from Ireland Fedex Priort'!F13)</f>
        <v>113</v>
      </c>
      <c r="G14" s="10">
        <f>IF(ISNUMBER('Rates from Ireland Fedex Priort'!G13),_xlfn.CEILING.MATH('Rates from Ireland Fedex Priort'!G13,1)+IF($A14="EU",Variables!$B$6,Variables!$B$3),'Rates from Ireland Fedex Priort'!G13)</f>
        <v>148</v>
      </c>
      <c r="H14" s="10">
        <f>IF(ISNUMBER('Rates from Ireland Fedex Priort'!H13),_xlfn.CEILING.MATH('Rates from Ireland Fedex Priort'!H13,1)+IF($A14="EU",Variables!$B$6,Variables!$B$3),'Rates from Ireland Fedex Priort'!H13)</f>
        <v>194</v>
      </c>
      <c r="I14" s="10">
        <f>IF(ISNUMBER('Rates from Ireland Fedex Priort'!I13),_xlfn.CEILING.MATH('Rates from Ireland Fedex Priort'!I13,1)+IF($A14="EU",Variables!$B$6,Variables!$B$3),'Rates from Ireland Fedex Priort'!I13)</f>
        <v>275</v>
      </c>
      <c r="J14" s="10" t="str">
        <f>IF(ISNUMBER('Rates from Ireland Fedex Priort'!J13),_xlfn.CEILING.MATH('Rates from Ireland Fedex Priort'!J13,1)+IF($A14="EU",Variables!$B$6,Variables!$B$3),'Rates from Ireland Fedex Priort'!J13)</f>
        <v>No service</v>
      </c>
      <c r="K14" s="10" t="str">
        <f>IF(ISNUMBER('Rates from Ireland Fedex Priort'!K13),_xlfn.CEILING.MATH('Rates from Ireland Fedex Priort'!K13,1)+IF($A14="EU",Variables!$B$6,Variables!$B$3),'Rates from Ireland Fedex Priort'!K13)</f>
        <v>No service</v>
      </c>
      <c r="L14" s="10" t="str">
        <f>IF(ISNUMBER('Rates from Ireland Fedex Priort'!L13),_xlfn.CEILING.MATH('Rates from Ireland Fedex Priort'!L13,1)+IF($A14="EU",Variables!$B$6,Variables!$B$3),'Rates from Ireland Fedex Priort'!L13)</f>
        <v>No service</v>
      </c>
      <c r="M14" s="10" t="str">
        <f>IF(ISNUMBER('Rates from Ireland Fedex Priort'!M13),_xlfn.CEILING.MATH('Rates from Ireland Fedex Priort'!M13,1)+IF($A14="EU",Variables!$B$6,Variables!$B$3),'Rates from Ireland Fedex Priort'!M13)</f>
        <v>No service</v>
      </c>
      <c r="N14" s="10" t="str">
        <f>IF(ISNUMBER('Rates from Ireland Fedex Priort'!N13),_xlfn.CEILING.MATH('Rates from Ireland Fedex Priort'!N13,1)+IF($A14="EU",Variables!$B$6,Variables!$B$3),'Rates from Ireland Fedex Priort'!N13)</f>
        <v>No service</v>
      </c>
      <c r="O14" s="11" t="s">
        <v>41</v>
      </c>
      <c r="P14" s="11" t="s">
        <v>23</v>
      </c>
      <c r="Q14" s="12">
        <v>80</v>
      </c>
      <c r="R14" s="11" t="s">
        <v>25</v>
      </c>
      <c r="S14" s="3" t="s">
        <v>26</v>
      </c>
      <c r="T14" s="38" t="s">
        <v>27</v>
      </c>
    </row>
    <row r="15" spans="1:20" ht="15.75" customHeight="1" x14ac:dyDescent="0.3">
      <c r="A15" s="39" t="str">
        <f>IF('Rates from Ireland Fedex Priort'!A14="","",'Rates from Ireland Fedex Priort'!A14)</f>
        <v>EU</v>
      </c>
      <c r="B15" s="8" t="str">
        <f>IF('Rates from Ireland Fedex Priort'!B14="","",'Rates from Ireland Fedex Priort'!B14)</f>
        <v>Ireland</v>
      </c>
      <c r="C15" s="9" t="str">
        <f>IF('Rates from Ireland Fedex Priort'!C14="","",'Rates from Ireland Fedex Priort'!C14)</f>
        <v>Austria</v>
      </c>
      <c r="D15" s="10">
        <f>IF(ISNUMBER('Rates from Ireland Fedex Priort'!D14),_xlfn.CEILING.MATH('Rates from Ireland Fedex Priort'!D14,1)+IF($A15="EU",Variables!$B$5,Variables!$B$2),'Rates from Ireland Fedex Priort'!D14)</f>
        <v>63</v>
      </c>
      <c r="E15" s="10">
        <f>IF(ISNUMBER('Rates from Ireland Fedex Priort'!E14),_xlfn.CEILING.MATH('Rates from Ireland Fedex Priort'!E14,1)+IF($A15="EU",Variables!$B$6,Variables!$B$3),'Rates from Ireland Fedex Priort'!E14)</f>
        <v>65</v>
      </c>
      <c r="F15" s="10">
        <f>IF(ISNUMBER('Rates from Ireland Fedex Priort'!F14),_xlfn.CEILING.MATH('Rates from Ireland Fedex Priort'!F14,1)+IF($A15="EU",Variables!$B$6,Variables!$B$3),'Rates from Ireland Fedex Priort'!F14)</f>
        <v>65</v>
      </c>
      <c r="G15" s="10">
        <f>IF(ISNUMBER('Rates from Ireland Fedex Priort'!G14),_xlfn.CEILING.MATH('Rates from Ireland Fedex Priort'!G14,1)+IF($A15="EU",Variables!$B$6,Variables!$B$3),'Rates from Ireland Fedex Priort'!G14)</f>
        <v>67</v>
      </c>
      <c r="H15" s="10">
        <f>IF(ISNUMBER('Rates from Ireland Fedex Priort'!H14),_xlfn.CEILING.MATH('Rates from Ireland Fedex Priort'!H14,1)+IF($A15="EU",Variables!$B$6,Variables!$B$3),'Rates from Ireland Fedex Priort'!H14)</f>
        <v>71</v>
      </c>
      <c r="I15" s="10">
        <f>IF(ISNUMBER('Rates from Ireland Fedex Priort'!I14),_xlfn.CEILING.MATH('Rates from Ireland Fedex Priort'!I14,1)+IF($A15="EU",Variables!$B$6,Variables!$B$3),'Rates from Ireland Fedex Priort'!I14)</f>
        <v>78</v>
      </c>
      <c r="J15" s="10">
        <f>IF(ISNUMBER('Rates from Ireland Fedex Priort'!J14),_xlfn.CEILING.MATH('Rates from Ireland Fedex Priort'!J14,1)+IF($A15="EU",Variables!$B$6,Variables!$B$3),'Rates from Ireland Fedex Priort'!J14)</f>
        <v>88</v>
      </c>
      <c r="K15" s="10">
        <f>IF(ISNUMBER('Rates from Ireland Fedex Priort'!K14),_xlfn.CEILING.MATH('Rates from Ireland Fedex Priort'!K14,1)+IF($A15="EU",Variables!$B$6,Variables!$B$3),'Rates from Ireland Fedex Priort'!K14)</f>
        <v>93</v>
      </c>
      <c r="L15" s="10">
        <f>IF(ISNUMBER('Rates from Ireland Fedex Priort'!L14),_xlfn.CEILING.MATH('Rates from Ireland Fedex Priort'!L14,1)+IF($A15="EU",Variables!$B$6,Variables!$B$3),'Rates from Ireland Fedex Priort'!L14)</f>
        <v>93</v>
      </c>
      <c r="M15" s="10">
        <f>IF(ISNUMBER('Rates from Ireland Fedex Priort'!M14),_xlfn.CEILING.MATH('Rates from Ireland Fedex Priort'!M14,1)+IF($A15="EU",Variables!$B$6,Variables!$B$3),'Rates from Ireland Fedex Priort'!M14)</f>
        <v>125</v>
      </c>
      <c r="N15" s="10">
        <f>IF(ISNUMBER('Rates from Ireland Fedex Priort'!N14),_xlfn.CEILING.MATH('Rates from Ireland Fedex Priort'!N14,1)+IF($A15="EU",Variables!$B$6,Variables!$B$3),'Rates from Ireland Fedex Priort'!N14)</f>
        <v>127</v>
      </c>
      <c r="O15" s="15" t="s">
        <v>29</v>
      </c>
      <c r="P15" s="15" t="s">
        <v>23</v>
      </c>
      <c r="Q15" s="16">
        <v>80</v>
      </c>
      <c r="R15" s="15" t="s">
        <v>25</v>
      </c>
      <c r="S15" s="17" t="s">
        <v>26</v>
      </c>
      <c r="T15" s="40" t="s">
        <v>27</v>
      </c>
    </row>
    <row r="16" spans="1:20" ht="15.75" customHeight="1" x14ac:dyDescent="0.3">
      <c r="A16" s="39" t="str">
        <f>IF('Rates from Ireland Fedex Priort'!A15="","",'Rates from Ireland Fedex Priort'!A15)</f>
        <v>EU</v>
      </c>
      <c r="B16" s="8" t="str">
        <f>IF('Rates from Ireland Fedex Priort'!B15="","",'Rates from Ireland Fedex Priort'!B15)</f>
        <v>Ireland</v>
      </c>
      <c r="C16" s="9" t="str">
        <f>IF('Rates from Ireland Fedex Priort'!C15="","",'Rates from Ireland Fedex Priort'!C15)</f>
        <v>Azerbaijan</v>
      </c>
      <c r="D16" s="10">
        <f>IF(ISNUMBER('Rates from Ireland Fedex Priort'!D15),_xlfn.CEILING.MATH('Rates from Ireland Fedex Priort'!D15,1)+IF($A16="EU",Variables!$B$5,Variables!$B$2),'Rates from Ireland Fedex Priort'!D15)</f>
        <v>62</v>
      </c>
      <c r="E16" s="10">
        <f>IF(ISNUMBER('Rates from Ireland Fedex Priort'!E15),_xlfn.CEILING.MATH('Rates from Ireland Fedex Priort'!E15,1)+IF($A16="EU",Variables!$B$6,Variables!$B$3),'Rates from Ireland Fedex Priort'!E15)</f>
        <v>69</v>
      </c>
      <c r="F16" s="10">
        <f>IF(ISNUMBER('Rates from Ireland Fedex Priort'!F15),_xlfn.CEILING.MATH('Rates from Ireland Fedex Priort'!F15,1)+IF($A16="EU",Variables!$B$6,Variables!$B$3),'Rates from Ireland Fedex Priort'!F15)</f>
        <v>72</v>
      </c>
      <c r="G16" s="10">
        <f>IF(ISNUMBER('Rates from Ireland Fedex Priort'!G15),_xlfn.CEILING.MATH('Rates from Ireland Fedex Priort'!G15,1)+IF($A16="EU",Variables!$B$6,Variables!$B$3),'Rates from Ireland Fedex Priort'!G15)</f>
        <v>86</v>
      </c>
      <c r="H16" s="10">
        <f>IF(ISNUMBER('Rates from Ireland Fedex Priort'!H15),_xlfn.CEILING.MATH('Rates from Ireland Fedex Priort'!H15,1)+IF($A16="EU",Variables!$B$6,Variables!$B$3),'Rates from Ireland Fedex Priort'!H15)</f>
        <v>111</v>
      </c>
      <c r="I16" s="10">
        <f>IF(ISNUMBER('Rates from Ireland Fedex Priort'!I15),_xlfn.CEILING.MATH('Rates from Ireland Fedex Priort'!I15,1)+IF($A16="EU",Variables!$B$6,Variables!$B$3),'Rates from Ireland Fedex Priort'!I15)</f>
        <v>174</v>
      </c>
      <c r="J16" s="10" t="str">
        <f>IF(ISNUMBER('Rates from Ireland Fedex Priort'!J15),_xlfn.CEILING.MATH('Rates from Ireland Fedex Priort'!J15,1)+IF($A16="EU",Variables!$B$6,Variables!$B$3),'Rates from Ireland Fedex Priort'!J15)</f>
        <v>No service</v>
      </c>
      <c r="K16" s="10" t="str">
        <f>IF(ISNUMBER('Rates from Ireland Fedex Priort'!K15),_xlfn.CEILING.MATH('Rates from Ireland Fedex Priort'!K15,1)+IF($A16="EU",Variables!$B$6,Variables!$B$3),'Rates from Ireland Fedex Priort'!K15)</f>
        <v>No service</v>
      </c>
      <c r="L16" s="10" t="str">
        <f>IF(ISNUMBER('Rates from Ireland Fedex Priort'!L15),_xlfn.CEILING.MATH('Rates from Ireland Fedex Priort'!L15,1)+IF($A16="EU",Variables!$B$6,Variables!$B$3),'Rates from Ireland Fedex Priort'!L15)</f>
        <v>No service</v>
      </c>
      <c r="M16" s="10" t="str">
        <f>IF(ISNUMBER('Rates from Ireland Fedex Priort'!M15),_xlfn.CEILING.MATH('Rates from Ireland Fedex Priort'!M15,1)+IF($A16="EU",Variables!$B$6,Variables!$B$3),'Rates from Ireland Fedex Priort'!M15)</f>
        <v>No service</v>
      </c>
      <c r="N16" s="10" t="str">
        <f>IF(ISNUMBER('Rates from Ireland Fedex Priort'!N15),_xlfn.CEILING.MATH('Rates from Ireland Fedex Priort'!N15,1)+IF($A16="EU",Variables!$B$6,Variables!$B$3),'Rates from Ireland Fedex Priort'!N15)</f>
        <v>No service</v>
      </c>
      <c r="O16" s="11" t="s">
        <v>29</v>
      </c>
      <c r="P16" s="11" t="s">
        <v>30</v>
      </c>
      <c r="Q16" s="12">
        <v>80</v>
      </c>
      <c r="R16" s="11" t="s">
        <v>25</v>
      </c>
      <c r="S16" s="3" t="s">
        <v>26</v>
      </c>
      <c r="T16" s="38" t="s">
        <v>27</v>
      </c>
    </row>
    <row r="17" spans="1:20" ht="15.75" customHeight="1" x14ac:dyDescent="0.3">
      <c r="A17" s="39" t="str">
        <f>IF('Rates from Ireland Fedex Priort'!A16="","",'Rates from Ireland Fedex Priort'!A16)</f>
        <v>EU</v>
      </c>
      <c r="B17" s="8" t="str">
        <f>IF('Rates from Ireland Fedex Priort'!B16="","",'Rates from Ireland Fedex Priort'!B16)</f>
        <v>Ireland</v>
      </c>
      <c r="C17" s="9" t="str">
        <f>IF('Rates from Ireland Fedex Priort'!C16="","",'Rates from Ireland Fedex Priort'!C16)</f>
        <v>Bahamas</v>
      </c>
      <c r="D17" s="10">
        <f>IF(ISNUMBER('Rates from Ireland Fedex Priort'!D16),_xlfn.CEILING.MATH('Rates from Ireland Fedex Priort'!D16,1)+IF($A17="EU",Variables!$B$5,Variables!$B$2),'Rates from Ireland Fedex Priort'!D16)</f>
        <v>68</v>
      </c>
      <c r="E17" s="10">
        <f>IF(ISNUMBER('Rates from Ireland Fedex Priort'!E16),_xlfn.CEILING.MATH('Rates from Ireland Fedex Priort'!E16,1)+IF($A17="EU",Variables!$B$6,Variables!$B$3),'Rates from Ireland Fedex Priort'!E16)</f>
        <v>77</v>
      </c>
      <c r="F17" s="10">
        <f>IF(ISNUMBER('Rates from Ireland Fedex Priort'!F16),_xlfn.CEILING.MATH('Rates from Ireland Fedex Priort'!F16,1)+IF($A17="EU",Variables!$B$6,Variables!$B$3),'Rates from Ireland Fedex Priort'!F16)</f>
        <v>81</v>
      </c>
      <c r="G17" s="10">
        <f>IF(ISNUMBER('Rates from Ireland Fedex Priort'!G16),_xlfn.CEILING.MATH('Rates from Ireland Fedex Priort'!G16,1)+IF($A17="EU",Variables!$B$6,Variables!$B$3),'Rates from Ireland Fedex Priort'!G16)</f>
        <v>96</v>
      </c>
      <c r="H17" s="10">
        <f>IF(ISNUMBER('Rates from Ireland Fedex Priort'!H16),_xlfn.CEILING.MATH('Rates from Ireland Fedex Priort'!H16,1)+IF($A17="EU",Variables!$B$6,Variables!$B$3),'Rates from Ireland Fedex Priort'!H16)</f>
        <v>117</v>
      </c>
      <c r="I17" s="10">
        <f>IF(ISNUMBER('Rates from Ireland Fedex Priort'!I16),_xlfn.CEILING.MATH('Rates from Ireland Fedex Priort'!I16,1)+IF($A17="EU",Variables!$B$6,Variables!$B$3),'Rates from Ireland Fedex Priort'!I16)</f>
        <v>219</v>
      </c>
      <c r="J17" s="10" t="str">
        <f>IF(ISNUMBER('Rates from Ireland Fedex Priort'!J16),_xlfn.CEILING.MATH('Rates from Ireland Fedex Priort'!J16,1)+IF($A17="EU",Variables!$B$6,Variables!$B$3),'Rates from Ireland Fedex Priort'!J16)</f>
        <v>No service</v>
      </c>
      <c r="K17" s="10" t="str">
        <f>IF(ISNUMBER('Rates from Ireland Fedex Priort'!K16),_xlfn.CEILING.MATH('Rates from Ireland Fedex Priort'!K16,1)+IF($A17="EU",Variables!$B$6,Variables!$B$3),'Rates from Ireland Fedex Priort'!K16)</f>
        <v>No service</v>
      </c>
      <c r="L17" s="10" t="str">
        <f>IF(ISNUMBER('Rates from Ireland Fedex Priort'!L16),_xlfn.CEILING.MATH('Rates from Ireland Fedex Priort'!L16,1)+IF($A17="EU",Variables!$B$6,Variables!$B$3),'Rates from Ireland Fedex Priort'!L16)</f>
        <v>No service</v>
      </c>
      <c r="M17" s="10" t="str">
        <f>IF(ISNUMBER('Rates from Ireland Fedex Priort'!M16),_xlfn.CEILING.MATH('Rates from Ireland Fedex Priort'!M16,1)+IF($A17="EU",Variables!$B$6,Variables!$B$3),'Rates from Ireland Fedex Priort'!M16)</f>
        <v>No service</v>
      </c>
      <c r="N17" s="10" t="str">
        <f>IF(ISNUMBER('Rates from Ireland Fedex Priort'!N16),_xlfn.CEILING.MATH('Rates from Ireland Fedex Priort'!N16,1)+IF($A17="EU",Variables!$B$6,Variables!$B$3),'Rates from Ireland Fedex Priort'!N16)</f>
        <v>No service</v>
      </c>
      <c r="O17" s="11" t="s">
        <v>41</v>
      </c>
      <c r="P17" s="11" t="s">
        <v>23</v>
      </c>
      <c r="Q17" s="12">
        <v>80</v>
      </c>
      <c r="R17" s="11" t="s">
        <v>25</v>
      </c>
      <c r="S17" s="3" t="s">
        <v>26</v>
      </c>
      <c r="T17" s="38" t="s">
        <v>27</v>
      </c>
    </row>
    <row r="18" spans="1:20" ht="15.75" customHeight="1" x14ac:dyDescent="0.3">
      <c r="A18" s="39" t="str">
        <f>IF('Rates from Ireland Fedex Priort'!A17="","",'Rates from Ireland Fedex Priort'!A17)</f>
        <v>EU</v>
      </c>
      <c r="B18" s="8" t="str">
        <f>IF('Rates from Ireland Fedex Priort'!B17="","",'Rates from Ireland Fedex Priort'!B17)</f>
        <v>Ireland</v>
      </c>
      <c r="C18" s="9" t="str">
        <f>IF('Rates from Ireland Fedex Priort'!C17="","",'Rates from Ireland Fedex Priort'!C17)</f>
        <v>Bahrain</v>
      </c>
      <c r="D18" s="10">
        <f>IF(ISNUMBER('Rates from Ireland Fedex Priort'!D17),_xlfn.CEILING.MATH('Rates from Ireland Fedex Priort'!D17,1)+IF($A18="EU",Variables!$B$5,Variables!$B$2),'Rates from Ireland Fedex Priort'!D17)</f>
        <v>62</v>
      </c>
      <c r="E18" s="10">
        <f>IF(ISNUMBER('Rates from Ireland Fedex Priort'!E17),_xlfn.CEILING.MATH('Rates from Ireland Fedex Priort'!E17,1)+IF($A18="EU",Variables!$B$6,Variables!$B$3),'Rates from Ireland Fedex Priort'!E17)</f>
        <v>69</v>
      </c>
      <c r="F18" s="10">
        <f>IF(ISNUMBER('Rates from Ireland Fedex Priort'!F17),_xlfn.CEILING.MATH('Rates from Ireland Fedex Priort'!F17,1)+IF($A18="EU",Variables!$B$6,Variables!$B$3),'Rates from Ireland Fedex Priort'!F17)</f>
        <v>72</v>
      </c>
      <c r="G18" s="10">
        <f>IF(ISNUMBER('Rates from Ireland Fedex Priort'!G17),_xlfn.CEILING.MATH('Rates from Ireland Fedex Priort'!G17,1)+IF($A18="EU",Variables!$B$6,Variables!$B$3),'Rates from Ireland Fedex Priort'!G17)</f>
        <v>86</v>
      </c>
      <c r="H18" s="10">
        <f>IF(ISNUMBER('Rates from Ireland Fedex Priort'!H17),_xlfn.CEILING.MATH('Rates from Ireland Fedex Priort'!H17,1)+IF($A18="EU",Variables!$B$6,Variables!$B$3),'Rates from Ireland Fedex Priort'!H17)</f>
        <v>111</v>
      </c>
      <c r="I18" s="10">
        <f>IF(ISNUMBER('Rates from Ireland Fedex Priort'!I17),_xlfn.CEILING.MATH('Rates from Ireland Fedex Priort'!I17,1)+IF($A18="EU",Variables!$B$6,Variables!$B$3),'Rates from Ireland Fedex Priort'!I17)</f>
        <v>174</v>
      </c>
      <c r="J18" s="10" t="str">
        <f>IF(ISNUMBER('Rates from Ireland Fedex Priort'!J17),_xlfn.CEILING.MATH('Rates from Ireland Fedex Priort'!J17,1)+IF($A18="EU",Variables!$B$6,Variables!$B$3),'Rates from Ireland Fedex Priort'!J17)</f>
        <v>No service</v>
      </c>
      <c r="K18" s="10" t="str">
        <f>IF(ISNUMBER('Rates from Ireland Fedex Priort'!K17),_xlfn.CEILING.MATH('Rates from Ireland Fedex Priort'!K17,1)+IF($A18="EU",Variables!$B$6,Variables!$B$3),'Rates from Ireland Fedex Priort'!K17)</f>
        <v>No service</v>
      </c>
      <c r="L18" s="10" t="str">
        <f>IF(ISNUMBER('Rates from Ireland Fedex Priort'!L17),_xlfn.CEILING.MATH('Rates from Ireland Fedex Priort'!L17,1)+IF($A18="EU",Variables!$B$6,Variables!$B$3),'Rates from Ireland Fedex Priort'!L17)</f>
        <v>No service</v>
      </c>
      <c r="M18" s="10" t="str">
        <f>IF(ISNUMBER('Rates from Ireland Fedex Priort'!M17),_xlfn.CEILING.MATH('Rates from Ireland Fedex Priort'!M17,1)+IF($A18="EU",Variables!$B$6,Variables!$B$3),'Rates from Ireland Fedex Priort'!M17)</f>
        <v>No service</v>
      </c>
      <c r="N18" s="10" t="str">
        <f>IF(ISNUMBER('Rates from Ireland Fedex Priort'!N17),_xlfn.CEILING.MATH('Rates from Ireland Fedex Priort'!N17,1)+IF($A18="EU",Variables!$B$6,Variables!$B$3),'Rates from Ireland Fedex Priort'!N17)</f>
        <v>No service</v>
      </c>
      <c r="O18" s="11" t="s">
        <v>29</v>
      </c>
      <c r="P18" s="11" t="s">
        <v>30</v>
      </c>
      <c r="Q18" s="12">
        <v>80</v>
      </c>
      <c r="R18" s="11" t="s">
        <v>25</v>
      </c>
      <c r="S18" s="3" t="s">
        <v>26</v>
      </c>
      <c r="T18" s="38" t="s">
        <v>27</v>
      </c>
    </row>
    <row r="19" spans="1:20" ht="15.75" customHeight="1" x14ac:dyDescent="0.3">
      <c r="A19" s="39" t="str">
        <f>IF('Rates from Ireland Fedex Priort'!A18="","",'Rates from Ireland Fedex Priort'!A18)</f>
        <v>EU</v>
      </c>
      <c r="B19" s="8" t="str">
        <f>IF('Rates from Ireland Fedex Priort'!B18="","",'Rates from Ireland Fedex Priort'!B18)</f>
        <v>Ireland</v>
      </c>
      <c r="C19" s="9" t="str">
        <f>IF('Rates from Ireland Fedex Priort'!C18="","",'Rates from Ireland Fedex Priort'!C18)</f>
        <v>Bangladesh</v>
      </c>
      <c r="D19" s="10">
        <f>IF(ISNUMBER('Rates from Ireland Fedex Priort'!D18),_xlfn.CEILING.MATH('Rates from Ireland Fedex Priort'!D18,1)+IF($A19="EU",Variables!$B$5,Variables!$B$2),'Rates from Ireland Fedex Priort'!D18)</f>
        <v>62</v>
      </c>
      <c r="E19" s="10">
        <f>IF(ISNUMBER('Rates from Ireland Fedex Priort'!E18),_xlfn.CEILING.MATH('Rates from Ireland Fedex Priort'!E18,1)+IF($A19="EU",Variables!$B$6,Variables!$B$3),'Rates from Ireland Fedex Priort'!E18)</f>
        <v>69</v>
      </c>
      <c r="F19" s="10">
        <f>IF(ISNUMBER('Rates from Ireland Fedex Priort'!F18),_xlfn.CEILING.MATH('Rates from Ireland Fedex Priort'!F18,1)+IF($A19="EU",Variables!$B$6,Variables!$B$3),'Rates from Ireland Fedex Priort'!F18)</f>
        <v>72</v>
      </c>
      <c r="G19" s="10">
        <f>IF(ISNUMBER('Rates from Ireland Fedex Priort'!G18),_xlfn.CEILING.MATH('Rates from Ireland Fedex Priort'!G18,1)+IF($A19="EU",Variables!$B$6,Variables!$B$3),'Rates from Ireland Fedex Priort'!G18)</f>
        <v>86</v>
      </c>
      <c r="H19" s="10">
        <f>IF(ISNUMBER('Rates from Ireland Fedex Priort'!H18),_xlfn.CEILING.MATH('Rates from Ireland Fedex Priort'!H18,1)+IF($A19="EU",Variables!$B$6,Variables!$B$3),'Rates from Ireland Fedex Priort'!H18)</f>
        <v>111</v>
      </c>
      <c r="I19" s="10">
        <f>IF(ISNUMBER('Rates from Ireland Fedex Priort'!I18),_xlfn.CEILING.MATH('Rates from Ireland Fedex Priort'!I18,1)+IF($A19="EU",Variables!$B$6,Variables!$B$3),'Rates from Ireland Fedex Priort'!I18)</f>
        <v>174</v>
      </c>
      <c r="J19" s="10" t="str">
        <f>IF(ISNUMBER('Rates from Ireland Fedex Priort'!J18),_xlfn.CEILING.MATH('Rates from Ireland Fedex Priort'!J18,1)+IF($A19="EU",Variables!$B$6,Variables!$B$3),'Rates from Ireland Fedex Priort'!J18)</f>
        <v>No service</v>
      </c>
      <c r="K19" s="10" t="str">
        <f>IF(ISNUMBER('Rates from Ireland Fedex Priort'!K18),_xlfn.CEILING.MATH('Rates from Ireland Fedex Priort'!K18,1)+IF($A19="EU",Variables!$B$6,Variables!$B$3),'Rates from Ireland Fedex Priort'!K18)</f>
        <v>No service</v>
      </c>
      <c r="L19" s="10" t="str">
        <f>IF(ISNUMBER('Rates from Ireland Fedex Priort'!L18),_xlfn.CEILING.MATH('Rates from Ireland Fedex Priort'!L18,1)+IF($A19="EU",Variables!$B$6,Variables!$B$3),'Rates from Ireland Fedex Priort'!L18)</f>
        <v>No service</v>
      </c>
      <c r="M19" s="10" t="str">
        <f>IF(ISNUMBER('Rates from Ireland Fedex Priort'!M18),_xlfn.CEILING.MATH('Rates from Ireland Fedex Priort'!M18,1)+IF($A19="EU",Variables!$B$6,Variables!$B$3),'Rates from Ireland Fedex Priort'!M18)</f>
        <v>No service</v>
      </c>
      <c r="N19" s="10" t="str">
        <f>IF(ISNUMBER('Rates from Ireland Fedex Priort'!N18),_xlfn.CEILING.MATH('Rates from Ireland Fedex Priort'!N18,1)+IF($A19="EU",Variables!$B$6,Variables!$B$3),'Rates from Ireland Fedex Priort'!N18)</f>
        <v>No service</v>
      </c>
      <c r="O19" s="11" t="s">
        <v>29</v>
      </c>
      <c r="P19" s="11" t="s">
        <v>30</v>
      </c>
      <c r="Q19" s="12">
        <v>80</v>
      </c>
      <c r="R19" s="11" t="s">
        <v>25</v>
      </c>
      <c r="S19" s="3" t="s">
        <v>26</v>
      </c>
      <c r="T19" s="38" t="s">
        <v>27</v>
      </c>
    </row>
    <row r="20" spans="1:20" ht="15.75" customHeight="1" x14ac:dyDescent="0.3">
      <c r="A20" s="39" t="str">
        <f>IF('Rates from Ireland Fedex Priort'!A19="","",'Rates from Ireland Fedex Priort'!A19)</f>
        <v>EU</v>
      </c>
      <c r="B20" s="8" t="str">
        <f>IF('Rates from Ireland Fedex Priort'!B19="","",'Rates from Ireland Fedex Priort'!B19)</f>
        <v>Ireland</v>
      </c>
      <c r="C20" s="9" t="str">
        <f>IF('Rates from Ireland Fedex Priort'!C19="","",'Rates from Ireland Fedex Priort'!C19)</f>
        <v>Barbados</v>
      </c>
      <c r="D20" s="10">
        <f>IF(ISNUMBER('Rates from Ireland Fedex Priort'!D19),_xlfn.CEILING.MATH('Rates from Ireland Fedex Priort'!D19,1)+IF($A20="EU",Variables!$B$5,Variables!$B$2),'Rates from Ireland Fedex Priort'!D19)</f>
        <v>68</v>
      </c>
      <c r="E20" s="10">
        <f>IF(ISNUMBER('Rates from Ireland Fedex Priort'!E19),_xlfn.CEILING.MATH('Rates from Ireland Fedex Priort'!E19,1)+IF($A20="EU",Variables!$B$6,Variables!$B$3),'Rates from Ireland Fedex Priort'!E19)</f>
        <v>77</v>
      </c>
      <c r="F20" s="10">
        <f>IF(ISNUMBER('Rates from Ireland Fedex Priort'!F19),_xlfn.CEILING.MATH('Rates from Ireland Fedex Priort'!F19,1)+IF($A20="EU",Variables!$B$6,Variables!$B$3),'Rates from Ireland Fedex Priort'!F19)</f>
        <v>81</v>
      </c>
      <c r="G20" s="10">
        <f>IF(ISNUMBER('Rates from Ireland Fedex Priort'!G19),_xlfn.CEILING.MATH('Rates from Ireland Fedex Priort'!G19,1)+IF($A20="EU",Variables!$B$6,Variables!$B$3),'Rates from Ireland Fedex Priort'!G19)</f>
        <v>96</v>
      </c>
      <c r="H20" s="10">
        <f>IF(ISNUMBER('Rates from Ireland Fedex Priort'!H19),_xlfn.CEILING.MATH('Rates from Ireland Fedex Priort'!H19,1)+IF($A20="EU",Variables!$B$6,Variables!$B$3),'Rates from Ireland Fedex Priort'!H19)</f>
        <v>117</v>
      </c>
      <c r="I20" s="10">
        <f>IF(ISNUMBER('Rates from Ireland Fedex Priort'!I19),_xlfn.CEILING.MATH('Rates from Ireland Fedex Priort'!I19,1)+IF($A20="EU",Variables!$B$6,Variables!$B$3),'Rates from Ireland Fedex Priort'!I19)</f>
        <v>219</v>
      </c>
      <c r="J20" s="10" t="str">
        <f>IF(ISNUMBER('Rates from Ireland Fedex Priort'!J19),_xlfn.CEILING.MATH('Rates from Ireland Fedex Priort'!J19,1)+IF($A20="EU",Variables!$B$6,Variables!$B$3),'Rates from Ireland Fedex Priort'!J19)</f>
        <v>No service</v>
      </c>
      <c r="K20" s="10" t="str">
        <f>IF(ISNUMBER('Rates from Ireland Fedex Priort'!K19),_xlfn.CEILING.MATH('Rates from Ireland Fedex Priort'!K19,1)+IF($A20="EU",Variables!$B$6,Variables!$B$3),'Rates from Ireland Fedex Priort'!K19)</f>
        <v>No service</v>
      </c>
      <c r="L20" s="10" t="str">
        <f>IF(ISNUMBER('Rates from Ireland Fedex Priort'!L19),_xlfn.CEILING.MATH('Rates from Ireland Fedex Priort'!L19,1)+IF($A20="EU",Variables!$B$6,Variables!$B$3),'Rates from Ireland Fedex Priort'!L19)</f>
        <v>No service</v>
      </c>
      <c r="M20" s="10" t="str">
        <f>IF(ISNUMBER('Rates from Ireland Fedex Priort'!M19),_xlfn.CEILING.MATH('Rates from Ireland Fedex Priort'!M19,1)+IF($A20="EU",Variables!$B$6,Variables!$B$3),'Rates from Ireland Fedex Priort'!M19)</f>
        <v>No service</v>
      </c>
      <c r="N20" s="10" t="str">
        <f>IF(ISNUMBER('Rates from Ireland Fedex Priort'!N19),_xlfn.CEILING.MATH('Rates from Ireland Fedex Priort'!N19,1)+IF($A20="EU",Variables!$B$6,Variables!$B$3),'Rates from Ireland Fedex Priort'!N19)</f>
        <v>No service</v>
      </c>
      <c r="O20" s="11" t="s">
        <v>41</v>
      </c>
      <c r="P20" s="11" t="s">
        <v>23</v>
      </c>
      <c r="Q20" s="12">
        <v>80</v>
      </c>
      <c r="R20" s="11" t="s">
        <v>25</v>
      </c>
      <c r="S20" s="3" t="s">
        <v>26</v>
      </c>
      <c r="T20" s="38" t="s">
        <v>27</v>
      </c>
    </row>
    <row r="21" spans="1:20" ht="15.75" customHeight="1" x14ac:dyDescent="0.3">
      <c r="A21" s="39" t="str">
        <f>IF('Rates from Ireland Fedex Priort'!A20="","",'Rates from Ireland Fedex Priort'!A20)</f>
        <v>EU</v>
      </c>
      <c r="B21" s="8" t="str">
        <f>IF('Rates from Ireland Fedex Priort'!B20="","",'Rates from Ireland Fedex Priort'!B20)</f>
        <v>Ireland</v>
      </c>
      <c r="C21" s="9" t="str">
        <f>IF('Rates from Ireland Fedex Priort'!C20="","",'Rates from Ireland Fedex Priort'!C20)</f>
        <v>Belarus</v>
      </c>
      <c r="D21" s="10" t="str">
        <f>IF(ISNUMBER('Rates from Ireland Fedex Priort'!D20),_xlfn.CEILING.MATH('Rates from Ireland Fedex Priort'!D20,1)+IF($A21="EU",Variables!$B$5,Variables!$B$2),'Rates from Ireland Fedex Priort'!D20)</f>
        <v>No service</v>
      </c>
      <c r="E21" s="10" t="str">
        <f>IF(ISNUMBER('Rates from Ireland Fedex Priort'!E20),_xlfn.CEILING.MATH('Rates from Ireland Fedex Priort'!E20,1)+IF($A21="EU",Variables!$B$6,Variables!$B$3),'Rates from Ireland Fedex Priort'!E20)</f>
        <v>No service</v>
      </c>
      <c r="F21" s="10" t="str">
        <f>IF(ISNUMBER('Rates from Ireland Fedex Priort'!F20),_xlfn.CEILING.MATH('Rates from Ireland Fedex Priort'!F20,1)+IF($A21="EU",Variables!$B$6,Variables!$B$3),'Rates from Ireland Fedex Priort'!F20)</f>
        <v>No service</v>
      </c>
      <c r="G21" s="10" t="str">
        <f>IF(ISNUMBER('Rates from Ireland Fedex Priort'!G20),_xlfn.CEILING.MATH('Rates from Ireland Fedex Priort'!G20,1)+IF($A21="EU",Variables!$B$6,Variables!$B$3),'Rates from Ireland Fedex Priort'!G20)</f>
        <v>No service</v>
      </c>
      <c r="H21" s="10" t="str">
        <f>IF(ISNUMBER('Rates from Ireland Fedex Priort'!H20),_xlfn.CEILING.MATH('Rates from Ireland Fedex Priort'!H20,1)+IF($A21="EU",Variables!$B$6,Variables!$B$3),'Rates from Ireland Fedex Priort'!H20)</f>
        <v>No service</v>
      </c>
      <c r="I21" s="10" t="str">
        <f>IF(ISNUMBER('Rates from Ireland Fedex Priort'!I20),_xlfn.CEILING.MATH('Rates from Ireland Fedex Priort'!I20,1)+IF($A21="EU",Variables!$B$6,Variables!$B$3),'Rates from Ireland Fedex Priort'!I20)</f>
        <v>No service</v>
      </c>
      <c r="J21" s="10" t="str">
        <f>IF(ISNUMBER('Rates from Ireland Fedex Priort'!J20),_xlfn.CEILING.MATH('Rates from Ireland Fedex Priort'!J20,1)+IF($A21="EU",Variables!$B$6,Variables!$B$3),'Rates from Ireland Fedex Priort'!J20)</f>
        <v>No service</v>
      </c>
      <c r="K21" s="10" t="str">
        <f>IF(ISNUMBER('Rates from Ireland Fedex Priort'!K20),_xlfn.CEILING.MATH('Rates from Ireland Fedex Priort'!K20,1)+IF($A21="EU",Variables!$B$6,Variables!$B$3),'Rates from Ireland Fedex Priort'!K20)</f>
        <v>No service</v>
      </c>
      <c r="L21" s="10" t="str">
        <f>IF(ISNUMBER('Rates from Ireland Fedex Priort'!L20),_xlfn.CEILING.MATH('Rates from Ireland Fedex Priort'!L20,1)+IF($A21="EU",Variables!$B$6,Variables!$B$3),'Rates from Ireland Fedex Priort'!L20)</f>
        <v>No service</v>
      </c>
      <c r="M21" s="10" t="str">
        <f>IF(ISNUMBER('Rates from Ireland Fedex Priort'!M20),_xlfn.CEILING.MATH('Rates from Ireland Fedex Priort'!M20,1)+IF($A21="EU",Variables!$B$6,Variables!$B$3),'Rates from Ireland Fedex Priort'!M20)</f>
        <v>No service</v>
      </c>
      <c r="N21" s="10" t="str">
        <f>IF(ISNUMBER('Rates from Ireland Fedex Priort'!N20),_xlfn.CEILING.MATH('Rates from Ireland Fedex Priort'!N20,1)+IF($A21="EU",Variables!$B$6,Variables!$B$3),'Rates from Ireland Fedex Priort'!N20)</f>
        <v>No service</v>
      </c>
      <c r="O21" s="11"/>
      <c r="P21" s="11"/>
      <c r="Q21" s="11"/>
      <c r="R21" s="11"/>
      <c r="S21" s="3" t="s">
        <v>26</v>
      </c>
      <c r="T21" s="38" t="s">
        <v>27</v>
      </c>
    </row>
    <row r="22" spans="1:20" ht="15.75" customHeight="1" x14ac:dyDescent="0.3">
      <c r="A22" s="39" t="str">
        <f>IF('Rates from Ireland Fedex Priort'!A21="","",'Rates from Ireland Fedex Priort'!A21)</f>
        <v>EU</v>
      </c>
      <c r="B22" s="8" t="str">
        <f>IF('Rates from Ireland Fedex Priort'!B21="","",'Rates from Ireland Fedex Priort'!B21)</f>
        <v>Ireland</v>
      </c>
      <c r="C22" s="9" t="str">
        <f>IF('Rates from Ireland Fedex Priort'!C21="","",'Rates from Ireland Fedex Priort'!C21)</f>
        <v>Belgium</v>
      </c>
      <c r="D22" s="10">
        <f>IF(ISNUMBER('Rates from Ireland Fedex Priort'!D21),_xlfn.CEILING.MATH('Rates from Ireland Fedex Priort'!D21,1)+IF($A22="EU",Variables!$B$5,Variables!$B$2),'Rates from Ireland Fedex Priort'!D21)</f>
        <v>62</v>
      </c>
      <c r="E22" s="10">
        <f>IF(ISNUMBER('Rates from Ireland Fedex Priort'!E21),_xlfn.CEILING.MATH('Rates from Ireland Fedex Priort'!E21,1)+IF($A22="EU",Variables!$B$6,Variables!$B$3),'Rates from Ireland Fedex Priort'!E21)</f>
        <v>64</v>
      </c>
      <c r="F22" s="10">
        <f>IF(ISNUMBER('Rates from Ireland Fedex Priort'!F21),_xlfn.CEILING.MATH('Rates from Ireland Fedex Priort'!F21,1)+IF($A22="EU",Variables!$B$6,Variables!$B$3),'Rates from Ireland Fedex Priort'!F21)</f>
        <v>67</v>
      </c>
      <c r="G22" s="10">
        <f>IF(ISNUMBER('Rates from Ireland Fedex Priort'!G21),_xlfn.CEILING.MATH('Rates from Ireland Fedex Priort'!G21,1)+IF($A22="EU",Variables!$B$6,Variables!$B$3),'Rates from Ireland Fedex Priort'!G21)</f>
        <v>69</v>
      </c>
      <c r="H22" s="10">
        <f>IF(ISNUMBER('Rates from Ireland Fedex Priort'!H21),_xlfn.CEILING.MATH('Rates from Ireland Fedex Priort'!H21,1)+IF($A22="EU",Variables!$B$6,Variables!$B$3),'Rates from Ireland Fedex Priort'!H21)</f>
        <v>72</v>
      </c>
      <c r="I22" s="10">
        <f>IF(ISNUMBER('Rates from Ireland Fedex Priort'!I21),_xlfn.CEILING.MATH('Rates from Ireland Fedex Priort'!I21,1)+IF($A22="EU",Variables!$B$6,Variables!$B$3),'Rates from Ireland Fedex Priort'!I21)</f>
        <v>77</v>
      </c>
      <c r="J22" s="10">
        <f>IF(ISNUMBER('Rates from Ireland Fedex Priort'!J21),_xlfn.CEILING.MATH('Rates from Ireland Fedex Priort'!J21,1)+IF($A22="EU",Variables!$B$6,Variables!$B$3),'Rates from Ireland Fedex Priort'!J21)</f>
        <v>85</v>
      </c>
      <c r="K22" s="10">
        <f>IF(ISNUMBER('Rates from Ireland Fedex Priort'!K21),_xlfn.CEILING.MATH('Rates from Ireland Fedex Priort'!K21,1)+IF($A22="EU",Variables!$B$6,Variables!$B$3),'Rates from Ireland Fedex Priort'!K21)</f>
        <v>92</v>
      </c>
      <c r="L22" s="10">
        <f>IF(ISNUMBER('Rates from Ireland Fedex Priort'!L21),_xlfn.CEILING.MATH('Rates from Ireland Fedex Priort'!L21,1)+IF($A22="EU",Variables!$B$6,Variables!$B$3),'Rates from Ireland Fedex Priort'!L21)</f>
        <v>119</v>
      </c>
      <c r="M22" s="10">
        <f>IF(ISNUMBER('Rates from Ireland Fedex Priort'!M21),_xlfn.CEILING.MATH('Rates from Ireland Fedex Priort'!M21,1)+IF($A22="EU",Variables!$B$6,Variables!$B$3),'Rates from Ireland Fedex Priort'!M21)</f>
        <v>127</v>
      </c>
      <c r="N22" s="10">
        <f>IF(ISNUMBER('Rates from Ireland Fedex Priort'!N21),_xlfn.CEILING.MATH('Rates from Ireland Fedex Priort'!N21,1)+IF($A22="EU",Variables!$B$6,Variables!$B$3),'Rates from Ireland Fedex Priort'!N21)</f>
        <v>132</v>
      </c>
      <c r="O22" s="15" t="s">
        <v>29</v>
      </c>
      <c r="P22" s="15" t="s">
        <v>41</v>
      </c>
      <c r="Q22" s="16">
        <v>80</v>
      </c>
      <c r="R22" s="15" t="s">
        <v>25</v>
      </c>
      <c r="S22" s="17" t="s">
        <v>26</v>
      </c>
      <c r="T22" s="40" t="s">
        <v>27</v>
      </c>
    </row>
    <row r="23" spans="1:20" ht="15.75" customHeight="1" x14ac:dyDescent="0.3">
      <c r="A23" s="39" t="str">
        <f>IF('Rates from Ireland Fedex Priort'!A22="","",'Rates from Ireland Fedex Priort'!A22)</f>
        <v>EU</v>
      </c>
      <c r="B23" s="8" t="str">
        <f>IF('Rates from Ireland Fedex Priort'!B22="","",'Rates from Ireland Fedex Priort'!B22)</f>
        <v>Ireland</v>
      </c>
      <c r="C23" s="9" t="str">
        <f>IF('Rates from Ireland Fedex Priort'!C22="","",'Rates from Ireland Fedex Priort'!C22)</f>
        <v>Belize</v>
      </c>
      <c r="D23" s="10">
        <f>IF(ISNUMBER('Rates from Ireland Fedex Priort'!D22),_xlfn.CEILING.MATH('Rates from Ireland Fedex Priort'!D22,1)+IF($A23="EU",Variables!$B$5,Variables!$B$2),'Rates from Ireland Fedex Priort'!D22)</f>
        <v>68</v>
      </c>
      <c r="E23" s="10">
        <f>IF(ISNUMBER('Rates from Ireland Fedex Priort'!E22),_xlfn.CEILING.MATH('Rates from Ireland Fedex Priort'!E22,1)+IF($A23="EU",Variables!$B$6,Variables!$B$3),'Rates from Ireland Fedex Priort'!E22)</f>
        <v>77</v>
      </c>
      <c r="F23" s="10">
        <f>IF(ISNUMBER('Rates from Ireland Fedex Priort'!F22),_xlfn.CEILING.MATH('Rates from Ireland Fedex Priort'!F22,1)+IF($A23="EU",Variables!$B$6,Variables!$B$3),'Rates from Ireland Fedex Priort'!F22)</f>
        <v>81</v>
      </c>
      <c r="G23" s="10">
        <f>IF(ISNUMBER('Rates from Ireland Fedex Priort'!G22),_xlfn.CEILING.MATH('Rates from Ireland Fedex Priort'!G22,1)+IF($A23="EU",Variables!$B$6,Variables!$B$3),'Rates from Ireland Fedex Priort'!G22)</f>
        <v>96</v>
      </c>
      <c r="H23" s="10">
        <f>IF(ISNUMBER('Rates from Ireland Fedex Priort'!H22),_xlfn.CEILING.MATH('Rates from Ireland Fedex Priort'!H22,1)+IF($A23="EU",Variables!$B$6,Variables!$B$3),'Rates from Ireland Fedex Priort'!H22)</f>
        <v>117</v>
      </c>
      <c r="I23" s="10">
        <f>IF(ISNUMBER('Rates from Ireland Fedex Priort'!I22),_xlfn.CEILING.MATH('Rates from Ireland Fedex Priort'!I22,1)+IF($A23="EU",Variables!$B$6,Variables!$B$3),'Rates from Ireland Fedex Priort'!I22)</f>
        <v>219</v>
      </c>
      <c r="J23" s="10" t="str">
        <f>IF(ISNUMBER('Rates from Ireland Fedex Priort'!J22),_xlfn.CEILING.MATH('Rates from Ireland Fedex Priort'!J22,1)+IF($A23="EU",Variables!$B$6,Variables!$B$3),'Rates from Ireland Fedex Priort'!J22)</f>
        <v>No service</v>
      </c>
      <c r="K23" s="10" t="str">
        <f>IF(ISNUMBER('Rates from Ireland Fedex Priort'!K22),_xlfn.CEILING.MATH('Rates from Ireland Fedex Priort'!K22,1)+IF($A23="EU",Variables!$B$6,Variables!$B$3),'Rates from Ireland Fedex Priort'!K22)</f>
        <v>No service</v>
      </c>
      <c r="L23" s="10" t="str">
        <f>IF(ISNUMBER('Rates from Ireland Fedex Priort'!L22),_xlfn.CEILING.MATH('Rates from Ireland Fedex Priort'!L22,1)+IF($A23="EU",Variables!$B$6,Variables!$B$3),'Rates from Ireland Fedex Priort'!L22)</f>
        <v>No service</v>
      </c>
      <c r="M23" s="10" t="str">
        <f>IF(ISNUMBER('Rates from Ireland Fedex Priort'!M22),_xlfn.CEILING.MATH('Rates from Ireland Fedex Priort'!M22,1)+IF($A23="EU",Variables!$B$6,Variables!$B$3),'Rates from Ireland Fedex Priort'!M22)</f>
        <v>No service</v>
      </c>
      <c r="N23" s="10" t="str">
        <f>IF(ISNUMBER('Rates from Ireland Fedex Priort'!N22),_xlfn.CEILING.MATH('Rates from Ireland Fedex Priort'!N22,1)+IF($A23="EU",Variables!$B$6,Variables!$B$3),'Rates from Ireland Fedex Priort'!N22)</f>
        <v>No service</v>
      </c>
      <c r="O23" s="11" t="s">
        <v>41</v>
      </c>
      <c r="P23" s="11" t="s">
        <v>23</v>
      </c>
      <c r="Q23" s="12">
        <v>80</v>
      </c>
      <c r="R23" s="11" t="s">
        <v>25</v>
      </c>
      <c r="S23" s="3" t="s">
        <v>26</v>
      </c>
      <c r="T23" s="38" t="s">
        <v>27</v>
      </c>
    </row>
    <row r="24" spans="1:20" ht="15.75" customHeight="1" x14ac:dyDescent="0.3">
      <c r="A24" s="39" t="str">
        <f>IF('Rates from Ireland Fedex Priort'!A23="","",'Rates from Ireland Fedex Priort'!A23)</f>
        <v>EU</v>
      </c>
      <c r="B24" s="8" t="str">
        <f>IF('Rates from Ireland Fedex Priort'!B23="","",'Rates from Ireland Fedex Priort'!B23)</f>
        <v>Ireland</v>
      </c>
      <c r="C24" s="9" t="str">
        <f>IF('Rates from Ireland Fedex Priort'!C23="","",'Rates from Ireland Fedex Priort'!C23)</f>
        <v>Benin</v>
      </c>
      <c r="D24" s="10">
        <f>IF(ISNUMBER('Rates from Ireland Fedex Priort'!D23),_xlfn.CEILING.MATH('Rates from Ireland Fedex Priort'!D23,1)+IF($A24="EU",Variables!$B$5,Variables!$B$2),'Rates from Ireland Fedex Priort'!D23)</f>
        <v>75</v>
      </c>
      <c r="E24" s="10">
        <f>IF(ISNUMBER('Rates from Ireland Fedex Priort'!E23),_xlfn.CEILING.MATH('Rates from Ireland Fedex Priort'!E23,1)+IF($A24="EU",Variables!$B$6,Variables!$B$3),'Rates from Ireland Fedex Priort'!E23)</f>
        <v>83</v>
      </c>
      <c r="F24" s="10">
        <f>IF(ISNUMBER('Rates from Ireland Fedex Priort'!F23),_xlfn.CEILING.MATH('Rates from Ireland Fedex Priort'!F23,1)+IF($A24="EU",Variables!$B$6,Variables!$B$3),'Rates from Ireland Fedex Priort'!F23)</f>
        <v>88</v>
      </c>
      <c r="G24" s="10">
        <f>IF(ISNUMBER('Rates from Ireland Fedex Priort'!G23),_xlfn.CEILING.MATH('Rates from Ireland Fedex Priort'!G23,1)+IF($A24="EU",Variables!$B$6,Variables!$B$3),'Rates from Ireland Fedex Priort'!G23)</f>
        <v>106</v>
      </c>
      <c r="H24" s="10">
        <f>IF(ISNUMBER('Rates from Ireland Fedex Priort'!H23),_xlfn.CEILING.MATH('Rates from Ireland Fedex Priort'!H23,1)+IF($A24="EU",Variables!$B$6,Variables!$B$3),'Rates from Ireland Fedex Priort'!H23)</f>
        <v>134</v>
      </c>
      <c r="I24" s="10">
        <f>IF(ISNUMBER('Rates from Ireland Fedex Priort'!I23),_xlfn.CEILING.MATH('Rates from Ireland Fedex Priort'!I23,1)+IF($A24="EU",Variables!$B$6,Variables!$B$3),'Rates from Ireland Fedex Priort'!I23)</f>
        <v>242</v>
      </c>
      <c r="J24" s="10" t="str">
        <f>IF(ISNUMBER('Rates from Ireland Fedex Priort'!J23),_xlfn.CEILING.MATH('Rates from Ireland Fedex Priort'!J23,1)+IF($A24="EU",Variables!$B$6,Variables!$B$3),'Rates from Ireland Fedex Priort'!J23)</f>
        <v>No service</v>
      </c>
      <c r="K24" s="10" t="str">
        <f>IF(ISNUMBER('Rates from Ireland Fedex Priort'!K23),_xlfn.CEILING.MATH('Rates from Ireland Fedex Priort'!K23,1)+IF($A24="EU",Variables!$B$6,Variables!$B$3),'Rates from Ireland Fedex Priort'!K23)</f>
        <v>No service</v>
      </c>
      <c r="L24" s="10" t="str">
        <f>IF(ISNUMBER('Rates from Ireland Fedex Priort'!L23),_xlfn.CEILING.MATH('Rates from Ireland Fedex Priort'!L23,1)+IF($A24="EU",Variables!$B$6,Variables!$B$3),'Rates from Ireland Fedex Priort'!L23)</f>
        <v>No service</v>
      </c>
      <c r="M24" s="10" t="str">
        <f>IF(ISNUMBER('Rates from Ireland Fedex Priort'!M23),_xlfn.CEILING.MATH('Rates from Ireland Fedex Priort'!M23,1)+IF($A24="EU",Variables!$B$6,Variables!$B$3),'Rates from Ireland Fedex Priort'!M23)</f>
        <v>No service</v>
      </c>
      <c r="N24" s="10" t="str">
        <f>IF(ISNUMBER('Rates from Ireland Fedex Priort'!N23),_xlfn.CEILING.MATH('Rates from Ireland Fedex Priort'!N23,1)+IF($A24="EU",Variables!$B$6,Variables!$B$3),'Rates from Ireland Fedex Priort'!N23)</f>
        <v>No service</v>
      </c>
      <c r="O24" s="11" t="s">
        <v>41</v>
      </c>
      <c r="P24" s="11" t="s">
        <v>24</v>
      </c>
      <c r="Q24" s="12">
        <v>80</v>
      </c>
      <c r="R24" s="11" t="s">
        <v>25</v>
      </c>
      <c r="S24" s="3" t="s">
        <v>26</v>
      </c>
      <c r="T24" s="38" t="s">
        <v>27</v>
      </c>
    </row>
    <row r="25" spans="1:20" ht="15.75" customHeight="1" x14ac:dyDescent="0.3">
      <c r="A25" s="39" t="str">
        <f>IF('Rates from Ireland Fedex Priort'!A24="","",'Rates from Ireland Fedex Priort'!A24)</f>
        <v>EU</v>
      </c>
      <c r="B25" s="8" t="str">
        <f>IF('Rates from Ireland Fedex Priort'!B24="","",'Rates from Ireland Fedex Priort'!B24)</f>
        <v>Ireland</v>
      </c>
      <c r="C25" s="9" t="str">
        <f>IF('Rates from Ireland Fedex Priort'!C24="","",'Rates from Ireland Fedex Priort'!C24)</f>
        <v>Bermuda (BOT)</v>
      </c>
      <c r="D25" s="10">
        <f>IF(ISNUMBER('Rates from Ireland Fedex Priort'!D24),_xlfn.CEILING.MATH('Rates from Ireland Fedex Priort'!D24,1)+IF($A25="EU",Variables!$B$5,Variables!$B$2),'Rates from Ireland Fedex Priort'!D24)</f>
        <v>68</v>
      </c>
      <c r="E25" s="10">
        <f>IF(ISNUMBER('Rates from Ireland Fedex Priort'!E24),_xlfn.CEILING.MATH('Rates from Ireland Fedex Priort'!E24,1)+IF($A25="EU",Variables!$B$6,Variables!$B$3),'Rates from Ireland Fedex Priort'!E24)</f>
        <v>77</v>
      </c>
      <c r="F25" s="10">
        <f>IF(ISNUMBER('Rates from Ireland Fedex Priort'!F24),_xlfn.CEILING.MATH('Rates from Ireland Fedex Priort'!F24,1)+IF($A25="EU",Variables!$B$6,Variables!$B$3),'Rates from Ireland Fedex Priort'!F24)</f>
        <v>81</v>
      </c>
      <c r="G25" s="10">
        <f>IF(ISNUMBER('Rates from Ireland Fedex Priort'!G24),_xlfn.CEILING.MATH('Rates from Ireland Fedex Priort'!G24,1)+IF($A25="EU",Variables!$B$6,Variables!$B$3),'Rates from Ireland Fedex Priort'!G24)</f>
        <v>96</v>
      </c>
      <c r="H25" s="10">
        <f>IF(ISNUMBER('Rates from Ireland Fedex Priort'!H24),_xlfn.CEILING.MATH('Rates from Ireland Fedex Priort'!H24,1)+IF($A25="EU",Variables!$B$6,Variables!$B$3),'Rates from Ireland Fedex Priort'!H24)</f>
        <v>117</v>
      </c>
      <c r="I25" s="10">
        <f>IF(ISNUMBER('Rates from Ireland Fedex Priort'!I24),_xlfn.CEILING.MATH('Rates from Ireland Fedex Priort'!I24,1)+IF($A25="EU",Variables!$B$6,Variables!$B$3),'Rates from Ireland Fedex Priort'!I24)</f>
        <v>219</v>
      </c>
      <c r="J25" s="10" t="str">
        <f>IF(ISNUMBER('Rates from Ireland Fedex Priort'!J24),_xlfn.CEILING.MATH('Rates from Ireland Fedex Priort'!J24,1)+IF($A25="EU",Variables!$B$6,Variables!$B$3),'Rates from Ireland Fedex Priort'!J24)</f>
        <v>No service</v>
      </c>
      <c r="K25" s="10" t="str">
        <f>IF(ISNUMBER('Rates from Ireland Fedex Priort'!K24),_xlfn.CEILING.MATH('Rates from Ireland Fedex Priort'!K24,1)+IF($A25="EU",Variables!$B$6,Variables!$B$3),'Rates from Ireland Fedex Priort'!K24)</f>
        <v>No service</v>
      </c>
      <c r="L25" s="10" t="str">
        <f>IF(ISNUMBER('Rates from Ireland Fedex Priort'!L24),_xlfn.CEILING.MATH('Rates from Ireland Fedex Priort'!L24,1)+IF($A25="EU",Variables!$B$6,Variables!$B$3),'Rates from Ireland Fedex Priort'!L24)</f>
        <v>No service</v>
      </c>
      <c r="M25" s="10" t="str">
        <f>IF(ISNUMBER('Rates from Ireland Fedex Priort'!M24),_xlfn.CEILING.MATH('Rates from Ireland Fedex Priort'!M24,1)+IF($A25="EU",Variables!$B$6,Variables!$B$3),'Rates from Ireland Fedex Priort'!M24)</f>
        <v>No service</v>
      </c>
      <c r="N25" s="10" t="str">
        <f>IF(ISNUMBER('Rates from Ireland Fedex Priort'!N24),_xlfn.CEILING.MATH('Rates from Ireland Fedex Priort'!N24,1)+IF($A25="EU",Variables!$B$6,Variables!$B$3),'Rates from Ireland Fedex Priort'!N24)</f>
        <v>No service</v>
      </c>
      <c r="O25" s="11" t="s">
        <v>41</v>
      </c>
      <c r="P25" s="11" t="s">
        <v>23</v>
      </c>
      <c r="Q25" s="12">
        <v>80</v>
      </c>
      <c r="R25" s="11" t="s">
        <v>25</v>
      </c>
      <c r="S25" s="3" t="s">
        <v>26</v>
      </c>
      <c r="T25" s="38" t="s">
        <v>27</v>
      </c>
    </row>
    <row r="26" spans="1:20" ht="15.75" customHeight="1" x14ac:dyDescent="0.3">
      <c r="A26" s="39" t="str">
        <f>IF('Rates from Ireland Fedex Priort'!A25="","",'Rates from Ireland Fedex Priort'!A25)</f>
        <v>EU</v>
      </c>
      <c r="B26" s="8" t="str">
        <f>IF('Rates from Ireland Fedex Priort'!B25="","",'Rates from Ireland Fedex Priort'!B25)</f>
        <v>Ireland</v>
      </c>
      <c r="C26" s="9" t="str">
        <f>IF('Rates from Ireland Fedex Priort'!C25="","",'Rates from Ireland Fedex Priort'!C25)</f>
        <v>Bhutan</v>
      </c>
      <c r="D26" s="10">
        <f>IF(ISNUMBER('Rates from Ireland Fedex Priort'!D25),_xlfn.CEILING.MATH('Rates from Ireland Fedex Priort'!D25,1)+IF($A26="EU",Variables!$B$5,Variables!$B$2),'Rates from Ireland Fedex Priort'!D25)</f>
        <v>62</v>
      </c>
      <c r="E26" s="10">
        <f>IF(ISNUMBER('Rates from Ireland Fedex Priort'!E25),_xlfn.CEILING.MATH('Rates from Ireland Fedex Priort'!E25,1)+IF($A26="EU",Variables!$B$6,Variables!$B$3),'Rates from Ireland Fedex Priort'!E25)</f>
        <v>69</v>
      </c>
      <c r="F26" s="10">
        <f>IF(ISNUMBER('Rates from Ireland Fedex Priort'!F25),_xlfn.CEILING.MATH('Rates from Ireland Fedex Priort'!F25,1)+IF($A26="EU",Variables!$B$6,Variables!$B$3),'Rates from Ireland Fedex Priort'!F25)</f>
        <v>72</v>
      </c>
      <c r="G26" s="10">
        <f>IF(ISNUMBER('Rates from Ireland Fedex Priort'!G25),_xlfn.CEILING.MATH('Rates from Ireland Fedex Priort'!G25,1)+IF($A26="EU",Variables!$B$6,Variables!$B$3),'Rates from Ireland Fedex Priort'!G25)</f>
        <v>86</v>
      </c>
      <c r="H26" s="10">
        <f>IF(ISNUMBER('Rates from Ireland Fedex Priort'!H25),_xlfn.CEILING.MATH('Rates from Ireland Fedex Priort'!H25,1)+IF($A26="EU",Variables!$B$6,Variables!$B$3),'Rates from Ireland Fedex Priort'!H25)</f>
        <v>111</v>
      </c>
      <c r="I26" s="10">
        <f>IF(ISNUMBER('Rates from Ireland Fedex Priort'!I25),_xlfn.CEILING.MATH('Rates from Ireland Fedex Priort'!I25,1)+IF($A26="EU",Variables!$B$6,Variables!$B$3),'Rates from Ireland Fedex Priort'!I25)</f>
        <v>174</v>
      </c>
      <c r="J26" s="10" t="str">
        <f>IF(ISNUMBER('Rates from Ireland Fedex Priort'!J25),_xlfn.CEILING.MATH('Rates from Ireland Fedex Priort'!J25,1)+IF($A26="EU",Variables!$B$6,Variables!$B$3),'Rates from Ireland Fedex Priort'!J25)</f>
        <v>No service</v>
      </c>
      <c r="K26" s="10" t="str">
        <f>IF(ISNUMBER('Rates from Ireland Fedex Priort'!K25),_xlfn.CEILING.MATH('Rates from Ireland Fedex Priort'!K25,1)+IF($A26="EU",Variables!$B$6,Variables!$B$3),'Rates from Ireland Fedex Priort'!K25)</f>
        <v>No service</v>
      </c>
      <c r="L26" s="10" t="str">
        <f>IF(ISNUMBER('Rates from Ireland Fedex Priort'!L25),_xlfn.CEILING.MATH('Rates from Ireland Fedex Priort'!L25,1)+IF($A26="EU",Variables!$B$6,Variables!$B$3),'Rates from Ireland Fedex Priort'!L25)</f>
        <v>No service</v>
      </c>
      <c r="M26" s="10" t="str">
        <f>IF(ISNUMBER('Rates from Ireland Fedex Priort'!M25),_xlfn.CEILING.MATH('Rates from Ireland Fedex Priort'!M25,1)+IF($A26="EU",Variables!$B$6,Variables!$B$3),'Rates from Ireland Fedex Priort'!M25)</f>
        <v>No service</v>
      </c>
      <c r="N26" s="10" t="str">
        <f>IF(ISNUMBER('Rates from Ireland Fedex Priort'!N25),_xlfn.CEILING.MATH('Rates from Ireland Fedex Priort'!N25,1)+IF($A26="EU",Variables!$B$6,Variables!$B$3),'Rates from Ireland Fedex Priort'!N25)</f>
        <v>No service</v>
      </c>
      <c r="O26" s="11" t="s">
        <v>29</v>
      </c>
      <c r="P26" s="11" t="s">
        <v>30</v>
      </c>
      <c r="Q26" s="12">
        <v>80</v>
      </c>
      <c r="R26" s="11" t="s">
        <v>25</v>
      </c>
      <c r="S26" s="3" t="s">
        <v>26</v>
      </c>
      <c r="T26" s="38" t="s">
        <v>27</v>
      </c>
    </row>
    <row r="27" spans="1:20" ht="15.75" customHeight="1" x14ac:dyDescent="0.3">
      <c r="A27" s="39" t="str">
        <f>IF('Rates from Ireland Fedex Priort'!A26="","",'Rates from Ireland Fedex Priort'!A26)</f>
        <v>EU</v>
      </c>
      <c r="B27" s="8" t="str">
        <f>IF('Rates from Ireland Fedex Priort'!B26="","",'Rates from Ireland Fedex Priort'!B26)</f>
        <v>Ireland</v>
      </c>
      <c r="C27" s="9" t="str">
        <f>IF('Rates from Ireland Fedex Priort'!C26="","",'Rates from Ireland Fedex Priort'!C26)</f>
        <v>Bolivia</v>
      </c>
      <c r="D27" s="10">
        <f>IF(ISNUMBER('Rates from Ireland Fedex Priort'!D26),_xlfn.CEILING.MATH('Rates from Ireland Fedex Priort'!D26,1)+IF($A27="EU",Variables!$B$5,Variables!$B$2),'Rates from Ireland Fedex Priort'!D26)</f>
        <v>71</v>
      </c>
      <c r="E27" s="10">
        <f>IF(ISNUMBER('Rates from Ireland Fedex Priort'!E26),_xlfn.CEILING.MATH('Rates from Ireland Fedex Priort'!E26,1)+IF($A27="EU",Variables!$B$6,Variables!$B$3),'Rates from Ireland Fedex Priort'!E26)</f>
        <v>77</v>
      </c>
      <c r="F27" s="10">
        <f>IF(ISNUMBER('Rates from Ireland Fedex Priort'!F26),_xlfn.CEILING.MATH('Rates from Ireland Fedex Priort'!F26,1)+IF($A27="EU",Variables!$B$6,Variables!$B$3),'Rates from Ireland Fedex Priort'!F26)</f>
        <v>81</v>
      </c>
      <c r="G27" s="10">
        <f>IF(ISNUMBER('Rates from Ireland Fedex Priort'!G26),_xlfn.CEILING.MATH('Rates from Ireland Fedex Priort'!G26,1)+IF($A27="EU",Variables!$B$6,Variables!$B$3),'Rates from Ireland Fedex Priort'!G26)</f>
        <v>96</v>
      </c>
      <c r="H27" s="10">
        <f>IF(ISNUMBER('Rates from Ireland Fedex Priort'!H26),_xlfn.CEILING.MATH('Rates from Ireland Fedex Priort'!H26,1)+IF($A27="EU",Variables!$B$6,Variables!$B$3),'Rates from Ireland Fedex Priort'!H26)</f>
        <v>117</v>
      </c>
      <c r="I27" s="10">
        <f>IF(ISNUMBER('Rates from Ireland Fedex Priort'!I26),_xlfn.CEILING.MATH('Rates from Ireland Fedex Priort'!I26,1)+IF($A27="EU",Variables!$B$6,Variables!$B$3),'Rates from Ireland Fedex Priort'!I26)</f>
        <v>219</v>
      </c>
      <c r="J27" s="10" t="str">
        <f>IF(ISNUMBER('Rates from Ireland Fedex Priort'!J26),_xlfn.CEILING.MATH('Rates from Ireland Fedex Priort'!J26,1)+IF($A27="EU",Variables!$B$6,Variables!$B$3),'Rates from Ireland Fedex Priort'!J26)</f>
        <v>No service</v>
      </c>
      <c r="K27" s="10" t="str">
        <f>IF(ISNUMBER('Rates from Ireland Fedex Priort'!K26),_xlfn.CEILING.MATH('Rates from Ireland Fedex Priort'!K26,1)+IF($A27="EU",Variables!$B$6,Variables!$B$3),'Rates from Ireland Fedex Priort'!K26)</f>
        <v>No service</v>
      </c>
      <c r="L27" s="10" t="str">
        <f>IF(ISNUMBER('Rates from Ireland Fedex Priort'!L26),_xlfn.CEILING.MATH('Rates from Ireland Fedex Priort'!L26,1)+IF($A27="EU",Variables!$B$6,Variables!$B$3),'Rates from Ireland Fedex Priort'!L26)</f>
        <v>No service</v>
      </c>
      <c r="M27" s="10" t="str">
        <f>IF(ISNUMBER('Rates from Ireland Fedex Priort'!M26),_xlfn.CEILING.MATH('Rates from Ireland Fedex Priort'!M26,1)+IF($A27="EU",Variables!$B$6,Variables!$B$3),'Rates from Ireland Fedex Priort'!M26)</f>
        <v>No service</v>
      </c>
      <c r="N27" s="10" t="str">
        <f>IF(ISNUMBER('Rates from Ireland Fedex Priort'!N26),_xlfn.CEILING.MATH('Rates from Ireland Fedex Priort'!N26,1)+IF($A27="EU",Variables!$B$6,Variables!$B$3),'Rates from Ireland Fedex Priort'!N26)</f>
        <v>No service</v>
      </c>
      <c r="O27" s="11" t="s">
        <v>23</v>
      </c>
      <c r="P27" s="11" t="s">
        <v>24</v>
      </c>
      <c r="Q27" s="12">
        <v>80</v>
      </c>
      <c r="R27" s="11" t="s">
        <v>25</v>
      </c>
      <c r="S27" s="3" t="s">
        <v>26</v>
      </c>
      <c r="T27" s="38" t="s">
        <v>27</v>
      </c>
    </row>
    <row r="28" spans="1:20" ht="15.75" customHeight="1" x14ac:dyDescent="0.3">
      <c r="A28" s="39" t="str">
        <f>IF('Rates from Ireland Fedex Priort'!A27="","",'Rates from Ireland Fedex Priort'!A27)</f>
        <v>EU</v>
      </c>
      <c r="B28" s="8" t="str">
        <f>IF('Rates from Ireland Fedex Priort'!B27="","",'Rates from Ireland Fedex Priort'!B27)</f>
        <v>Ireland</v>
      </c>
      <c r="C28" s="9" t="str">
        <f>IF('Rates from Ireland Fedex Priort'!C27="","",'Rates from Ireland Fedex Priort'!C27)</f>
        <v>Bonaire</v>
      </c>
      <c r="D28" s="10">
        <f>IF(ISNUMBER('Rates from Ireland Fedex Priort'!D27),_xlfn.CEILING.MATH('Rates from Ireland Fedex Priort'!D27,1)+IF($A28="EU",Variables!$B$5,Variables!$B$2),'Rates from Ireland Fedex Priort'!D27)</f>
        <v>71</v>
      </c>
      <c r="E28" s="10">
        <f>IF(ISNUMBER('Rates from Ireland Fedex Priort'!E27),_xlfn.CEILING.MATH('Rates from Ireland Fedex Priort'!E27,1)+IF($A28="EU",Variables!$B$6,Variables!$B$3),'Rates from Ireland Fedex Priort'!E27)</f>
        <v>77</v>
      </c>
      <c r="F28" s="10">
        <f>IF(ISNUMBER('Rates from Ireland Fedex Priort'!F27),_xlfn.CEILING.MATH('Rates from Ireland Fedex Priort'!F27,1)+IF($A28="EU",Variables!$B$6,Variables!$B$3),'Rates from Ireland Fedex Priort'!F27)</f>
        <v>81</v>
      </c>
      <c r="G28" s="10">
        <f>IF(ISNUMBER('Rates from Ireland Fedex Priort'!G27),_xlfn.CEILING.MATH('Rates from Ireland Fedex Priort'!G27,1)+IF($A28="EU",Variables!$B$6,Variables!$B$3),'Rates from Ireland Fedex Priort'!G27)</f>
        <v>96</v>
      </c>
      <c r="H28" s="10">
        <f>IF(ISNUMBER('Rates from Ireland Fedex Priort'!H27),_xlfn.CEILING.MATH('Rates from Ireland Fedex Priort'!H27,1)+IF($A28="EU",Variables!$B$6,Variables!$B$3),'Rates from Ireland Fedex Priort'!H27)</f>
        <v>117</v>
      </c>
      <c r="I28" s="10">
        <f>IF(ISNUMBER('Rates from Ireland Fedex Priort'!I27),_xlfn.CEILING.MATH('Rates from Ireland Fedex Priort'!I27,1)+IF($A28="EU",Variables!$B$6,Variables!$B$3),'Rates from Ireland Fedex Priort'!I27)</f>
        <v>219</v>
      </c>
      <c r="J28" s="10" t="str">
        <f>IF(ISNUMBER('Rates from Ireland Fedex Priort'!J27),_xlfn.CEILING.MATH('Rates from Ireland Fedex Priort'!J27,1)+IF($A28="EU",Variables!$B$6,Variables!$B$3),'Rates from Ireland Fedex Priort'!J27)</f>
        <v>No service</v>
      </c>
      <c r="K28" s="10" t="str">
        <f>IF(ISNUMBER('Rates from Ireland Fedex Priort'!K27),_xlfn.CEILING.MATH('Rates from Ireland Fedex Priort'!K27,1)+IF($A28="EU",Variables!$B$6,Variables!$B$3),'Rates from Ireland Fedex Priort'!K27)</f>
        <v>No service</v>
      </c>
      <c r="L28" s="10" t="str">
        <f>IF(ISNUMBER('Rates from Ireland Fedex Priort'!L27),_xlfn.CEILING.MATH('Rates from Ireland Fedex Priort'!L27,1)+IF($A28="EU",Variables!$B$6,Variables!$B$3),'Rates from Ireland Fedex Priort'!L27)</f>
        <v>No service</v>
      </c>
      <c r="M28" s="10" t="str">
        <f>IF(ISNUMBER('Rates from Ireland Fedex Priort'!M27),_xlfn.CEILING.MATH('Rates from Ireland Fedex Priort'!M27,1)+IF($A28="EU",Variables!$B$6,Variables!$B$3),'Rates from Ireland Fedex Priort'!M27)</f>
        <v>No service</v>
      </c>
      <c r="N28" s="10" t="str">
        <f>IF(ISNUMBER('Rates from Ireland Fedex Priort'!N27),_xlfn.CEILING.MATH('Rates from Ireland Fedex Priort'!N27,1)+IF($A28="EU",Variables!$B$6,Variables!$B$3),'Rates from Ireland Fedex Priort'!N27)</f>
        <v>No service</v>
      </c>
      <c r="O28" s="11" t="s">
        <v>23</v>
      </c>
      <c r="P28" s="11" t="s">
        <v>24</v>
      </c>
      <c r="Q28" s="12">
        <v>80</v>
      </c>
      <c r="R28" s="11" t="s">
        <v>25</v>
      </c>
      <c r="S28" s="3" t="s">
        <v>26</v>
      </c>
      <c r="T28" s="38" t="s">
        <v>27</v>
      </c>
    </row>
    <row r="29" spans="1:20" ht="15.75" customHeight="1" x14ac:dyDescent="0.3">
      <c r="A29" s="39" t="str">
        <f>IF('Rates from Ireland Fedex Priort'!A28="","",'Rates from Ireland Fedex Priort'!A28)</f>
        <v>EU</v>
      </c>
      <c r="B29" s="8" t="str">
        <f>IF('Rates from Ireland Fedex Priort'!B28="","",'Rates from Ireland Fedex Priort'!B28)</f>
        <v>Ireland</v>
      </c>
      <c r="C29" s="9" t="str">
        <f>IF('Rates from Ireland Fedex Priort'!C28="","",'Rates from Ireland Fedex Priort'!C28)</f>
        <v>Bosnia and Herzegovina</v>
      </c>
      <c r="D29" s="10">
        <f>IF(ISNUMBER('Rates from Ireland Fedex Priort'!D28),_xlfn.CEILING.MATH('Rates from Ireland Fedex Priort'!D28,1)+IF($A29="EU",Variables!$B$5,Variables!$B$2),'Rates from Ireland Fedex Priort'!D28)</f>
        <v>76</v>
      </c>
      <c r="E29" s="10">
        <f>IF(ISNUMBER('Rates from Ireland Fedex Priort'!E28),_xlfn.CEILING.MATH('Rates from Ireland Fedex Priort'!E28,1)+IF($A29="EU",Variables!$B$6,Variables!$B$3),'Rates from Ireland Fedex Priort'!E28)</f>
        <v>85</v>
      </c>
      <c r="F29" s="10">
        <f>IF(ISNUMBER('Rates from Ireland Fedex Priort'!F28),_xlfn.CEILING.MATH('Rates from Ireland Fedex Priort'!F28,1)+IF($A29="EU",Variables!$B$6,Variables!$B$3),'Rates from Ireland Fedex Priort'!F28)</f>
        <v>88</v>
      </c>
      <c r="G29" s="10">
        <f>IF(ISNUMBER('Rates from Ireland Fedex Priort'!G28),_xlfn.CEILING.MATH('Rates from Ireland Fedex Priort'!G28,1)+IF($A29="EU",Variables!$B$6,Variables!$B$3),'Rates from Ireland Fedex Priort'!G28)</f>
        <v>97</v>
      </c>
      <c r="H29" s="10">
        <f>IF(ISNUMBER('Rates from Ireland Fedex Priort'!H28),_xlfn.CEILING.MATH('Rates from Ireland Fedex Priort'!H28,1)+IF($A29="EU",Variables!$B$6,Variables!$B$3),'Rates from Ireland Fedex Priort'!H28)</f>
        <v>102</v>
      </c>
      <c r="I29" s="10">
        <f>IF(ISNUMBER('Rates from Ireland Fedex Priort'!I28),_xlfn.CEILING.MATH('Rates from Ireland Fedex Priort'!I28,1)+IF($A29="EU",Variables!$B$6,Variables!$B$3),'Rates from Ireland Fedex Priort'!I28)</f>
        <v>109</v>
      </c>
      <c r="J29" s="10" t="str">
        <f>IF(ISNUMBER('Rates from Ireland Fedex Priort'!J28),_xlfn.CEILING.MATH('Rates from Ireland Fedex Priort'!J28,1)+IF($A29="EU",Variables!$B$6,Variables!$B$3),'Rates from Ireland Fedex Priort'!J28)</f>
        <v>No service</v>
      </c>
      <c r="K29" s="10" t="str">
        <f>IF(ISNUMBER('Rates from Ireland Fedex Priort'!K28),_xlfn.CEILING.MATH('Rates from Ireland Fedex Priort'!K28,1)+IF($A29="EU",Variables!$B$6,Variables!$B$3),'Rates from Ireland Fedex Priort'!K28)</f>
        <v>No service</v>
      </c>
      <c r="L29" s="10" t="str">
        <f>IF(ISNUMBER('Rates from Ireland Fedex Priort'!L28),_xlfn.CEILING.MATH('Rates from Ireland Fedex Priort'!L28,1)+IF($A29="EU",Variables!$B$6,Variables!$B$3),'Rates from Ireland Fedex Priort'!L28)</f>
        <v>No service</v>
      </c>
      <c r="M29" s="10" t="str">
        <f>IF(ISNUMBER('Rates from Ireland Fedex Priort'!M28),_xlfn.CEILING.MATH('Rates from Ireland Fedex Priort'!M28,1)+IF($A29="EU",Variables!$B$6,Variables!$B$3),'Rates from Ireland Fedex Priort'!M28)</f>
        <v>No service</v>
      </c>
      <c r="N29" s="10" t="str">
        <f>IF(ISNUMBER('Rates from Ireland Fedex Priort'!N28),_xlfn.CEILING.MATH('Rates from Ireland Fedex Priort'!N28,1)+IF($A29="EU",Variables!$B$6,Variables!$B$3),'Rates from Ireland Fedex Priort'!N28)</f>
        <v>No service</v>
      </c>
      <c r="O29" s="11" t="s">
        <v>29</v>
      </c>
      <c r="P29" s="11" t="s">
        <v>61</v>
      </c>
      <c r="Q29" s="12">
        <v>80</v>
      </c>
      <c r="R29" s="11" t="s">
        <v>25</v>
      </c>
      <c r="S29" s="3" t="s">
        <v>26</v>
      </c>
      <c r="T29" s="38" t="s">
        <v>27</v>
      </c>
    </row>
    <row r="30" spans="1:20" ht="15.75" customHeight="1" x14ac:dyDescent="0.3">
      <c r="A30" s="39" t="str">
        <f>IF('Rates from Ireland Fedex Priort'!A29="","",'Rates from Ireland Fedex Priort'!A29)</f>
        <v>EU</v>
      </c>
      <c r="B30" s="8" t="str">
        <f>IF('Rates from Ireland Fedex Priort'!B29="","",'Rates from Ireland Fedex Priort'!B29)</f>
        <v>Ireland</v>
      </c>
      <c r="C30" s="9" t="str">
        <f>IF('Rates from Ireland Fedex Priort'!C29="","",'Rates from Ireland Fedex Priort'!C29)</f>
        <v>Botswana</v>
      </c>
      <c r="D30" s="10">
        <f>IF(ISNUMBER('Rates from Ireland Fedex Priort'!D29),_xlfn.CEILING.MATH('Rates from Ireland Fedex Priort'!D29,1)+IF($A30="EU",Variables!$B$5,Variables!$B$2),'Rates from Ireland Fedex Priort'!D29)</f>
        <v>72</v>
      </c>
      <c r="E30" s="10">
        <f>IF(ISNUMBER('Rates from Ireland Fedex Priort'!E29),_xlfn.CEILING.MATH('Rates from Ireland Fedex Priort'!E29,1)+IF($A30="EU",Variables!$B$6,Variables!$B$3),'Rates from Ireland Fedex Priort'!E29)</f>
        <v>83</v>
      </c>
      <c r="F30" s="10">
        <f>IF(ISNUMBER('Rates from Ireland Fedex Priort'!F29),_xlfn.CEILING.MATH('Rates from Ireland Fedex Priort'!F29,1)+IF($A30="EU",Variables!$B$6,Variables!$B$3),'Rates from Ireland Fedex Priort'!F29)</f>
        <v>88</v>
      </c>
      <c r="G30" s="10">
        <f>IF(ISNUMBER('Rates from Ireland Fedex Priort'!G29),_xlfn.CEILING.MATH('Rates from Ireland Fedex Priort'!G29,1)+IF($A30="EU",Variables!$B$6,Variables!$B$3),'Rates from Ireland Fedex Priort'!G29)</f>
        <v>106</v>
      </c>
      <c r="H30" s="10">
        <f>IF(ISNUMBER('Rates from Ireland Fedex Priort'!H29),_xlfn.CEILING.MATH('Rates from Ireland Fedex Priort'!H29,1)+IF($A30="EU",Variables!$B$6,Variables!$B$3),'Rates from Ireland Fedex Priort'!H29)</f>
        <v>134</v>
      </c>
      <c r="I30" s="10">
        <f>IF(ISNUMBER('Rates from Ireland Fedex Priort'!I29),_xlfn.CEILING.MATH('Rates from Ireland Fedex Priort'!I29,1)+IF($A30="EU",Variables!$B$6,Variables!$B$3),'Rates from Ireland Fedex Priort'!I29)</f>
        <v>242</v>
      </c>
      <c r="J30" s="10" t="str">
        <f>IF(ISNUMBER('Rates from Ireland Fedex Priort'!J29),_xlfn.CEILING.MATH('Rates from Ireland Fedex Priort'!J29,1)+IF($A30="EU",Variables!$B$6,Variables!$B$3),'Rates from Ireland Fedex Priort'!J29)</f>
        <v>No service</v>
      </c>
      <c r="K30" s="10" t="str">
        <f>IF(ISNUMBER('Rates from Ireland Fedex Priort'!K29),_xlfn.CEILING.MATH('Rates from Ireland Fedex Priort'!K29,1)+IF($A30="EU",Variables!$B$6,Variables!$B$3),'Rates from Ireland Fedex Priort'!K29)</f>
        <v>No service</v>
      </c>
      <c r="L30" s="10" t="str">
        <f>IF(ISNUMBER('Rates from Ireland Fedex Priort'!L29),_xlfn.CEILING.MATH('Rates from Ireland Fedex Priort'!L29,1)+IF($A30="EU",Variables!$B$6,Variables!$B$3),'Rates from Ireland Fedex Priort'!L29)</f>
        <v>No service</v>
      </c>
      <c r="M30" s="10" t="str">
        <f>IF(ISNUMBER('Rates from Ireland Fedex Priort'!M29),_xlfn.CEILING.MATH('Rates from Ireland Fedex Priort'!M29,1)+IF($A30="EU",Variables!$B$6,Variables!$B$3),'Rates from Ireland Fedex Priort'!M29)</f>
        <v>No service</v>
      </c>
      <c r="N30" s="10" t="str">
        <f>IF(ISNUMBER('Rates from Ireland Fedex Priort'!N29),_xlfn.CEILING.MATH('Rates from Ireland Fedex Priort'!N29,1)+IF($A30="EU",Variables!$B$6,Variables!$B$3),'Rates from Ireland Fedex Priort'!N29)</f>
        <v>No service</v>
      </c>
      <c r="O30" s="11" t="s">
        <v>35</v>
      </c>
      <c r="P30" s="11" t="s">
        <v>36</v>
      </c>
      <c r="Q30" s="12">
        <v>80</v>
      </c>
      <c r="R30" s="11" t="s">
        <v>25</v>
      </c>
      <c r="S30" s="3" t="s">
        <v>26</v>
      </c>
      <c r="T30" s="38" t="s">
        <v>27</v>
      </c>
    </row>
    <row r="31" spans="1:20" ht="15.75" customHeight="1" x14ac:dyDescent="0.3">
      <c r="A31" s="39" t="str">
        <f>IF('Rates from Ireland Fedex Priort'!A30="","",'Rates from Ireland Fedex Priort'!A30)</f>
        <v>EU</v>
      </c>
      <c r="B31" s="8" t="str">
        <f>IF('Rates from Ireland Fedex Priort'!B30="","",'Rates from Ireland Fedex Priort'!B30)</f>
        <v>Ireland</v>
      </c>
      <c r="C31" s="9" t="str">
        <f>IF('Rates from Ireland Fedex Priort'!C30="","",'Rates from Ireland Fedex Priort'!C30)</f>
        <v>Brazil</v>
      </c>
      <c r="D31" s="10">
        <f>IF(ISNUMBER('Rates from Ireland Fedex Priort'!D30),_xlfn.CEILING.MATH('Rates from Ireland Fedex Priort'!D30,1)+IF($A31="EU",Variables!$B$5,Variables!$B$2),'Rates from Ireland Fedex Priort'!D30)</f>
        <v>68</v>
      </c>
      <c r="E31" s="10">
        <f>IF(ISNUMBER('Rates from Ireland Fedex Priort'!E30),_xlfn.CEILING.MATH('Rates from Ireland Fedex Priort'!E30,1)+IF($A31="EU",Variables!$B$6,Variables!$B$3),'Rates from Ireland Fedex Priort'!E30)</f>
        <v>77</v>
      </c>
      <c r="F31" s="10">
        <f>IF(ISNUMBER('Rates from Ireland Fedex Priort'!F30),_xlfn.CEILING.MATH('Rates from Ireland Fedex Priort'!F30,1)+IF($A31="EU",Variables!$B$6,Variables!$B$3),'Rates from Ireland Fedex Priort'!F30)</f>
        <v>81</v>
      </c>
      <c r="G31" s="10">
        <f>IF(ISNUMBER('Rates from Ireland Fedex Priort'!G30),_xlfn.CEILING.MATH('Rates from Ireland Fedex Priort'!G30,1)+IF($A31="EU",Variables!$B$6,Variables!$B$3),'Rates from Ireland Fedex Priort'!G30)</f>
        <v>96</v>
      </c>
      <c r="H31" s="10">
        <f>IF(ISNUMBER('Rates from Ireland Fedex Priort'!H30),_xlfn.CEILING.MATH('Rates from Ireland Fedex Priort'!H30,1)+IF($A31="EU",Variables!$B$6,Variables!$B$3),'Rates from Ireland Fedex Priort'!H30)</f>
        <v>117</v>
      </c>
      <c r="I31" s="10">
        <f>IF(ISNUMBER('Rates from Ireland Fedex Priort'!I30),_xlfn.CEILING.MATH('Rates from Ireland Fedex Priort'!I30,1)+IF($A31="EU",Variables!$B$6,Variables!$B$3),'Rates from Ireland Fedex Priort'!I30)</f>
        <v>219</v>
      </c>
      <c r="J31" s="10" t="str">
        <f>IF(ISNUMBER('Rates from Ireland Fedex Priort'!J30),_xlfn.CEILING.MATH('Rates from Ireland Fedex Priort'!J30,1)+IF($A31="EU",Variables!$B$6,Variables!$B$3),'Rates from Ireland Fedex Priort'!J30)</f>
        <v>No service</v>
      </c>
      <c r="K31" s="10" t="str">
        <f>IF(ISNUMBER('Rates from Ireland Fedex Priort'!K30),_xlfn.CEILING.MATH('Rates from Ireland Fedex Priort'!K30,1)+IF($A31="EU",Variables!$B$6,Variables!$B$3),'Rates from Ireland Fedex Priort'!K30)</f>
        <v>No service</v>
      </c>
      <c r="L31" s="10" t="str">
        <f>IF(ISNUMBER('Rates from Ireland Fedex Priort'!L30),_xlfn.CEILING.MATH('Rates from Ireland Fedex Priort'!L30,1)+IF($A31="EU",Variables!$B$6,Variables!$B$3),'Rates from Ireland Fedex Priort'!L30)</f>
        <v>No service</v>
      </c>
      <c r="M31" s="10" t="str">
        <f>IF(ISNUMBER('Rates from Ireland Fedex Priort'!M30),_xlfn.CEILING.MATH('Rates from Ireland Fedex Priort'!M30,1)+IF($A31="EU",Variables!$B$6,Variables!$B$3),'Rates from Ireland Fedex Priort'!M30)</f>
        <v>No service</v>
      </c>
      <c r="N31" s="10" t="str">
        <f>IF(ISNUMBER('Rates from Ireland Fedex Priort'!N30),_xlfn.CEILING.MATH('Rates from Ireland Fedex Priort'!N30,1)+IF($A31="EU",Variables!$B$6,Variables!$B$3),'Rates from Ireland Fedex Priort'!N30)</f>
        <v>No service</v>
      </c>
      <c r="O31" s="11" t="s">
        <v>41</v>
      </c>
      <c r="P31" s="11" t="s">
        <v>23</v>
      </c>
      <c r="Q31" s="12">
        <v>80</v>
      </c>
      <c r="R31" s="11" t="s">
        <v>25</v>
      </c>
      <c r="S31" s="3" t="s">
        <v>26</v>
      </c>
      <c r="T31" s="38" t="s">
        <v>27</v>
      </c>
    </row>
    <row r="32" spans="1:20" ht="15.75" customHeight="1" x14ac:dyDescent="0.3">
      <c r="A32" s="39" t="str">
        <f>IF('Rates from Ireland Fedex Priort'!A31="","",'Rates from Ireland Fedex Priort'!A31)</f>
        <v>EU</v>
      </c>
      <c r="B32" s="8" t="str">
        <f>IF('Rates from Ireland Fedex Priort'!B31="","",'Rates from Ireland Fedex Priort'!B31)</f>
        <v>Ireland</v>
      </c>
      <c r="C32" s="9" t="str">
        <f>IF('Rates from Ireland Fedex Priort'!C31="","",'Rates from Ireland Fedex Priort'!C31)</f>
        <v>British Virgin Islands</v>
      </c>
      <c r="D32" s="10">
        <f>IF(ISNUMBER('Rates from Ireland Fedex Priort'!D31),_xlfn.CEILING.MATH('Rates from Ireland Fedex Priort'!D31,1)+IF($A32="EU",Variables!$B$5,Variables!$B$2),'Rates from Ireland Fedex Priort'!D31)</f>
        <v>71</v>
      </c>
      <c r="E32" s="10">
        <f>IF(ISNUMBER('Rates from Ireland Fedex Priort'!E31),_xlfn.CEILING.MATH('Rates from Ireland Fedex Priort'!E31,1)+IF($A32="EU",Variables!$B$6,Variables!$B$3),'Rates from Ireland Fedex Priort'!E31)</f>
        <v>77</v>
      </c>
      <c r="F32" s="10">
        <f>IF(ISNUMBER('Rates from Ireland Fedex Priort'!F31),_xlfn.CEILING.MATH('Rates from Ireland Fedex Priort'!F31,1)+IF($A32="EU",Variables!$B$6,Variables!$B$3),'Rates from Ireland Fedex Priort'!F31)</f>
        <v>81</v>
      </c>
      <c r="G32" s="10">
        <f>IF(ISNUMBER('Rates from Ireland Fedex Priort'!G31),_xlfn.CEILING.MATH('Rates from Ireland Fedex Priort'!G31,1)+IF($A32="EU",Variables!$B$6,Variables!$B$3),'Rates from Ireland Fedex Priort'!G31)</f>
        <v>96</v>
      </c>
      <c r="H32" s="10">
        <f>IF(ISNUMBER('Rates from Ireland Fedex Priort'!H31),_xlfn.CEILING.MATH('Rates from Ireland Fedex Priort'!H31,1)+IF($A32="EU",Variables!$B$6,Variables!$B$3),'Rates from Ireland Fedex Priort'!H31)</f>
        <v>117</v>
      </c>
      <c r="I32" s="10">
        <f>IF(ISNUMBER('Rates from Ireland Fedex Priort'!I31),_xlfn.CEILING.MATH('Rates from Ireland Fedex Priort'!I31,1)+IF($A32="EU",Variables!$B$6,Variables!$B$3),'Rates from Ireland Fedex Priort'!I31)</f>
        <v>219</v>
      </c>
      <c r="J32" s="10" t="str">
        <f>IF(ISNUMBER('Rates from Ireland Fedex Priort'!J31),_xlfn.CEILING.MATH('Rates from Ireland Fedex Priort'!J31,1)+IF($A32="EU",Variables!$B$6,Variables!$B$3),'Rates from Ireland Fedex Priort'!J31)</f>
        <v>No service</v>
      </c>
      <c r="K32" s="10" t="str">
        <f>IF(ISNUMBER('Rates from Ireland Fedex Priort'!K31),_xlfn.CEILING.MATH('Rates from Ireland Fedex Priort'!K31,1)+IF($A32="EU",Variables!$B$6,Variables!$B$3),'Rates from Ireland Fedex Priort'!K31)</f>
        <v>No service</v>
      </c>
      <c r="L32" s="10" t="str">
        <f>IF(ISNUMBER('Rates from Ireland Fedex Priort'!L31),_xlfn.CEILING.MATH('Rates from Ireland Fedex Priort'!L31,1)+IF($A32="EU",Variables!$B$6,Variables!$B$3),'Rates from Ireland Fedex Priort'!L31)</f>
        <v>No service</v>
      </c>
      <c r="M32" s="10" t="str">
        <f>IF(ISNUMBER('Rates from Ireland Fedex Priort'!M31),_xlfn.CEILING.MATH('Rates from Ireland Fedex Priort'!M31,1)+IF($A32="EU",Variables!$B$6,Variables!$B$3),'Rates from Ireland Fedex Priort'!M31)</f>
        <v>No service</v>
      </c>
      <c r="N32" s="10" t="str">
        <f>IF(ISNUMBER('Rates from Ireland Fedex Priort'!N31),_xlfn.CEILING.MATH('Rates from Ireland Fedex Priort'!N31,1)+IF($A32="EU",Variables!$B$6,Variables!$B$3),'Rates from Ireland Fedex Priort'!N31)</f>
        <v>No service</v>
      </c>
      <c r="O32" s="11" t="s">
        <v>23</v>
      </c>
      <c r="P32" s="11" t="s">
        <v>24</v>
      </c>
      <c r="Q32" s="12">
        <v>80</v>
      </c>
      <c r="R32" s="11" t="s">
        <v>25</v>
      </c>
      <c r="S32" s="3" t="s">
        <v>26</v>
      </c>
      <c r="T32" s="38" t="s">
        <v>27</v>
      </c>
    </row>
    <row r="33" spans="1:20" ht="15.75" customHeight="1" x14ac:dyDescent="0.3">
      <c r="A33" s="39" t="str">
        <f>IF('Rates from Ireland Fedex Priort'!A32="","",'Rates from Ireland Fedex Priort'!A32)</f>
        <v>EU</v>
      </c>
      <c r="B33" s="8" t="str">
        <f>IF('Rates from Ireland Fedex Priort'!B32="","",'Rates from Ireland Fedex Priort'!B32)</f>
        <v>Ireland</v>
      </c>
      <c r="C33" s="9" t="str">
        <f>IF('Rates from Ireland Fedex Priort'!C32="","",'Rates from Ireland Fedex Priort'!C32)</f>
        <v>Brunei</v>
      </c>
      <c r="D33" s="10">
        <f>IF(ISNUMBER('Rates from Ireland Fedex Priort'!D32),_xlfn.CEILING.MATH('Rates from Ireland Fedex Priort'!D32,1)+IF($A33="EU",Variables!$B$5,Variables!$B$2),'Rates from Ireland Fedex Priort'!D32)</f>
        <v>62</v>
      </c>
      <c r="E33" s="10">
        <f>IF(ISNUMBER('Rates from Ireland Fedex Priort'!E32),_xlfn.CEILING.MATH('Rates from Ireland Fedex Priort'!E32,1)+IF($A33="EU",Variables!$B$6,Variables!$B$3),'Rates from Ireland Fedex Priort'!E32)</f>
        <v>69</v>
      </c>
      <c r="F33" s="10">
        <f>IF(ISNUMBER('Rates from Ireland Fedex Priort'!F32),_xlfn.CEILING.MATH('Rates from Ireland Fedex Priort'!F32,1)+IF($A33="EU",Variables!$B$6,Variables!$B$3),'Rates from Ireland Fedex Priort'!F32)</f>
        <v>72</v>
      </c>
      <c r="G33" s="10">
        <f>IF(ISNUMBER('Rates from Ireland Fedex Priort'!G32),_xlfn.CEILING.MATH('Rates from Ireland Fedex Priort'!G32,1)+IF($A33="EU",Variables!$B$6,Variables!$B$3),'Rates from Ireland Fedex Priort'!G32)</f>
        <v>86</v>
      </c>
      <c r="H33" s="10">
        <f>IF(ISNUMBER('Rates from Ireland Fedex Priort'!H32),_xlfn.CEILING.MATH('Rates from Ireland Fedex Priort'!H32,1)+IF($A33="EU",Variables!$B$6,Variables!$B$3),'Rates from Ireland Fedex Priort'!H32)</f>
        <v>111</v>
      </c>
      <c r="I33" s="10">
        <f>IF(ISNUMBER('Rates from Ireland Fedex Priort'!I32),_xlfn.CEILING.MATH('Rates from Ireland Fedex Priort'!I32,1)+IF($A33="EU",Variables!$B$6,Variables!$B$3),'Rates from Ireland Fedex Priort'!I32)</f>
        <v>174</v>
      </c>
      <c r="J33" s="10" t="str">
        <f>IF(ISNUMBER('Rates from Ireland Fedex Priort'!J32),_xlfn.CEILING.MATH('Rates from Ireland Fedex Priort'!J32,1)+IF($A33="EU",Variables!$B$6,Variables!$B$3),'Rates from Ireland Fedex Priort'!J32)</f>
        <v>No service</v>
      </c>
      <c r="K33" s="10" t="str">
        <f>IF(ISNUMBER('Rates from Ireland Fedex Priort'!K32),_xlfn.CEILING.MATH('Rates from Ireland Fedex Priort'!K32,1)+IF($A33="EU",Variables!$B$6,Variables!$B$3),'Rates from Ireland Fedex Priort'!K32)</f>
        <v>No service</v>
      </c>
      <c r="L33" s="10" t="str">
        <f>IF(ISNUMBER('Rates from Ireland Fedex Priort'!L32),_xlfn.CEILING.MATH('Rates from Ireland Fedex Priort'!L32,1)+IF($A33="EU",Variables!$B$6,Variables!$B$3),'Rates from Ireland Fedex Priort'!L32)</f>
        <v>No service</v>
      </c>
      <c r="M33" s="10" t="str">
        <f>IF(ISNUMBER('Rates from Ireland Fedex Priort'!M32),_xlfn.CEILING.MATH('Rates from Ireland Fedex Priort'!M32,1)+IF($A33="EU",Variables!$B$6,Variables!$B$3),'Rates from Ireland Fedex Priort'!M32)</f>
        <v>No service</v>
      </c>
      <c r="N33" s="10" t="str">
        <f>IF(ISNUMBER('Rates from Ireland Fedex Priort'!N32),_xlfn.CEILING.MATH('Rates from Ireland Fedex Priort'!N32,1)+IF($A33="EU",Variables!$B$6,Variables!$B$3),'Rates from Ireland Fedex Priort'!N32)</f>
        <v>No service</v>
      </c>
      <c r="O33" s="11" t="s">
        <v>29</v>
      </c>
      <c r="P33" s="11" t="s">
        <v>30</v>
      </c>
      <c r="Q33" s="12">
        <v>80</v>
      </c>
      <c r="R33" s="11" t="s">
        <v>25</v>
      </c>
      <c r="S33" s="3" t="s">
        <v>26</v>
      </c>
      <c r="T33" s="38" t="s">
        <v>27</v>
      </c>
    </row>
    <row r="34" spans="1:20" ht="15.75" customHeight="1" x14ac:dyDescent="0.3">
      <c r="A34" s="39" t="str">
        <f>IF('Rates from Ireland Fedex Priort'!A33="","",'Rates from Ireland Fedex Priort'!A33)</f>
        <v>EU</v>
      </c>
      <c r="B34" s="8" t="str">
        <f>IF('Rates from Ireland Fedex Priort'!B33="","",'Rates from Ireland Fedex Priort'!B33)</f>
        <v>Ireland</v>
      </c>
      <c r="C34" s="9" t="str">
        <f>IF('Rates from Ireland Fedex Priort'!C33="","",'Rates from Ireland Fedex Priort'!C33)</f>
        <v>Bulgaria</v>
      </c>
      <c r="D34" s="10">
        <f>IF(ISNUMBER('Rates from Ireland Fedex Priort'!D33),_xlfn.CEILING.MATH('Rates from Ireland Fedex Priort'!D33,1)+IF($A34="EU",Variables!$B$5,Variables!$B$2),'Rates from Ireland Fedex Priort'!D33)</f>
        <v>68</v>
      </c>
      <c r="E34" s="10">
        <f>IF(ISNUMBER('Rates from Ireland Fedex Priort'!E33),_xlfn.CEILING.MATH('Rates from Ireland Fedex Priort'!E33,1)+IF($A34="EU",Variables!$B$6,Variables!$B$3),'Rates from Ireland Fedex Priort'!E33)</f>
        <v>74</v>
      </c>
      <c r="F34" s="10">
        <f>IF(ISNUMBER('Rates from Ireland Fedex Priort'!F33),_xlfn.CEILING.MATH('Rates from Ireland Fedex Priort'!F33,1)+IF($A34="EU",Variables!$B$6,Variables!$B$3),'Rates from Ireland Fedex Priort'!F33)</f>
        <v>77</v>
      </c>
      <c r="G34" s="10">
        <f>IF(ISNUMBER('Rates from Ireland Fedex Priort'!G33),_xlfn.CEILING.MATH('Rates from Ireland Fedex Priort'!G33,1)+IF($A34="EU",Variables!$B$6,Variables!$B$3),'Rates from Ireland Fedex Priort'!G33)</f>
        <v>79</v>
      </c>
      <c r="H34" s="10">
        <f>IF(ISNUMBER('Rates from Ireland Fedex Priort'!H33),_xlfn.CEILING.MATH('Rates from Ireland Fedex Priort'!H33,1)+IF($A34="EU",Variables!$B$6,Variables!$B$3),'Rates from Ireland Fedex Priort'!H33)</f>
        <v>82</v>
      </c>
      <c r="I34" s="10">
        <f>IF(ISNUMBER('Rates from Ireland Fedex Priort'!I33),_xlfn.CEILING.MATH('Rates from Ireland Fedex Priort'!I33,1)+IF($A34="EU",Variables!$B$6,Variables!$B$3),'Rates from Ireland Fedex Priort'!I33)</f>
        <v>95</v>
      </c>
      <c r="J34" s="10">
        <f>IF(ISNUMBER('Rates from Ireland Fedex Priort'!J33),_xlfn.CEILING.MATH('Rates from Ireland Fedex Priort'!J33,1)+IF($A34="EU",Variables!$B$6,Variables!$B$3),'Rates from Ireland Fedex Priort'!J33)</f>
        <v>103</v>
      </c>
      <c r="K34" s="10">
        <f>IF(ISNUMBER('Rates from Ireland Fedex Priort'!K33),_xlfn.CEILING.MATH('Rates from Ireland Fedex Priort'!K33,1)+IF($A34="EU",Variables!$B$6,Variables!$B$3),'Rates from Ireland Fedex Priort'!K33)</f>
        <v>112</v>
      </c>
      <c r="L34" s="10">
        <f>IF(ISNUMBER('Rates from Ireland Fedex Priort'!L33),_xlfn.CEILING.MATH('Rates from Ireland Fedex Priort'!L33,1)+IF($A34="EU",Variables!$B$6,Variables!$B$3),'Rates from Ireland Fedex Priort'!L33)</f>
        <v>139</v>
      </c>
      <c r="M34" s="10">
        <f>IF(ISNUMBER('Rates from Ireland Fedex Priort'!M33),_xlfn.CEILING.MATH('Rates from Ireland Fedex Priort'!M33,1)+IF($A34="EU",Variables!$B$6,Variables!$B$3),'Rates from Ireland Fedex Priort'!M33)</f>
        <v>147</v>
      </c>
      <c r="N34" s="10">
        <f>IF(ISNUMBER('Rates from Ireland Fedex Priort'!N33),_xlfn.CEILING.MATH('Rates from Ireland Fedex Priort'!N33,1)+IF($A34="EU",Variables!$B$6,Variables!$B$3),'Rates from Ireland Fedex Priort'!N33)</f>
        <v>152</v>
      </c>
      <c r="O34" s="15" t="s">
        <v>61</v>
      </c>
      <c r="P34" s="15" t="s">
        <v>67</v>
      </c>
      <c r="Q34" s="16">
        <v>80</v>
      </c>
      <c r="R34" s="15" t="s">
        <v>25</v>
      </c>
      <c r="S34" s="17" t="s">
        <v>26</v>
      </c>
      <c r="T34" s="40" t="s">
        <v>27</v>
      </c>
    </row>
    <row r="35" spans="1:20" ht="15.75" customHeight="1" x14ac:dyDescent="0.3">
      <c r="A35" s="39" t="str">
        <f>IF('Rates from Ireland Fedex Priort'!A34="","",'Rates from Ireland Fedex Priort'!A34)</f>
        <v>EU</v>
      </c>
      <c r="B35" s="8" t="str">
        <f>IF('Rates from Ireland Fedex Priort'!B34="","",'Rates from Ireland Fedex Priort'!B34)</f>
        <v>Ireland</v>
      </c>
      <c r="C35" s="9" t="str">
        <f>IF('Rates from Ireland Fedex Priort'!C34="","",'Rates from Ireland Fedex Priort'!C34)</f>
        <v>Burkina Faso</v>
      </c>
      <c r="D35" s="10">
        <f>IF(ISNUMBER('Rates from Ireland Fedex Priort'!D34),_xlfn.CEILING.MATH('Rates from Ireland Fedex Priort'!D34,1)+IF($A35="EU",Variables!$B$5,Variables!$B$2),'Rates from Ireland Fedex Priort'!D34)</f>
        <v>72</v>
      </c>
      <c r="E35" s="10">
        <f>IF(ISNUMBER('Rates from Ireland Fedex Priort'!E34),_xlfn.CEILING.MATH('Rates from Ireland Fedex Priort'!E34,1)+IF($A35="EU",Variables!$B$6,Variables!$B$3),'Rates from Ireland Fedex Priort'!E34)</f>
        <v>83</v>
      </c>
      <c r="F35" s="10">
        <f>IF(ISNUMBER('Rates from Ireland Fedex Priort'!F34),_xlfn.CEILING.MATH('Rates from Ireland Fedex Priort'!F34,1)+IF($A35="EU",Variables!$B$6,Variables!$B$3),'Rates from Ireland Fedex Priort'!F34)</f>
        <v>88</v>
      </c>
      <c r="G35" s="10">
        <f>IF(ISNUMBER('Rates from Ireland Fedex Priort'!G34),_xlfn.CEILING.MATH('Rates from Ireland Fedex Priort'!G34,1)+IF($A35="EU",Variables!$B$6,Variables!$B$3),'Rates from Ireland Fedex Priort'!G34)</f>
        <v>106</v>
      </c>
      <c r="H35" s="10">
        <f>IF(ISNUMBER('Rates from Ireland Fedex Priort'!H34),_xlfn.CEILING.MATH('Rates from Ireland Fedex Priort'!H34,1)+IF($A35="EU",Variables!$B$6,Variables!$B$3),'Rates from Ireland Fedex Priort'!H34)</f>
        <v>134</v>
      </c>
      <c r="I35" s="10">
        <f>IF(ISNUMBER('Rates from Ireland Fedex Priort'!I34),_xlfn.CEILING.MATH('Rates from Ireland Fedex Priort'!I34,1)+IF($A35="EU",Variables!$B$6,Variables!$B$3),'Rates from Ireland Fedex Priort'!I34)</f>
        <v>242</v>
      </c>
      <c r="J35" s="10" t="str">
        <f>IF(ISNUMBER('Rates from Ireland Fedex Priort'!J34),_xlfn.CEILING.MATH('Rates from Ireland Fedex Priort'!J34,1)+IF($A35="EU",Variables!$B$6,Variables!$B$3),'Rates from Ireland Fedex Priort'!J34)</f>
        <v>No service</v>
      </c>
      <c r="K35" s="10" t="str">
        <f>IF(ISNUMBER('Rates from Ireland Fedex Priort'!K34),_xlfn.CEILING.MATH('Rates from Ireland Fedex Priort'!K34,1)+IF($A35="EU",Variables!$B$6,Variables!$B$3),'Rates from Ireland Fedex Priort'!K34)</f>
        <v>No service</v>
      </c>
      <c r="L35" s="10" t="str">
        <f>IF(ISNUMBER('Rates from Ireland Fedex Priort'!L34),_xlfn.CEILING.MATH('Rates from Ireland Fedex Priort'!L34,1)+IF($A35="EU",Variables!$B$6,Variables!$B$3),'Rates from Ireland Fedex Priort'!L34)</f>
        <v>No service</v>
      </c>
      <c r="M35" s="10" t="str">
        <f>IF(ISNUMBER('Rates from Ireland Fedex Priort'!M34),_xlfn.CEILING.MATH('Rates from Ireland Fedex Priort'!M34,1)+IF($A35="EU",Variables!$B$6,Variables!$B$3),'Rates from Ireland Fedex Priort'!M34)</f>
        <v>No service</v>
      </c>
      <c r="N35" s="10" t="str">
        <f>IF(ISNUMBER('Rates from Ireland Fedex Priort'!N34),_xlfn.CEILING.MATH('Rates from Ireland Fedex Priort'!N34,1)+IF($A35="EU",Variables!$B$6,Variables!$B$3),'Rates from Ireland Fedex Priort'!N34)</f>
        <v>No service</v>
      </c>
      <c r="O35" s="11" t="s">
        <v>24</v>
      </c>
      <c r="P35" s="11" t="s">
        <v>69</v>
      </c>
      <c r="Q35" s="12">
        <v>80</v>
      </c>
      <c r="R35" s="11" t="s">
        <v>25</v>
      </c>
      <c r="S35" s="3" t="s">
        <v>26</v>
      </c>
      <c r="T35" s="38" t="s">
        <v>27</v>
      </c>
    </row>
    <row r="36" spans="1:20" ht="15.75" customHeight="1" x14ac:dyDescent="0.3">
      <c r="A36" s="39" t="str">
        <f>IF('Rates from Ireland Fedex Priort'!A35="","",'Rates from Ireland Fedex Priort'!A35)</f>
        <v>EU</v>
      </c>
      <c r="B36" s="8" t="str">
        <f>IF('Rates from Ireland Fedex Priort'!B35="","",'Rates from Ireland Fedex Priort'!B35)</f>
        <v>Ireland</v>
      </c>
      <c r="C36" s="9" t="str">
        <f>IF('Rates from Ireland Fedex Priort'!C35="","",'Rates from Ireland Fedex Priort'!C35)</f>
        <v>Burundi</v>
      </c>
      <c r="D36" s="10">
        <f>IF(ISNUMBER('Rates from Ireland Fedex Priort'!D35),_xlfn.CEILING.MATH('Rates from Ireland Fedex Priort'!D35,1)+IF($A36="EU",Variables!$B$5,Variables!$B$2),'Rates from Ireland Fedex Priort'!D35)</f>
        <v>72</v>
      </c>
      <c r="E36" s="10">
        <f>IF(ISNUMBER('Rates from Ireland Fedex Priort'!E35),_xlfn.CEILING.MATH('Rates from Ireland Fedex Priort'!E35,1)+IF($A36="EU",Variables!$B$6,Variables!$B$3),'Rates from Ireland Fedex Priort'!E35)</f>
        <v>83</v>
      </c>
      <c r="F36" s="10">
        <f>IF(ISNUMBER('Rates from Ireland Fedex Priort'!F35),_xlfn.CEILING.MATH('Rates from Ireland Fedex Priort'!F35,1)+IF($A36="EU",Variables!$B$6,Variables!$B$3),'Rates from Ireland Fedex Priort'!F35)</f>
        <v>88</v>
      </c>
      <c r="G36" s="10">
        <f>IF(ISNUMBER('Rates from Ireland Fedex Priort'!G35),_xlfn.CEILING.MATH('Rates from Ireland Fedex Priort'!G35,1)+IF($A36="EU",Variables!$B$6,Variables!$B$3),'Rates from Ireland Fedex Priort'!G35)</f>
        <v>106</v>
      </c>
      <c r="H36" s="10">
        <f>IF(ISNUMBER('Rates from Ireland Fedex Priort'!H35),_xlfn.CEILING.MATH('Rates from Ireland Fedex Priort'!H35,1)+IF($A36="EU",Variables!$B$6,Variables!$B$3),'Rates from Ireland Fedex Priort'!H35)</f>
        <v>134</v>
      </c>
      <c r="I36" s="10">
        <f>IF(ISNUMBER('Rates from Ireland Fedex Priort'!I35),_xlfn.CEILING.MATH('Rates from Ireland Fedex Priort'!I35,1)+IF($A36="EU",Variables!$B$6,Variables!$B$3),'Rates from Ireland Fedex Priort'!I35)</f>
        <v>242</v>
      </c>
      <c r="J36" s="10" t="str">
        <f>IF(ISNUMBER('Rates from Ireland Fedex Priort'!J35),_xlfn.CEILING.MATH('Rates from Ireland Fedex Priort'!J35,1)+IF($A36="EU",Variables!$B$6,Variables!$B$3),'Rates from Ireland Fedex Priort'!J35)</f>
        <v>No service</v>
      </c>
      <c r="K36" s="10" t="str">
        <f>IF(ISNUMBER('Rates from Ireland Fedex Priort'!K35),_xlfn.CEILING.MATH('Rates from Ireland Fedex Priort'!K35,1)+IF($A36="EU",Variables!$B$6,Variables!$B$3),'Rates from Ireland Fedex Priort'!K35)</f>
        <v>No service</v>
      </c>
      <c r="L36" s="10" t="str">
        <f>IF(ISNUMBER('Rates from Ireland Fedex Priort'!L35),_xlfn.CEILING.MATH('Rates from Ireland Fedex Priort'!L35,1)+IF($A36="EU",Variables!$B$6,Variables!$B$3),'Rates from Ireland Fedex Priort'!L35)</f>
        <v>No service</v>
      </c>
      <c r="M36" s="10" t="str">
        <f>IF(ISNUMBER('Rates from Ireland Fedex Priort'!M35),_xlfn.CEILING.MATH('Rates from Ireland Fedex Priort'!M35,1)+IF($A36="EU",Variables!$B$6,Variables!$B$3),'Rates from Ireland Fedex Priort'!M35)</f>
        <v>No service</v>
      </c>
      <c r="N36" s="10" t="str">
        <f>IF(ISNUMBER('Rates from Ireland Fedex Priort'!N35),_xlfn.CEILING.MATH('Rates from Ireland Fedex Priort'!N35,1)+IF($A36="EU",Variables!$B$6,Variables!$B$3),'Rates from Ireland Fedex Priort'!N35)</f>
        <v>No service</v>
      </c>
      <c r="O36" s="11" t="s">
        <v>24</v>
      </c>
      <c r="P36" s="11" t="s">
        <v>69</v>
      </c>
      <c r="Q36" s="12">
        <v>80</v>
      </c>
      <c r="R36" s="11" t="s">
        <v>25</v>
      </c>
      <c r="S36" s="3" t="s">
        <v>26</v>
      </c>
      <c r="T36" s="38" t="s">
        <v>27</v>
      </c>
    </row>
    <row r="37" spans="1:20" ht="15.75" customHeight="1" x14ac:dyDescent="0.3">
      <c r="A37" s="39" t="str">
        <f>IF('Rates from Ireland Fedex Priort'!A36="","",'Rates from Ireland Fedex Priort'!A36)</f>
        <v>EU</v>
      </c>
      <c r="B37" s="8" t="str">
        <f>IF('Rates from Ireland Fedex Priort'!B36="","",'Rates from Ireland Fedex Priort'!B36)</f>
        <v>Ireland</v>
      </c>
      <c r="C37" s="9" t="str">
        <f>IF('Rates from Ireland Fedex Priort'!C36="","",'Rates from Ireland Fedex Priort'!C36)</f>
        <v>Cambodia</v>
      </c>
      <c r="D37" s="10">
        <f>IF(ISNUMBER('Rates from Ireland Fedex Priort'!D36),_xlfn.CEILING.MATH('Rates from Ireland Fedex Priort'!D36,1)+IF($A37="EU",Variables!$B$5,Variables!$B$2),'Rates from Ireland Fedex Priort'!D36)</f>
        <v>66</v>
      </c>
      <c r="E37" s="10">
        <f>IF(ISNUMBER('Rates from Ireland Fedex Priort'!E36),_xlfn.CEILING.MATH('Rates from Ireland Fedex Priort'!E36,1)+IF($A37="EU",Variables!$B$6,Variables!$B$3),'Rates from Ireland Fedex Priort'!E36)</f>
        <v>74</v>
      </c>
      <c r="F37" s="10">
        <f>IF(ISNUMBER('Rates from Ireland Fedex Priort'!F36),_xlfn.CEILING.MATH('Rates from Ireland Fedex Priort'!F36,1)+IF($A37="EU",Variables!$B$6,Variables!$B$3),'Rates from Ireland Fedex Priort'!F36)</f>
        <v>78</v>
      </c>
      <c r="G37" s="10">
        <f>IF(ISNUMBER('Rates from Ireland Fedex Priort'!G36),_xlfn.CEILING.MATH('Rates from Ireland Fedex Priort'!G36,1)+IF($A37="EU",Variables!$B$6,Variables!$B$3),'Rates from Ireland Fedex Priort'!G36)</f>
        <v>95</v>
      </c>
      <c r="H37" s="10">
        <f>IF(ISNUMBER('Rates from Ireland Fedex Priort'!H36),_xlfn.CEILING.MATH('Rates from Ireland Fedex Priort'!H36,1)+IF($A37="EU",Variables!$B$6,Variables!$B$3),'Rates from Ireland Fedex Priort'!H36)</f>
        <v>118</v>
      </c>
      <c r="I37" s="10">
        <f>IF(ISNUMBER('Rates from Ireland Fedex Priort'!I36),_xlfn.CEILING.MATH('Rates from Ireland Fedex Priort'!I36,1)+IF($A37="EU",Variables!$B$6,Variables!$B$3),'Rates from Ireland Fedex Priort'!I36)</f>
        <v>178</v>
      </c>
      <c r="J37" s="10" t="str">
        <f>IF(ISNUMBER('Rates from Ireland Fedex Priort'!J36),_xlfn.CEILING.MATH('Rates from Ireland Fedex Priort'!J36,1)+IF($A37="EU",Variables!$B$6,Variables!$B$3),'Rates from Ireland Fedex Priort'!J36)</f>
        <v>No service</v>
      </c>
      <c r="K37" s="10" t="str">
        <f>IF(ISNUMBER('Rates from Ireland Fedex Priort'!K36),_xlfn.CEILING.MATH('Rates from Ireland Fedex Priort'!K36,1)+IF($A37="EU",Variables!$B$6,Variables!$B$3),'Rates from Ireland Fedex Priort'!K36)</f>
        <v>No service</v>
      </c>
      <c r="L37" s="10" t="str">
        <f>IF(ISNUMBER('Rates from Ireland Fedex Priort'!L36),_xlfn.CEILING.MATH('Rates from Ireland Fedex Priort'!L36,1)+IF($A37="EU",Variables!$B$6,Variables!$B$3),'Rates from Ireland Fedex Priort'!L36)</f>
        <v>No service</v>
      </c>
      <c r="M37" s="10" t="str">
        <f>IF(ISNUMBER('Rates from Ireland Fedex Priort'!M36),_xlfn.CEILING.MATH('Rates from Ireland Fedex Priort'!M36,1)+IF($A37="EU",Variables!$B$6,Variables!$B$3),'Rates from Ireland Fedex Priort'!M36)</f>
        <v>No service</v>
      </c>
      <c r="N37" s="10" t="str">
        <f>IF(ISNUMBER('Rates from Ireland Fedex Priort'!N36),_xlfn.CEILING.MATH('Rates from Ireland Fedex Priort'!N36,1)+IF($A37="EU",Variables!$B$6,Variables!$B$3),'Rates from Ireland Fedex Priort'!N36)</f>
        <v>No service</v>
      </c>
      <c r="O37" s="11" t="s">
        <v>38</v>
      </c>
      <c r="P37" s="11" t="s">
        <v>72</v>
      </c>
      <c r="Q37" s="12">
        <v>80</v>
      </c>
      <c r="R37" s="11" t="s">
        <v>25</v>
      </c>
      <c r="S37" s="3" t="s">
        <v>26</v>
      </c>
      <c r="T37" s="38" t="s">
        <v>27</v>
      </c>
    </row>
    <row r="38" spans="1:20" ht="15.75" customHeight="1" x14ac:dyDescent="0.3">
      <c r="A38" s="39" t="str">
        <f>IF('Rates from Ireland Fedex Priort'!A37="","",'Rates from Ireland Fedex Priort'!A37)</f>
        <v>EU</v>
      </c>
      <c r="B38" s="8" t="str">
        <f>IF('Rates from Ireland Fedex Priort'!B37="","",'Rates from Ireland Fedex Priort'!B37)</f>
        <v>Ireland</v>
      </c>
      <c r="C38" s="9" t="str">
        <f>IF('Rates from Ireland Fedex Priort'!C37="","",'Rates from Ireland Fedex Priort'!C37)</f>
        <v>Cameroon</v>
      </c>
      <c r="D38" s="10">
        <f>IF(ISNUMBER('Rates from Ireland Fedex Priort'!D37),_xlfn.CEILING.MATH('Rates from Ireland Fedex Priort'!D37,1)+IF($A38="EU",Variables!$B$5,Variables!$B$2),'Rates from Ireland Fedex Priort'!D37)</f>
        <v>72</v>
      </c>
      <c r="E38" s="10">
        <f>IF(ISNUMBER('Rates from Ireland Fedex Priort'!E37),_xlfn.CEILING.MATH('Rates from Ireland Fedex Priort'!E37,1)+IF($A38="EU",Variables!$B$6,Variables!$B$3),'Rates from Ireland Fedex Priort'!E37)</f>
        <v>83</v>
      </c>
      <c r="F38" s="10">
        <f>IF(ISNUMBER('Rates from Ireland Fedex Priort'!F37),_xlfn.CEILING.MATH('Rates from Ireland Fedex Priort'!F37,1)+IF($A38="EU",Variables!$B$6,Variables!$B$3),'Rates from Ireland Fedex Priort'!F37)</f>
        <v>88</v>
      </c>
      <c r="G38" s="10">
        <f>IF(ISNUMBER('Rates from Ireland Fedex Priort'!G37),_xlfn.CEILING.MATH('Rates from Ireland Fedex Priort'!G37,1)+IF($A38="EU",Variables!$B$6,Variables!$B$3),'Rates from Ireland Fedex Priort'!G37)</f>
        <v>106</v>
      </c>
      <c r="H38" s="10">
        <f>IF(ISNUMBER('Rates from Ireland Fedex Priort'!H37),_xlfn.CEILING.MATH('Rates from Ireland Fedex Priort'!H37,1)+IF($A38="EU",Variables!$B$6,Variables!$B$3),'Rates from Ireland Fedex Priort'!H37)</f>
        <v>134</v>
      </c>
      <c r="I38" s="10">
        <f>IF(ISNUMBER('Rates from Ireland Fedex Priort'!I37),_xlfn.CEILING.MATH('Rates from Ireland Fedex Priort'!I37,1)+IF($A38="EU",Variables!$B$6,Variables!$B$3),'Rates from Ireland Fedex Priort'!I37)</f>
        <v>242</v>
      </c>
      <c r="J38" s="10" t="str">
        <f>IF(ISNUMBER('Rates from Ireland Fedex Priort'!J37),_xlfn.CEILING.MATH('Rates from Ireland Fedex Priort'!J37,1)+IF($A38="EU",Variables!$B$6,Variables!$B$3),'Rates from Ireland Fedex Priort'!J37)</f>
        <v>No service</v>
      </c>
      <c r="K38" s="10" t="str">
        <f>IF(ISNUMBER('Rates from Ireland Fedex Priort'!K37),_xlfn.CEILING.MATH('Rates from Ireland Fedex Priort'!K37,1)+IF($A38="EU",Variables!$B$6,Variables!$B$3),'Rates from Ireland Fedex Priort'!K37)</f>
        <v>No service</v>
      </c>
      <c r="L38" s="10" t="str">
        <f>IF(ISNUMBER('Rates from Ireland Fedex Priort'!L37),_xlfn.CEILING.MATH('Rates from Ireland Fedex Priort'!L37,1)+IF($A38="EU",Variables!$B$6,Variables!$B$3),'Rates from Ireland Fedex Priort'!L37)</f>
        <v>No service</v>
      </c>
      <c r="M38" s="10" t="str">
        <f>IF(ISNUMBER('Rates from Ireland Fedex Priort'!M37),_xlfn.CEILING.MATH('Rates from Ireland Fedex Priort'!M37,1)+IF($A38="EU",Variables!$B$6,Variables!$B$3),'Rates from Ireland Fedex Priort'!M37)</f>
        <v>No service</v>
      </c>
      <c r="N38" s="10" t="str">
        <f>IF(ISNUMBER('Rates from Ireland Fedex Priort'!N37),_xlfn.CEILING.MATH('Rates from Ireland Fedex Priort'!N37,1)+IF($A38="EU",Variables!$B$6,Variables!$B$3),'Rates from Ireland Fedex Priort'!N37)</f>
        <v>No service</v>
      </c>
      <c r="O38" s="11" t="s">
        <v>35</v>
      </c>
      <c r="P38" s="11" t="s">
        <v>36</v>
      </c>
      <c r="Q38" s="12">
        <v>80</v>
      </c>
      <c r="R38" s="11" t="s">
        <v>25</v>
      </c>
      <c r="S38" s="3" t="s">
        <v>26</v>
      </c>
      <c r="T38" s="38" t="s">
        <v>27</v>
      </c>
    </row>
    <row r="39" spans="1:20" ht="15.75" customHeight="1" x14ac:dyDescent="0.3">
      <c r="A39" s="39" t="str">
        <f>IF('Rates from Ireland Fedex Priort'!A38="","",'Rates from Ireland Fedex Priort'!A38)</f>
        <v>EU</v>
      </c>
      <c r="B39" s="8" t="str">
        <f>IF('Rates from Ireland Fedex Priort'!B38="","",'Rates from Ireland Fedex Priort'!B38)</f>
        <v>Ireland</v>
      </c>
      <c r="C39" s="9" t="str">
        <f>IF('Rates from Ireland Fedex Priort'!C38="","",'Rates from Ireland Fedex Priort'!C38)</f>
        <v>Canada</v>
      </c>
      <c r="D39" s="10">
        <f>IF(ISNUMBER('Rates from Ireland Fedex Priort'!D38),_xlfn.CEILING.MATH('Rates from Ireland Fedex Priort'!D38,1)+IF($A39="EU",Variables!$B$5,Variables!$B$2),'Rates from Ireland Fedex Priort'!D38)</f>
        <v>70</v>
      </c>
      <c r="E39" s="10">
        <f>IF(ISNUMBER('Rates from Ireland Fedex Priort'!E38),_xlfn.CEILING.MATH('Rates from Ireland Fedex Priort'!E38,1)+IF($A39="EU",Variables!$B$6,Variables!$B$3),'Rates from Ireland Fedex Priort'!E38)</f>
        <v>70</v>
      </c>
      <c r="F39" s="10">
        <f>IF(ISNUMBER('Rates from Ireland Fedex Priort'!F38),_xlfn.CEILING.MATH('Rates from Ireland Fedex Priort'!F38,1)+IF($A39="EU",Variables!$B$6,Variables!$B$3),'Rates from Ireland Fedex Priort'!F38)</f>
        <v>74</v>
      </c>
      <c r="G39" s="10">
        <f>IF(ISNUMBER('Rates from Ireland Fedex Priort'!G38),_xlfn.CEILING.MATH('Rates from Ireland Fedex Priort'!G38,1)+IF($A39="EU",Variables!$B$6,Variables!$B$3),'Rates from Ireland Fedex Priort'!G38)</f>
        <v>92</v>
      </c>
      <c r="H39" s="10">
        <f>IF(ISNUMBER('Rates from Ireland Fedex Priort'!H38),_xlfn.CEILING.MATH('Rates from Ireland Fedex Priort'!H38,1)+IF($A39="EU",Variables!$B$6,Variables!$B$3),'Rates from Ireland Fedex Priort'!H38)</f>
        <v>112</v>
      </c>
      <c r="I39" s="10">
        <f>IF(ISNUMBER('Rates from Ireland Fedex Priort'!I38),_xlfn.CEILING.MATH('Rates from Ireland Fedex Priort'!I38,1)+IF($A39="EU",Variables!$B$6,Variables!$B$3),'Rates from Ireland Fedex Priort'!I38)</f>
        <v>180</v>
      </c>
      <c r="J39" s="10" t="str">
        <f>IF(ISNUMBER('Rates from Ireland Fedex Priort'!J38),_xlfn.CEILING.MATH('Rates from Ireland Fedex Priort'!J38,1)+IF($A39="EU",Variables!$B$6,Variables!$B$3),'Rates from Ireland Fedex Priort'!J38)</f>
        <v>No service</v>
      </c>
      <c r="K39" s="10" t="str">
        <f>IF(ISNUMBER('Rates from Ireland Fedex Priort'!K38),_xlfn.CEILING.MATH('Rates from Ireland Fedex Priort'!K38,1)+IF($A39="EU",Variables!$B$6,Variables!$B$3),'Rates from Ireland Fedex Priort'!K38)</f>
        <v>No service</v>
      </c>
      <c r="L39" s="10" t="str">
        <f>IF(ISNUMBER('Rates from Ireland Fedex Priort'!L38),_xlfn.CEILING.MATH('Rates from Ireland Fedex Priort'!L38,1)+IF($A39="EU",Variables!$B$6,Variables!$B$3),'Rates from Ireland Fedex Priort'!L38)</f>
        <v>No service</v>
      </c>
      <c r="M39" s="10" t="str">
        <f>IF(ISNUMBER('Rates from Ireland Fedex Priort'!M38),_xlfn.CEILING.MATH('Rates from Ireland Fedex Priort'!M38,1)+IF($A39="EU",Variables!$B$6,Variables!$B$3),'Rates from Ireland Fedex Priort'!M38)</f>
        <v>No service</v>
      </c>
      <c r="N39" s="10" t="str">
        <f>IF(ISNUMBER('Rates from Ireland Fedex Priort'!N38),_xlfn.CEILING.MATH('Rates from Ireland Fedex Priort'!N38,1)+IF($A39="EU",Variables!$B$6,Variables!$B$3),'Rates from Ireland Fedex Priort'!N38)</f>
        <v>No service</v>
      </c>
      <c r="O39" s="11" t="s">
        <v>35</v>
      </c>
      <c r="P39" s="11" t="s">
        <v>75</v>
      </c>
      <c r="Q39" s="12">
        <v>80</v>
      </c>
      <c r="R39" s="11" t="s">
        <v>25</v>
      </c>
      <c r="S39" s="3" t="s">
        <v>26</v>
      </c>
      <c r="T39" s="38" t="s">
        <v>27</v>
      </c>
    </row>
    <row r="40" spans="1:20" ht="15.75" customHeight="1" x14ac:dyDescent="0.3">
      <c r="A40" s="39" t="str">
        <f>IF('Rates from Ireland Fedex Priort'!A39="","",'Rates from Ireland Fedex Priort'!A39)</f>
        <v>EU</v>
      </c>
      <c r="B40" s="8" t="str">
        <f>IF('Rates from Ireland Fedex Priort'!B39="","",'Rates from Ireland Fedex Priort'!B39)</f>
        <v>Ireland</v>
      </c>
      <c r="C40" s="9" t="str">
        <f>IF('Rates from Ireland Fedex Priort'!C39="","",'Rates from Ireland Fedex Priort'!C39)</f>
        <v>Cape Verde</v>
      </c>
      <c r="D40" s="10">
        <f>IF(ISNUMBER('Rates from Ireland Fedex Priort'!D39),_xlfn.CEILING.MATH('Rates from Ireland Fedex Priort'!D39,1)+IF($A40="EU",Variables!$B$5,Variables!$B$2),'Rates from Ireland Fedex Priort'!D39)</f>
        <v>72</v>
      </c>
      <c r="E40" s="10">
        <f>IF(ISNUMBER('Rates from Ireland Fedex Priort'!E39),_xlfn.CEILING.MATH('Rates from Ireland Fedex Priort'!E39,1)+IF($A40="EU",Variables!$B$6,Variables!$B$3),'Rates from Ireland Fedex Priort'!E39)</f>
        <v>83</v>
      </c>
      <c r="F40" s="10">
        <f>IF(ISNUMBER('Rates from Ireland Fedex Priort'!F39),_xlfn.CEILING.MATH('Rates from Ireland Fedex Priort'!F39,1)+IF($A40="EU",Variables!$B$6,Variables!$B$3),'Rates from Ireland Fedex Priort'!F39)</f>
        <v>88</v>
      </c>
      <c r="G40" s="10">
        <f>IF(ISNUMBER('Rates from Ireland Fedex Priort'!G39),_xlfn.CEILING.MATH('Rates from Ireland Fedex Priort'!G39,1)+IF($A40="EU",Variables!$B$6,Variables!$B$3),'Rates from Ireland Fedex Priort'!G39)</f>
        <v>106</v>
      </c>
      <c r="H40" s="10">
        <f>IF(ISNUMBER('Rates from Ireland Fedex Priort'!H39),_xlfn.CEILING.MATH('Rates from Ireland Fedex Priort'!H39,1)+IF($A40="EU",Variables!$B$6,Variables!$B$3),'Rates from Ireland Fedex Priort'!H39)</f>
        <v>134</v>
      </c>
      <c r="I40" s="10">
        <f>IF(ISNUMBER('Rates from Ireland Fedex Priort'!I39),_xlfn.CEILING.MATH('Rates from Ireland Fedex Priort'!I39,1)+IF($A40="EU",Variables!$B$6,Variables!$B$3),'Rates from Ireland Fedex Priort'!I39)</f>
        <v>242</v>
      </c>
      <c r="J40" s="10" t="str">
        <f>IF(ISNUMBER('Rates from Ireland Fedex Priort'!J39),_xlfn.CEILING.MATH('Rates from Ireland Fedex Priort'!J39,1)+IF($A40="EU",Variables!$B$6,Variables!$B$3),'Rates from Ireland Fedex Priort'!J39)</f>
        <v>No service</v>
      </c>
      <c r="K40" s="10" t="str">
        <f>IF(ISNUMBER('Rates from Ireland Fedex Priort'!K39),_xlfn.CEILING.MATH('Rates from Ireland Fedex Priort'!K39,1)+IF($A40="EU",Variables!$B$6,Variables!$B$3),'Rates from Ireland Fedex Priort'!K39)</f>
        <v>No service</v>
      </c>
      <c r="L40" s="10" t="str">
        <f>IF(ISNUMBER('Rates from Ireland Fedex Priort'!L39),_xlfn.CEILING.MATH('Rates from Ireland Fedex Priort'!L39,1)+IF($A40="EU",Variables!$B$6,Variables!$B$3),'Rates from Ireland Fedex Priort'!L39)</f>
        <v>No service</v>
      </c>
      <c r="M40" s="10" t="str">
        <f>IF(ISNUMBER('Rates from Ireland Fedex Priort'!M39),_xlfn.CEILING.MATH('Rates from Ireland Fedex Priort'!M39,1)+IF($A40="EU",Variables!$B$6,Variables!$B$3),'Rates from Ireland Fedex Priort'!M39)</f>
        <v>No service</v>
      </c>
      <c r="N40" s="10" t="str">
        <f>IF(ISNUMBER('Rates from Ireland Fedex Priort'!N39),_xlfn.CEILING.MATH('Rates from Ireland Fedex Priort'!N39,1)+IF($A40="EU",Variables!$B$6,Variables!$B$3),'Rates from Ireland Fedex Priort'!N39)</f>
        <v>No service</v>
      </c>
      <c r="O40" s="11" t="s">
        <v>35</v>
      </c>
      <c r="P40" s="11" t="s">
        <v>36</v>
      </c>
      <c r="Q40" s="12">
        <v>80</v>
      </c>
      <c r="R40" s="11" t="s">
        <v>25</v>
      </c>
      <c r="S40" s="3" t="s">
        <v>26</v>
      </c>
      <c r="T40" s="38" t="s">
        <v>27</v>
      </c>
    </row>
    <row r="41" spans="1:20" ht="15.75" customHeight="1" x14ac:dyDescent="0.3">
      <c r="A41" s="39" t="str">
        <f>IF('Rates from Ireland Fedex Priort'!A40="","",'Rates from Ireland Fedex Priort'!A40)</f>
        <v>EU</v>
      </c>
      <c r="B41" s="8" t="str">
        <f>IF('Rates from Ireland Fedex Priort'!B40="","",'Rates from Ireland Fedex Priort'!B40)</f>
        <v>Ireland</v>
      </c>
      <c r="C41" s="9" t="str">
        <f>IF('Rates from Ireland Fedex Priort'!C40="","",'Rates from Ireland Fedex Priort'!C40)</f>
        <v xml:space="preserve">Cayman Islands </v>
      </c>
      <c r="D41" s="10">
        <f>IF(ISNUMBER('Rates from Ireland Fedex Priort'!D40),_xlfn.CEILING.MATH('Rates from Ireland Fedex Priort'!D40,1)+IF($A41="EU",Variables!$B$5,Variables!$B$2),'Rates from Ireland Fedex Priort'!D40)</f>
        <v>68</v>
      </c>
      <c r="E41" s="10">
        <f>IF(ISNUMBER('Rates from Ireland Fedex Priort'!E40),_xlfn.CEILING.MATH('Rates from Ireland Fedex Priort'!E40,1)+IF($A41="EU",Variables!$B$6,Variables!$B$3),'Rates from Ireland Fedex Priort'!E40)</f>
        <v>77</v>
      </c>
      <c r="F41" s="10">
        <f>IF(ISNUMBER('Rates from Ireland Fedex Priort'!F40),_xlfn.CEILING.MATH('Rates from Ireland Fedex Priort'!F40,1)+IF($A41="EU",Variables!$B$6,Variables!$B$3),'Rates from Ireland Fedex Priort'!F40)</f>
        <v>81</v>
      </c>
      <c r="G41" s="10">
        <f>IF(ISNUMBER('Rates from Ireland Fedex Priort'!G40),_xlfn.CEILING.MATH('Rates from Ireland Fedex Priort'!G40,1)+IF($A41="EU",Variables!$B$6,Variables!$B$3),'Rates from Ireland Fedex Priort'!G40)</f>
        <v>96</v>
      </c>
      <c r="H41" s="10">
        <f>IF(ISNUMBER('Rates from Ireland Fedex Priort'!H40),_xlfn.CEILING.MATH('Rates from Ireland Fedex Priort'!H40,1)+IF($A41="EU",Variables!$B$6,Variables!$B$3),'Rates from Ireland Fedex Priort'!H40)</f>
        <v>117</v>
      </c>
      <c r="I41" s="10">
        <f>IF(ISNUMBER('Rates from Ireland Fedex Priort'!I40),_xlfn.CEILING.MATH('Rates from Ireland Fedex Priort'!I40,1)+IF($A41="EU",Variables!$B$6,Variables!$B$3),'Rates from Ireland Fedex Priort'!I40)</f>
        <v>219</v>
      </c>
      <c r="J41" s="10" t="str">
        <f>IF(ISNUMBER('Rates from Ireland Fedex Priort'!J40),_xlfn.CEILING.MATH('Rates from Ireland Fedex Priort'!J40,1)+IF($A41="EU",Variables!$B$6,Variables!$B$3),'Rates from Ireland Fedex Priort'!J40)</f>
        <v>No service</v>
      </c>
      <c r="K41" s="10" t="str">
        <f>IF(ISNUMBER('Rates from Ireland Fedex Priort'!K40),_xlfn.CEILING.MATH('Rates from Ireland Fedex Priort'!K40,1)+IF($A41="EU",Variables!$B$6,Variables!$B$3),'Rates from Ireland Fedex Priort'!K40)</f>
        <v>No service</v>
      </c>
      <c r="L41" s="10" t="str">
        <f>IF(ISNUMBER('Rates from Ireland Fedex Priort'!L40),_xlfn.CEILING.MATH('Rates from Ireland Fedex Priort'!L40,1)+IF($A41="EU",Variables!$B$6,Variables!$B$3),'Rates from Ireland Fedex Priort'!L40)</f>
        <v>No service</v>
      </c>
      <c r="M41" s="10" t="str">
        <f>IF(ISNUMBER('Rates from Ireland Fedex Priort'!M40),_xlfn.CEILING.MATH('Rates from Ireland Fedex Priort'!M40,1)+IF($A41="EU",Variables!$B$6,Variables!$B$3),'Rates from Ireland Fedex Priort'!M40)</f>
        <v>No service</v>
      </c>
      <c r="N41" s="10" t="str">
        <f>IF(ISNUMBER('Rates from Ireland Fedex Priort'!N40),_xlfn.CEILING.MATH('Rates from Ireland Fedex Priort'!N40,1)+IF($A41="EU",Variables!$B$6,Variables!$B$3),'Rates from Ireland Fedex Priort'!N40)</f>
        <v>No service</v>
      </c>
      <c r="O41" s="11" t="s">
        <v>41</v>
      </c>
      <c r="P41" s="11" t="s">
        <v>23</v>
      </c>
      <c r="Q41" s="12">
        <v>80</v>
      </c>
      <c r="R41" s="11" t="s">
        <v>25</v>
      </c>
      <c r="S41" s="3" t="s">
        <v>26</v>
      </c>
      <c r="T41" s="38" t="s">
        <v>27</v>
      </c>
    </row>
    <row r="42" spans="1:20" ht="15.75" customHeight="1" x14ac:dyDescent="0.3">
      <c r="A42" s="39" t="str">
        <f>IF('Rates from Ireland Fedex Priort'!A41="","",'Rates from Ireland Fedex Priort'!A41)</f>
        <v>EU</v>
      </c>
      <c r="B42" s="8" t="str">
        <f>IF('Rates from Ireland Fedex Priort'!B41="","",'Rates from Ireland Fedex Priort'!B41)</f>
        <v>Ireland</v>
      </c>
      <c r="C42" s="9" t="str">
        <f>IF('Rates from Ireland Fedex Priort'!C41="","",'Rates from Ireland Fedex Priort'!C41)</f>
        <v>Central African Republic</v>
      </c>
      <c r="D42" s="10" t="str">
        <f>IF(ISNUMBER('Rates from Ireland Fedex Priort'!D41),_xlfn.CEILING.MATH('Rates from Ireland Fedex Priort'!D41,1)+IF($A42="EU",Variables!$B$5,Variables!$B$2),'Rates from Ireland Fedex Priort'!D41)</f>
        <v>No service</v>
      </c>
      <c r="E42" s="10" t="str">
        <f>IF(ISNUMBER('Rates from Ireland Fedex Priort'!E41),_xlfn.CEILING.MATH('Rates from Ireland Fedex Priort'!E41,1)+IF($A42="EU",Variables!$B$6,Variables!$B$3),'Rates from Ireland Fedex Priort'!E41)</f>
        <v>No service</v>
      </c>
      <c r="F42" s="10" t="str">
        <f>IF(ISNUMBER('Rates from Ireland Fedex Priort'!F41),_xlfn.CEILING.MATH('Rates from Ireland Fedex Priort'!F41,1)+IF($A42="EU",Variables!$B$6,Variables!$B$3),'Rates from Ireland Fedex Priort'!F41)</f>
        <v>No service</v>
      </c>
      <c r="G42" s="10" t="str">
        <f>IF(ISNUMBER('Rates from Ireland Fedex Priort'!G41),_xlfn.CEILING.MATH('Rates from Ireland Fedex Priort'!G41,1)+IF($A42="EU",Variables!$B$6,Variables!$B$3),'Rates from Ireland Fedex Priort'!G41)</f>
        <v>No service</v>
      </c>
      <c r="H42" s="10" t="str">
        <f>IF(ISNUMBER('Rates from Ireland Fedex Priort'!H41),_xlfn.CEILING.MATH('Rates from Ireland Fedex Priort'!H41,1)+IF($A42="EU",Variables!$B$6,Variables!$B$3),'Rates from Ireland Fedex Priort'!H41)</f>
        <v>No service</v>
      </c>
      <c r="I42" s="10" t="str">
        <f>IF(ISNUMBER('Rates from Ireland Fedex Priort'!I41),_xlfn.CEILING.MATH('Rates from Ireland Fedex Priort'!I41,1)+IF($A42="EU",Variables!$B$6,Variables!$B$3),'Rates from Ireland Fedex Priort'!I41)</f>
        <v>No service</v>
      </c>
      <c r="J42" s="10" t="str">
        <f>IF(ISNUMBER('Rates from Ireland Fedex Priort'!J41),_xlfn.CEILING.MATH('Rates from Ireland Fedex Priort'!J41,1)+IF($A42="EU",Variables!$B$6,Variables!$B$3),'Rates from Ireland Fedex Priort'!J41)</f>
        <v>No service</v>
      </c>
      <c r="K42" s="10" t="str">
        <f>IF(ISNUMBER('Rates from Ireland Fedex Priort'!K41),_xlfn.CEILING.MATH('Rates from Ireland Fedex Priort'!K41,1)+IF($A42="EU",Variables!$B$6,Variables!$B$3),'Rates from Ireland Fedex Priort'!K41)</f>
        <v>No service</v>
      </c>
      <c r="L42" s="10" t="str">
        <f>IF(ISNUMBER('Rates from Ireland Fedex Priort'!L41),_xlfn.CEILING.MATH('Rates from Ireland Fedex Priort'!L41,1)+IF($A42="EU",Variables!$B$6,Variables!$B$3),'Rates from Ireland Fedex Priort'!L41)</f>
        <v>No service</v>
      </c>
      <c r="M42" s="10" t="str">
        <f>IF(ISNUMBER('Rates from Ireland Fedex Priort'!M41),_xlfn.CEILING.MATH('Rates from Ireland Fedex Priort'!M41,1)+IF($A42="EU",Variables!$B$6,Variables!$B$3),'Rates from Ireland Fedex Priort'!M41)</f>
        <v>No service</v>
      </c>
      <c r="N42" s="10" t="str">
        <f>IF(ISNUMBER('Rates from Ireland Fedex Priort'!N41),_xlfn.CEILING.MATH('Rates from Ireland Fedex Priort'!N41,1)+IF($A42="EU",Variables!$B$6,Variables!$B$3),'Rates from Ireland Fedex Priort'!N41)</f>
        <v>No service</v>
      </c>
      <c r="O42" s="11"/>
      <c r="P42" s="11"/>
      <c r="Q42" s="11"/>
      <c r="R42" s="11"/>
      <c r="S42" s="3" t="s">
        <v>26</v>
      </c>
      <c r="T42" s="38" t="s">
        <v>27</v>
      </c>
    </row>
    <row r="43" spans="1:20" ht="15.75" customHeight="1" x14ac:dyDescent="0.3">
      <c r="A43" s="39" t="str">
        <f>IF('Rates from Ireland Fedex Priort'!A42="","",'Rates from Ireland Fedex Priort'!A42)</f>
        <v>EU</v>
      </c>
      <c r="B43" s="8" t="str">
        <f>IF('Rates from Ireland Fedex Priort'!B42="","",'Rates from Ireland Fedex Priort'!B42)</f>
        <v>Ireland</v>
      </c>
      <c r="C43" s="9" t="str">
        <f>IF('Rates from Ireland Fedex Priort'!C42="","",'Rates from Ireland Fedex Priort'!C42)</f>
        <v>Chad</v>
      </c>
      <c r="D43" s="10">
        <f>IF(ISNUMBER('Rates from Ireland Fedex Priort'!D42),_xlfn.CEILING.MATH('Rates from Ireland Fedex Priort'!D42,1)+IF($A43="EU",Variables!$B$5,Variables!$B$2),'Rates from Ireland Fedex Priort'!D42)</f>
        <v>72</v>
      </c>
      <c r="E43" s="10">
        <f>IF(ISNUMBER('Rates from Ireland Fedex Priort'!E42),_xlfn.CEILING.MATH('Rates from Ireland Fedex Priort'!E42,1)+IF($A43="EU",Variables!$B$6,Variables!$B$3),'Rates from Ireland Fedex Priort'!E42)</f>
        <v>83</v>
      </c>
      <c r="F43" s="10">
        <f>IF(ISNUMBER('Rates from Ireland Fedex Priort'!F42),_xlfn.CEILING.MATH('Rates from Ireland Fedex Priort'!F42,1)+IF($A43="EU",Variables!$B$6,Variables!$B$3),'Rates from Ireland Fedex Priort'!F42)</f>
        <v>88</v>
      </c>
      <c r="G43" s="10">
        <f>IF(ISNUMBER('Rates from Ireland Fedex Priort'!G42),_xlfn.CEILING.MATH('Rates from Ireland Fedex Priort'!G42,1)+IF($A43="EU",Variables!$B$6,Variables!$B$3),'Rates from Ireland Fedex Priort'!G42)</f>
        <v>106</v>
      </c>
      <c r="H43" s="10">
        <f>IF(ISNUMBER('Rates from Ireland Fedex Priort'!H42),_xlfn.CEILING.MATH('Rates from Ireland Fedex Priort'!H42,1)+IF($A43="EU",Variables!$B$6,Variables!$B$3),'Rates from Ireland Fedex Priort'!H42)</f>
        <v>134</v>
      </c>
      <c r="I43" s="10">
        <f>IF(ISNUMBER('Rates from Ireland Fedex Priort'!I42),_xlfn.CEILING.MATH('Rates from Ireland Fedex Priort'!I42,1)+IF($A43="EU",Variables!$B$6,Variables!$B$3),'Rates from Ireland Fedex Priort'!I42)</f>
        <v>242</v>
      </c>
      <c r="J43" s="10" t="str">
        <f>IF(ISNUMBER('Rates from Ireland Fedex Priort'!J42),_xlfn.CEILING.MATH('Rates from Ireland Fedex Priort'!J42,1)+IF($A43="EU",Variables!$B$6,Variables!$B$3),'Rates from Ireland Fedex Priort'!J42)</f>
        <v>No service</v>
      </c>
      <c r="K43" s="10" t="str">
        <f>IF(ISNUMBER('Rates from Ireland Fedex Priort'!K42),_xlfn.CEILING.MATH('Rates from Ireland Fedex Priort'!K42,1)+IF($A43="EU",Variables!$B$6,Variables!$B$3),'Rates from Ireland Fedex Priort'!K42)</f>
        <v>No service</v>
      </c>
      <c r="L43" s="10" t="str">
        <f>IF(ISNUMBER('Rates from Ireland Fedex Priort'!L42),_xlfn.CEILING.MATH('Rates from Ireland Fedex Priort'!L42,1)+IF($A43="EU",Variables!$B$6,Variables!$B$3),'Rates from Ireland Fedex Priort'!L42)</f>
        <v>No service</v>
      </c>
      <c r="M43" s="10" t="str">
        <f>IF(ISNUMBER('Rates from Ireland Fedex Priort'!M42),_xlfn.CEILING.MATH('Rates from Ireland Fedex Priort'!M42,1)+IF($A43="EU",Variables!$B$6,Variables!$B$3),'Rates from Ireland Fedex Priort'!M42)</f>
        <v>No service</v>
      </c>
      <c r="N43" s="10" t="str">
        <f>IF(ISNUMBER('Rates from Ireland Fedex Priort'!N42),_xlfn.CEILING.MATH('Rates from Ireland Fedex Priort'!N42,1)+IF($A43="EU",Variables!$B$6,Variables!$B$3),'Rates from Ireland Fedex Priort'!N42)</f>
        <v>No service</v>
      </c>
      <c r="O43" s="11" t="s">
        <v>35</v>
      </c>
      <c r="P43" s="11" t="s">
        <v>36</v>
      </c>
      <c r="Q43" s="12">
        <v>80</v>
      </c>
      <c r="R43" s="11" t="s">
        <v>25</v>
      </c>
      <c r="S43" s="3" t="s">
        <v>26</v>
      </c>
      <c r="T43" s="38" t="s">
        <v>27</v>
      </c>
    </row>
    <row r="44" spans="1:20" ht="15.75" customHeight="1" x14ac:dyDescent="0.3">
      <c r="A44" s="39" t="str">
        <f>IF('Rates from Ireland Fedex Priort'!A43="","",'Rates from Ireland Fedex Priort'!A43)</f>
        <v>EU</v>
      </c>
      <c r="B44" s="8" t="str">
        <f>IF('Rates from Ireland Fedex Priort'!B43="","",'Rates from Ireland Fedex Priort'!B43)</f>
        <v>Ireland</v>
      </c>
      <c r="C44" s="9" t="str">
        <f>IF('Rates from Ireland Fedex Priort'!C43="","",'Rates from Ireland Fedex Priort'!C43)</f>
        <v>Chile</v>
      </c>
      <c r="D44" s="10">
        <f>IF(ISNUMBER('Rates from Ireland Fedex Priort'!D43),_xlfn.CEILING.MATH('Rates from Ireland Fedex Priort'!D43,1)+IF($A44="EU",Variables!$B$5,Variables!$B$2),'Rates from Ireland Fedex Priort'!D43)</f>
        <v>68</v>
      </c>
      <c r="E44" s="10">
        <f>IF(ISNUMBER('Rates from Ireland Fedex Priort'!E43),_xlfn.CEILING.MATH('Rates from Ireland Fedex Priort'!E43,1)+IF($A44="EU",Variables!$B$6,Variables!$B$3),'Rates from Ireland Fedex Priort'!E43)</f>
        <v>77</v>
      </c>
      <c r="F44" s="10">
        <f>IF(ISNUMBER('Rates from Ireland Fedex Priort'!F43),_xlfn.CEILING.MATH('Rates from Ireland Fedex Priort'!F43,1)+IF($A44="EU",Variables!$B$6,Variables!$B$3),'Rates from Ireland Fedex Priort'!F43)</f>
        <v>81</v>
      </c>
      <c r="G44" s="10">
        <f>IF(ISNUMBER('Rates from Ireland Fedex Priort'!G43),_xlfn.CEILING.MATH('Rates from Ireland Fedex Priort'!G43,1)+IF($A44="EU",Variables!$B$6,Variables!$B$3),'Rates from Ireland Fedex Priort'!G43)</f>
        <v>96</v>
      </c>
      <c r="H44" s="10">
        <f>IF(ISNUMBER('Rates from Ireland Fedex Priort'!H43),_xlfn.CEILING.MATH('Rates from Ireland Fedex Priort'!H43,1)+IF($A44="EU",Variables!$B$6,Variables!$B$3),'Rates from Ireland Fedex Priort'!H43)</f>
        <v>117</v>
      </c>
      <c r="I44" s="10">
        <f>IF(ISNUMBER('Rates from Ireland Fedex Priort'!I43),_xlfn.CEILING.MATH('Rates from Ireland Fedex Priort'!I43,1)+IF($A44="EU",Variables!$B$6,Variables!$B$3),'Rates from Ireland Fedex Priort'!I43)</f>
        <v>219</v>
      </c>
      <c r="J44" s="10" t="str">
        <f>IF(ISNUMBER('Rates from Ireland Fedex Priort'!J43),_xlfn.CEILING.MATH('Rates from Ireland Fedex Priort'!J43,1)+IF($A44="EU",Variables!$B$6,Variables!$B$3),'Rates from Ireland Fedex Priort'!J43)</f>
        <v>No service</v>
      </c>
      <c r="K44" s="10" t="str">
        <f>IF(ISNUMBER('Rates from Ireland Fedex Priort'!K43),_xlfn.CEILING.MATH('Rates from Ireland Fedex Priort'!K43,1)+IF($A44="EU",Variables!$B$6,Variables!$B$3),'Rates from Ireland Fedex Priort'!K43)</f>
        <v>No service</v>
      </c>
      <c r="L44" s="10" t="str">
        <f>IF(ISNUMBER('Rates from Ireland Fedex Priort'!L43),_xlfn.CEILING.MATH('Rates from Ireland Fedex Priort'!L43,1)+IF($A44="EU",Variables!$B$6,Variables!$B$3),'Rates from Ireland Fedex Priort'!L43)</f>
        <v>No service</v>
      </c>
      <c r="M44" s="10" t="str">
        <f>IF(ISNUMBER('Rates from Ireland Fedex Priort'!M43),_xlfn.CEILING.MATH('Rates from Ireland Fedex Priort'!M43,1)+IF($A44="EU",Variables!$B$6,Variables!$B$3),'Rates from Ireland Fedex Priort'!M43)</f>
        <v>No service</v>
      </c>
      <c r="N44" s="10" t="str">
        <f>IF(ISNUMBER('Rates from Ireland Fedex Priort'!N43),_xlfn.CEILING.MATH('Rates from Ireland Fedex Priort'!N43,1)+IF($A44="EU",Variables!$B$6,Variables!$B$3),'Rates from Ireland Fedex Priort'!N43)</f>
        <v>No service</v>
      </c>
      <c r="O44" s="11" t="s">
        <v>41</v>
      </c>
      <c r="P44" s="11" t="s">
        <v>23</v>
      </c>
      <c r="Q44" s="12">
        <v>80</v>
      </c>
      <c r="R44" s="11" t="s">
        <v>25</v>
      </c>
      <c r="S44" s="3" t="s">
        <v>26</v>
      </c>
      <c r="T44" s="38" t="s">
        <v>27</v>
      </c>
    </row>
    <row r="45" spans="1:20" ht="15.75" customHeight="1" x14ac:dyDescent="0.3">
      <c r="A45" s="39" t="str">
        <f>IF('Rates from Ireland Fedex Priort'!A44="","",'Rates from Ireland Fedex Priort'!A44)</f>
        <v>EU</v>
      </c>
      <c r="B45" s="8" t="str">
        <f>IF('Rates from Ireland Fedex Priort'!B44="","",'Rates from Ireland Fedex Priort'!B44)</f>
        <v>Ireland</v>
      </c>
      <c r="C45" s="9" t="str">
        <f>IF('Rates from Ireland Fedex Priort'!C44="","",'Rates from Ireland Fedex Priort'!C44)</f>
        <v>China</v>
      </c>
      <c r="D45" s="10">
        <f>IF(ISNUMBER('Rates from Ireland Fedex Priort'!D44),_xlfn.CEILING.MATH('Rates from Ireland Fedex Priort'!D44,1)+IF($A45="EU",Variables!$B$5,Variables!$B$2),'Rates from Ireland Fedex Priort'!D44)</f>
        <v>59</v>
      </c>
      <c r="E45" s="10">
        <f>IF(ISNUMBER('Rates from Ireland Fedex Priort'!E44),_xlfn.CEILING.MATH('Rates from Ireland Fedex Priort'!E44,1)+IF($A45="EU",Variables!$B$6,Variables!$B$3),'Rates from Ireland Fedex Priort'!E44)</f>
        <v>101</v>
      </c>
      <c r="F45" s="10">
        <f>IF(ISNUMBER('Rates from Ireland Fedex Priort'!F44),_xlfn.CEILING.MATH('Rates from Ireland Fedex Priort'!F44,1)+IF($A45="EU",Variables!$B$6,Variables!$B$3),'Rates from Ireland Fedex Priort'!F44)</f>
        <v>104</v>
      </c>
      <c r="G45" s="10">
        <f>IF(ISNUMBER('Rates from Ireland Fedex Priort'!G44),_xlfn.CEILING.MATH('Rates from Ireland Fedex Priort'!G44,1)+IF($A45="EU",Variables!$B$6,Variables!$B$3),'Rates from Ireland Fedex Priort'!G44)</f>
        <v>117</v>
      </c>
      <c r="H45" s="10">
        <f>IF(ISNUMBER('Rates from Ireland Fedex Priort'!H44),_xlfn.CEILING.MATH('Rates from Ireland Fedex Priort'!H44,1)+IF($A45="EU",Variables!$B$6,Variables!$B$3),'Rates from Ireland Fedex Priort'!H44)</f>
        <v>131</v>
      </c>
      <c r="I45" s="10">
        <f>IF(ISNUMBER('Rates from Ireland Fedex Priort'!I44),_xlfn.CEILING.MATH('Rates from Ireland Fedex Priort'!I44,1)+IF($A45="EU",Variables!$B$6,Variables!$B$3),'Rates from Ireland Fedex Priort'!I44)</f>
        <v>196</v>
      </c>
      <c r="J45" s="10" t="str">
        <f>IF(ISNUMBER('Rates from Ireland Fedex Priort'!J44),_xlfn.CEILING.MATH('Rates from Ireland Fedex Priort'!J44,1)+IF($A45="EU",Variables!$B$6,Variables!$B$3),'Rates from Ireland Fedex Priort'!J44)</f>
        <v>No service</v>
      </c>
      <c r="K45" s="10" t="str">
        <f>IF(ISNUMBER('Rates from Ireland Fedex Priort'!K44),_xlfn.CEILING.MATH('Rates from Ireland Fedex Priort'!K44,1)+IF($A45="EU",Variables!$B$6,Variables!$B$3),'Rates from Ireland Fedex Priort'!K44)</f>
        <v>No service</v>
      </c>
      <c r="L45" s="10" t="str">
        <f>IF(ISNUMBER('Rates from Ireland Fedex Priort'!L44),_xlfn.CEILING.MATH('Rates from Ireland Fedex Priort'!L44,1)+IF($A45="EU",Variables!$B$6,Variables!$B$3),'Rates from Ireland Fedex Priort'!L44)</f>
        <v>No service</v>
      </c>
      <c r="M45" s="10" t="str">
        <f>IF(ISNUMBER('Rates from Ireland Fedex Priort'!M44),_xlfn.CEILING.MATH('Rates from Ireland Fedex Priort'!M44,1)+IF($A45="EU",Variables!$B$6,Variables!$B$3),'Rates from Ireland Fedex Priort'!M44)</f>
        <v>No service</v>
      </c>
      <c r="N45" s="10" t="str">
        <f>IF(ISNUMBER('Rates from Ireland Fedex Priort'!N44),_xlfn.CEILING.MATH('Rates from Ireland Fedex Priort'!N44,1)+IF($A45="EU",Variables!$B$6,Variables!$B$3),'Rates from Ireland Fedex Priort'!N44)</f>
        <v>No service</v>
      </c>
      <c r="O45" s="11" t="s">
        <v>30</v>
      </c>
      <c r="P45" s="11" t="s">
        <v>82</v>
      </c>
      <c r="Q45" s="12">
        <v>80</v>
      </c>
      <c r="R45" s="11"/>
      <c r="S45" s="3" t="s">
        <v>26</v>
      </c>
      <c r="T45" s="38" t="s">
        <v>27</v>
      </c>
    </row>
    <row r="46" spans="1:20" ht="15.75" customHeight="1" x14ac:dyDescent="0.3">
      <c r="A46" s="39" t="str">
        <f>IF('Rates from Ireland Fedex Priort'!A45="","",'Rates from Ireland Fedex Priort'!A45)</f>
        <v>EU</v>
      </c>
      <c r="B46" s="8" t="str">
        <f>IF('Rates from Ireland Fedex Priort'!B45="","",'Rates from Ireland Fedex Priort'!B45)</f>
        <v>Ireland</v>
      </c>
      <c r="C46" s="9" t="str">
        <f>IF('Rates from Ireland Fedex Priort'!C45="","",'Rates from Ireland Fedex Priort'!C45)</f>
        <v>Christmas Island</v>
      </c>
      <c r="D46" s="10" t="str">
        <f>IF(ISNUMBER('Rates from Ireland Fedex Priort'!D45),_xlfn.CEILING.MATH('Rates from Ireland Fedex Priort'!D45,1)+IF($A46="EU",Variables!$B$5,Variables!$B$2),'Rates from Ireland Fedex Priort'!D45)</f>
        <v>No service</v>
      </c>
      <c r="E46" s="10" t="str">
        <f>IF(ISNUMBER('Rates from Ireland Fedex Priort'!E45),_xlfn.CEILING.MATH('Rates from Ireland Fedex Priort'!E45,1)+IF($A46="EU",Variables!$B$6,Variables!$B$3),'Rates from Ireland Fedex Priort'!E45)</f>
        <v>No service</v>
      </c>
      <c r="F46" s="10" t="str">
        <f>IF(ISNUMBER('Rates from Ireland Fedex Priort'!F45),_xlfn.CEILING.MATH('Rates from Ireland Fedex Priort'!F45,1)+IF($A46="EU",Variables!$B$6,Variables!$B$3),'Rates from Ireland Fedex Priort'!F45)</f>
        <v>No service</v>
      </c>
      <c r="G46" s="10" t="str">
        <f>IF(ISNUMBER('Rates from Ireland Fedex Priort'!G45),_xlfn.CEILING.MATH('Rates from Ireland Fedex Priort'!G45,1)+IF($A46="EU",Variables!$B$6,Variables!$B$3),'Rates from Ireland Fedex Priort'!G45)</f>
        <v>No service</v>
      </c>
      <c r="H46" s="10" t="str">
        <f>IF(ISNUMBER('Rates from Ireland Fedex Priort'!H45),_xlfn.CEILING.MATH('Rates from Ireland Fedex Priort'!H45,1)+IF($A46="EU",Variables!$B$6,Variables!$B$3),'Rates from Ireland Fedex Priort'!H45)</f>
        <v>No service</v>
      </c>
      <c r="I46" s="10" t="str">
        <f>IF(ISNUMBER('Rates from Ireland Fedex Priort'!I45),_xlfn.CEILING.MATH('Rates from Ireland Fedex Priort'!I45,1)+IF($A46="EU",Variables!$B$6,Variables!$B$3),'Rates from Ireland Fedex Priort'!I45)</f>
        <v>No service</v>
      </c>
      <c r="J46" s="10" t="str">
        <f>IF(ISNUMBER('Rates from Ireland Fedex Priort'!J45),_xlfn.CEILING.MATH('Rates from Ireland Fedex Priort'!J45,1)+IF($A46="EU",Variables!$B$6,Variables!$B$3),'Rates from Ireland Fedex Priort'!J45)</f>
        <v>No service</v>
      </c>
      <c r="K46" s="10" t="str">
        <f>IF(ISNUMBER('Rates from Ireland Fedex Priort'!K45),_xlfn.CEILING.MATH('Rates from Ireland Fedex Priort'!K45,1)+IF($A46="EU",Variables!$B$6,Variables!$B$3),'Rates from Ireland Fedex Priort'!K45)</f>
        <v>No service</v>
      </c>
      <c r="L46" s="10" t="str">
        <f>IF(ISNUMBER('Rates from Ireland Fedex Priort'!L45),_xlfn.CEILING.MATH('Rates from Ireland Fedex Priort'!L45,1)+IF($A46="EU",Variables!$B$6,Variables!$B$3),'Rates from Ireland Fedex Priort'!L45)</f>
        <v>No service</v>
      </c>
      <c r="M46" s="10" t="str">
        <f>IF(ISNUMBER('Rates from Ireland Fedex Priort'!M45),_xlfn.CEILING.MATH('Rates from Ireland Fedex Priort'!M45,1)+IF($A46="EU",Variables!$B$6,Variables!$B$3),'Rates from Ireland Fedex Priort'!M45)</f>
        <v>No service</v>
      </c>
      <c r="N46" s="10" t="str">
        <f>IF(ISNUMBER('Rates from Ireland Fedex Priort'!N45),_xlfn.CEILING.MATH('Rates from Ireland Fedex Priort'!N45,1)+IF($A46="EU",Variables!$B$6,Variables!$B$3),'Rates from Ireland Fedex Priort'!N45)</f>
        <v>No service</v>
      </c>
      <c r="O46" s="11"/>
      <c r="P46" s="11"/>
      <c r="Q46" s="11"/>
      <c r="R46" s="11"/>
      <c r="S46" s="3" t="s">
        <v>26</v>
      </c>
      <c r="T46" s="38" t="s">
        <v>27</v>
      </c>
    </row>
    <row r="47" spans="1:20" ht="15.75" customHeight="1" x14ac:dyDescent="0.3">
      <c r="A47" s="39" t="str">
        <f>IF('Rates from Ireland Fedex Priort'!A46="","",'Rates from Ireland Fedex Priort'!A46)</f>
        <v>EU</v>
      </c>
      <c r="B47" s="8" t="str">
        <f>IF('Rates from Ireland Fedex Priort'!B46="","",'Rates from Ireland Fedex Priort'!B46)</f>
        <v>Ireland</v>
      </c>
      <c r="C47" s="9" t="str">
        <f>IF('Rates from Ireland Fedex Priort'!C46="","",'Rates from Ireland Fedex Priort'!C46)</f>
        <v>Cocos (Keeling) Islands</v>
      </c>
      <c r="D47" s="10" t="str">
        <f>IF(ISNUMBER('Rates from Ireland Fedex Priort'!D46),_xlfn.CEILING.MATH('Rates from Ireland Fedex Priort'!D46,1)+IF($A47="EU",Variables!$B$5,Variables!$B$2),'Rates from Ireland Fedex Priort'!D46)</f>
        <v>No service</v>
      </c>
      <c r="E47" s="10" t="str">
        <f>IF(ISNUMBER('Rates from Ireland Fedex Priort'!E46),_xlfn.CEILING.MATH('Rates from Ireland Fedex Priort'!E46,1)+IF($A47="EU",Variables!$B$6,Variables!$B$3),'Rates from Ireland Fedex Priort'!E46)</f>
        <v>No service</v>
      </c>
      <c r="F47" s="10" t="str">
        <f>IF(ISNUMBER('Rates from Ireland Fedex Priort'!F46),_xlfn.CEILING.MATH('Rates from Ireland Fedex Priort'!F46,1)+IF($A47="EU",Variables!$B$6,Variables!$B$3),'Rates from Ireland Fedex Priort'!F46)</f>
        <v>No service</v>
      </c>
      <c r="G47" s="10" t="str">
        <f>IF(ISNUMBER('Rates from Ireland Fedex Priort'!G46),_xlfn.CEILING.MATH('Rates from Ireland Fedex Priort'!G46,1)+IF($A47="EU",Variables!$B$6,Variables!$B$3),'Rates from Ireland Fedex Priort'!G46)</f>
        <v>No service</v>
      </c>
      <c r="H47" s="10" t="str">
        <f>IF(ISNUMBER('Rates from Ireland Fedex Priort'!H46),_xlfn.CEILING.MATH('Rates from Ireland Fedex Priort'!H46,1)+IF($A47="EU",Variables!$B$6,Variables!$B$3),'Rates from Ireland Fedex Priort'!H46)</f>
        <v>No service</v>
      </c>
      <c r="I47" s="10" t="str">
        <f>IF(ISNUMBER('Rates from Ireland Fedex Priort'!I46),_xlfn.CEILING.MATH('Rates from Ireland Fedex Priort'!I46,1)+IF($A47="EU",Variables!$B$6,Variables!$B$3),'Rates from Ireland Fedex Priort'!I46)</f>
        <v>No service</v>
      </c>
      <c r="J47" s="10" t="str">
        <f>IF(ISNUMBER('Rates from Ireland Fedex Priort'!J46),_xlfn.CEILING.MATH('Rates from Ireland Fedex Priort'!J46,1)+IF($A47="EU",Variables!$B$6,Variables!$B$3),'Rates from Ireland Fedex Priort'!J46)</f>
        <v>No service</v>
      </c>
      <c r="K47" s="10" t="str">
        <f>IF(ISNUMBER('Rates from Ireland Fedex Priort'!K46),_xlfn.CEILING.MATH('Rates from Ireland Fedex Priort'!K46,1)+IF($A47="EU",Variables!$B$6,Variables!$B$3),'Rates from Ireland Fedex Priort'!K46)</f>
        <v>No service</v>
      </c>
      <c r="L47" s="10" t="str">
        <f>IF(ISNUMBER('Rates from Ireland Fedex Priort'!L46),_xlfn.CEILING.MATH('Rates from Ireland Fedex Priort'!L46,1)+IF($A47="EU",Variables!$B$6,Variables!$B$3),'Rates from Ireland Fedex Priort'!L46)</f>
        <v>No service</v>
      </c>
      <c r="M47" s="10" t="str">
        <f>IF(ISNUMBER('Rates from Ireland Fedex Priort'!M46),_xlfn.CEILING.MATH('Rates from Ireland Fedex Priort'!M46,1)+IF($A47="EU",Variables!$B$6,Variables!$B$3),'Rates from Ireland Fedex Priort'!M46)</f>
        <v>No service</v>
      </c>
      <c r="N47" s="10" t="str">
        <f>IF(ISNUMBER('Rates from Ireland Fedex Priort'!N46),_xlfn.CEILING.MATH('Rates from Ireland Fedex Priort'!N46,1)+IF($A47="EU",Variables!$B$6,Variables!$B$3),'Rates from Ireland Fedex Priort'!N46)</f>
        <v>No service</v>
      </c>
      <c r="O47" s="11"/>
      <c r="P47" s="11"/>
      <c r="Q47" s="11"/>
      <c r="R47" s="11"/>
      <c r="S47" s="3" t="s">
        <v>26</v>
      </c>
      <c r="T47" s="38" t="s">
        <v>27</v>
      </c>
    </row>
    <row r="48" spans="1:20" ht="15.75" customHeight="1" x14ac:dyDescent="0.3">
      <c r="A48" s="39" t="str">
        <f>IF('Rates from Ireland Fedex Priort'!A47="","",'Rates from Ireland Fedex Priort'!A47)</f>
        <v>EU</v>
      </c>
      <c r="B48" s="8" t="str">
        <f>IF('Rates from Ireland Fedex Priort'!B47="","",'Rates from Ireland Fedex Priort'!B47)</f>
        <v>Ireland</v>
      </c>
      <c r="C48" s="9" t="str">
        <f>IF('Rates from Ireland Fedex Priort'!C47="","",'Rates from Ireland Fedex Priort'!C47)</f>
        <v>Colombia</v>
      </c>
      <c r="D48" s="10">
        <f>IF(ISNUMBER('Rates from Ireland Fedex Priort'!D47),_xlfn.CEILING.MATH('Rates from Ireland Fedex Priort'!D47,1)+IF($A48="EU",Variables!$B$5,Variables!$B$2),'Rates from Ireland Fedex Priort'!D47)</f>
        <v>68</v>
      </c>
      <c r="E48" s="10">
        <f>IF(ISNUMBER('Rates from Ireland Fedex Priort'!E47),_xlfn.CEILING.MATH('Rates from Ireland Fedex Priort'!E47,1)+IF($A48="EU",Variables!$B$6,Variables!$B$3),'Rates from Ireland Fedex Priort'!E47)</f>
        <v>77</v>
      </c>
      <c r="F48" s="10">
        <f>IF(ISNUMBER('Rates from Ireland Fedex Priort'!F47),_xlfn.CEILING.MATH('Rates from Ireland Fedex Priort'!F47,1)+IF($A48="EU",Variables!$B$6,Variables!$B$3),'Rates from Ireland Fedex Priort'!F47)</f>
        <v>81</v>
      </c>
      <c r="G48" s="10">
        <f>IF(ISNUMBER('Rates from Ireland Fedex Priort'!G47),_xlfn.CEILING.MATH('Rates from Ireland Fedex Priort'!G47,1)+IF($A48="EU",Variables!$B$6,Variables!$B$3),'Rates from Ireland Fedex Priort'!G47)</f>
        <v>96</v>
      </c>
      <c r="H48" s="10">
        <f>IF(ISNUMBER('Rates from Ireland Fedex Priort'!H47),_xlfn.CEILING.MATH('Rates from Ireland Fedex Priort'!H47,1)+IF($A48="EU",Variables!$B$6,Variables!$B$3),'Rates from Ireland Fedex Priort'!H47)</f>
        <v>117</v>
      </c>
      <c r="I48" s="10">
        <f>IF(ISNUMBER('Rates from Ireland Fedex Priort'!I47),_xlfn.CEILING.MATH('Rates from Ireland Fedex Priort'!I47,1)+IF($A48="EU",Variables!$B$6,Variables!$B$3),'Rates from Ireland Fedex Priort'!I47)</f>
        <v>219</v>
      </c>
      <c r="J48" s="10" t="str">
        <f>IF(ISNUMBER('Rates from Ireland Fedex Priort'!J47),_xlfn.CEILING.MATH('Rates from Ireland Fedex Priort'!J47,1)+IF($A48="EU",Variables!$B$6,Variables!$B$3),'Rates from Ireland Fedex Priort'!J47)</f>
        <v>No service</v>
      </c>
      <c r="K48" s="10" t="str">
        <f>IF(ISNUMBER('Rates from Ireland Fedex Priort'!K47),_xlfn.CEILING.MATH('Rates from Ireland Fedex Priort'!K47,1)+IF($A48="EU",Variables!$B$6,Variables!$B$3),'Rates from Ireland Fedex Priort'!K47)</f>
        <v>No service</v>
      </c>
      <c r="L48" s="10" t="str">
        <f>IF(ISNUMBER('Rates from Ireland Fedex Priort'!L47),_xlfn.CEILING.MATH('Rates from Ireland Fedex Priort'!L47,1)+IF($A48="EU",Variables!$B$6,Variables!$B$3),'Rates from Ireland Fedex Priort'!L47)</f>
        <v>No service</v>
      </c>
      <c r="M48" s="10" t="str">
        <f>IF(ISNUMBER('Rates from Ireland Fedex Priort'!M47),_xlfn.CEILING.MATH('Rates from Ireland Fedex Priort'!M47,1)+IF($A48="EU",Variables!$B$6,Variables!$B$3),'Rates from Ireland Fedex Priort'!M47)</f>
        <v>No service</v>
      </c>
      <c r="N48" s="10" t="str">
        <f>IF(ISNUMBER('Rates from Ireland Fedex Priort'!N47),_xlfn.CEILING.MATH('Rates from Ireland Fedex Priort'!N47,1)+IF($A48="EU",Variables!$B$6,Variables!$B$3),'Rates from Ireland Fedex Priort'!N47)</f>
        <v>No service</v>
      </c>
      <c r="O48" s="11" t="s">
        <v>41</v>
      </c>
      <c r="P48" s="11" t="s">
        <v>23</v>
      </c>
      <c r="Q48" s="12">
        <v>80</v>
      </c>
      <c r="R48" s="11" t="s">
        <v>25</v>
      </c>
      <c r="S48" s="3" t="s">
        <v>26</v>
      </c>
      <c r="T48" s="38" t="s">
        <v>27</v>
      </c>
    </row>
    <row r="49" spans="1:20" ht="15.75" customHeight="1" x14ac:dyDescent="0.3">
      <c r="A49" s="39" t="str">
        <f>IF('Rates from Ireland Fedex Priort'!A48="","",'Rates from Ireland Fedex Priort'!A48)</f>
        <v>EU</v>
      </c>
      <c r="B49" s="8" t="str">
        <f>IF('Rates from Ireland Fedex Priort'!B48="","",'Rates from Ireland Fedex Priort'!B48)</f>
        <v>Ireland</v>
      </c>
      <c r="C49" s="9" t="str">
        <f>IF('Rates from Ireland Fedex Priort'!C48="","",'Rates from Ireland Fedex Priort'!C48)</f>
        <v>Comoros</v>
      </c>
      <c r="D49" s="10" t="str">
        <f>IF(ISNUMBER('Rates from Ireland Fedex Priort'!D48),_xlfn.CEILING.MATH('Rates from Ireland Fedex Priort'!D48,1)+IF($A49="EU",Variables!$B$5,Variables!$B$2),'Rates from Ireland Fedex Priort'!D48)</f>
        <v>No service</v>
      </c>
      <c r="E49" s="10" t="str">
        <f>IF(ISNUMBER('Rates from Ireland Fedex Priort'!E48),_xlfn.CEILING.MATH('Rates from Ireland Fedex Priort'!E48,1)+IF($A49="EU",Variables!$B$6,Variables!$B$3),'Rates from Ireland Fedex Priort'!E48)</f>
        <v>No service</v>
      </c>
      <c r="F49" s="10" t="str">
        <f>IF(ISNUMBER('Rates from Ireland Fedex Priort'!F48),_xlfn.CEILING.MATH('Rates from Ireland Fedex Priort'!F48,1)+IF($A49="EU",Variables!$B$6,Variables!$B$3),'Rates from Ireland Fedex Priort'!F48)</f>
        <v>No service</v>
      </c>
      <c r="G49" s="10" t="str">
        <f>IF(ISNUMBER('Rates from Ireland Fedex Priort'!G48),_xlfn.CEILING.MATH('Rates from Ireland Fedex Priort'!G48,1)+IF($A49="EU",Variables!$B$6,Variables!$B$3),'Rates from Ireland Fedex Priort'!G48)</f>
        <v>No service</v>
      </c>
      <c r="H49" s="10" t="str">
        <f>IF(ISNUMBER('Rates from Ireland Fedex Priort'!H48),_xlfn.CEILING.MATH('Rates from Ireland Fedex Priort'!H48,1)+IF($A49="EU",Variables!$B$6,Variables!$B$3),'Rates from Ireland Fedex Priort'!H48)</f>
        <v>No service</v>
      </c>
      <c r="I49" s="10" t="str">
        <f>IF(ISNUMBER('Rates from Ireland Fedex Priort'!I48),_xlfn.CEILING.MATH('Rates from Ireland Fedex Priort'!I48,1)+IF($A49="EU",Variables!$B$6,Variables!$B$3),'Rates from Ireland Fedex Priort'!I48)</f>
        <v>No service</v>
      </c>
      <c r="J49" s="10" t="str">
        <f>IF(ISNUMBER('Rates from Ireland Fedex Priort'!J48),_xlfn.CEILING.MATH('Rates from Ireland Fedex Priort'!J48,1)+IF($A49="EU",Variables!$B$6,Variables!$B$3),'Rates from Ireland Fedex Priort'!J48)</f>
        <v>No service</v>
      </c>
      <c r="K49" s="10" t="str">
        <f>IF(ISNUMBER('Rates from Ireland Fedex Priort'!K48),_xlfn.CEILING.MATH('Rates from Ireland Fedex Priort'!K48,1)+IF($A49="EU",Variables!$B$6,Variables!$B$3),'Rates from Ireland Fedex Priort'!K48)</f>
        <v>No service</v>
      </c>
      <c r="L49" s="10" t="str">
        <f>IF(ISNUMBER('Rates from Ireland Fedex Priort'!L48),_xlfn.CEILING.MATH('Rates from Ireland Fedex Priort'!L48,1)+IF($A49="EU",Variables!$B$6,Variables!$B$3),'Rates from Ireland Fedex Priort'!L48)</f>
        <v>No service</v>
      </c>
      <c r="M49" s="10" t="str">
        <f>IF(ISNUMBER('Rates from Ireland Fedex Priort'!M48),_xlfn.CEILING.MATH('Rates from Ireland Fedex Priort'!M48,1)+IF($A49="EU",Variables!$B$6,Variables!$B$3),'Rates from Ireland Fedex Priort'!M48)</f>
        <v>No service</v>
      </c>
      <c r="N49" s="10" t="str">
        <f>IF(ISNUMBER('Rates from Ireland Fedex Priort'!N48),_xlfn.CEILING.MATH('Rates from Ireland Fedex Priort'!N48,1)+IF($A49="EU",Variables!$B$6,Variables!$B$3),'Rates from Ireland Fedex Priort'!N48)</f>
        <v>No service</v>
      </c>
      <c r="O49" s="11"/>
      <c r="P49" s="11"/>
      <c r="Q49" s="11"/>
      <c r="R49" s="11"/>
      <c r="S49" s="3" t="s">
        <v>26</v>
      </c>
      <c r="T49" s="38" t="s">
        <v>27</v>
      </c>
    </row>
    <row r="50" spans="1:20" ht="15.75" customHeight="1" x14ac:dyDescent="0.3">
      <c r="A50" s="39" t="str">
        <f>IF('Rates from Ireland Fedex Priort'!A49="","",'Rates from Ireland Fedex Priort'!A49)</f>
        <v>EU</v>
      </c>
      <c r="B50" s="8" t="str">
        <f>IF('Rates from Ireland Fedex Priort'!B49="","",'Rates from Ireland Fedex Priort'!B49)</f>
        <v>Ireland</v>
      </c>
      <c r="C50" s="9" t="str">
        <f>IF('Rates from Ireland Fedex Priort'!C49="","",'Rates from Ireland Fedex Priort'!C49)</f>
        <v>Congo</v>
      </c>
      <c r="D50" s="10">
        <f>IF(ISNUMBER('Rates from Ireland Fedex Priort'!D49),_xlfn.CEILING.MATH('Rates from Ireland Fedex Priort'!D49,1)+IF($A50="EU",Variables!$B$5,Variables!$B$2),'Rates from Ireland Fedex Priort'!D49)</f>
        <v>72</v>
      </c>
      <c r="E50" s="10">
        <f>IF(ISNUMBER('Rates from Ireland Fedex Priort'!E49),_xlfn.CEILING.MATH('Rates from Ireland Fedex Priort'!E49,1)+IF($A50="EU",Variables!$B$6,Variables!$B$3),'Rates from Ireland Fedex Priort'!E49)</f>
        <v>83</v>
      </c>
      <c r="F50" s="10">
        <f>IF(ISNUMBER('Rates from Ireland Fedex Priort'!F49),_xlfn.CEILING.MATH('Rates from Ireland Fedex Priort'!F49,1)+IF($A50="EU",Variables!$B$6,Variables!$B$3),'Rates from Ireland Fedex Priort'!F49)</f>
        <v>88</v>
      </c>
      <c r="G50" s="10">
        <f>IF(ISNUMBER('Rates from Ireland Fedex Priort'!G49),_xlfn.CEILING.MATH('Rates from Ireland Fedex Priort'!G49,1)+IF($A50="EU",Variables!$B$6,Variables!$B$3),'Rates from Ireland Fedex Priort'!G49)</f>
        <v>106</v>
      </c>
      <c r="H50" s="10">
        <f>IF(ISNUMBER('Rates from Ireland Fedex Priort'!H49),_xlfn.CEILING.MATH('Rates from Ireland Fedex Priort'!H49,1)+IF($A50="EU",Variables!$B$6,Variables!$B$3),'Rates from Ireland Fedex Priort'!H49)</f>
        <v>134</v>
      </c>
      <c r="I50" s="10">
        <f>IF(ISNUMBER('Rates from Ireland Fedex Priort'!I49),_xlfn.CEILING.MATH('Rates from Ireland Fedex Priort'!I49,1)+IF($A50="EU",Variables!$B$6,Variables!$B$3),'Rates from Ireland Fedex Priort'!I49)</f>
        <v>242</v>
      </c>
      <c r="J50" s="10" t="str">
        <f>IF(ISNUMBER('Rates from Ireland Fedex Priort'!J49),_xlfn.CEILING.MATH('Rates from Ireland Fedex Priort'!J49,1)+IF($A50="EU",Variables!$B$6,Variables!$B$3),'Rates from Ireland Fedex Priort'!J49)</f>
        <v>No service</v>
      </c>
      <c r="K50" s="10" t="str">
        <f>IF(ISNUMBER('Rates from Ireland Fedex Priort'!K49),_xlfn.CEILING.MATH('Rates from Ireland Fedex Priort'!K49,1)+IF($A50="EU",Variables!$B$6,Variables!$B$3),'Rates from Ireland Fedex Priort'!K49)</f>
        <v>No service</v>
      </c>
      <c r="L50" s="10" t="str">
        <f>IF(ISNUMBER('Rates from Ireland Fedex Priort'!L49),_xlfn.CEILING.MATH('Rates from Ireland Fedex Priort'!L49,1)+IF($A50="EU",Variables!$B$6,Variables!$B$3),'Rates from Ireland Fedex Priort'!L49)</f>
        <v>No service</v>
      </c>
      <c r="M50" s="10" t="str">
        <f>IF(ISNUMBER('Rates from Ireland Fedex Priort'!M49),_xlfn.CEILING.MATH('Rates from Ireland Fedex Priort'!M49,1)+IF($A50="EU",Variables!$B$6,Variables!$B$3),'Rates from Ireland Fedex Priort'!M49)</f>
        <v>No service</v>
      </c>
      <c r="N50" s="10" t="str">
        <f>IF(ISNUMBER('Rates from Ireland Fedex Priort'!N49),_xlfn.CEILING.MATH('Rates from Ireland Fedex Priort'!N49,1)+IF($A50="EU",Variables!$B$6,Variables!$B$3),'Rates from Ireland Fedex Priort'!N49)</f>
        <v>No service</v>
      </c>
      <c r="O50" s="11" t="s">
        <v>35</v>
      </c>
      <c r="P50" s="11" t="s">
        <v>36</v>
      </c>
      <c r="Q50" s="12">
        <v>80</v>
      </c>
      <c r="R50" s="11" t="s">
        <v>25</v>
      </c>
      <c r="S50" s="3" t="s">
        <v>26</v>
      </c>
      <c r="T50" s="38" t="s">
        <v>27</v>
      </c>
    </row>
    <row r="51" spans="1:20" ht="15.75" customHeight="1" x14ac:dyDescent="0.3">
      <c r="A51" s="39" t="str">
        <f>IF('Rates from Ireland Fedex Priort'!A50="","",'Rates from Ireland Fedex Priort'!A50)</f>
        <v>EU</v>
      </c>
      <c r="B51" s="8" t="str">
        <f>IF('Rates from Ireland Fedex Priort'!B50="","",'Rates from Ireland Fedex Priort'!B50)</f>
        <v>Ireland</v>
      </c>
      <c r="C51" s="9" t="str">
        <f>IF('Rates from Ireland Fedex Priort'!C50="","",'Rates from Ireland Fedex Priort'!C50)</f>
        <v>Cook Islands</v>
      </c>
      <c r="D51" s="10">
        <f>IF(ISNUMBER('Rates from Ireland Fedex Priort'!D50),_xlfn.CEILING.MATH('Rates from Ireland Fedex Priort'!D50,1)+IF($A51="EU",Variables!$B$5,Variables!$B$2),'Rates from Ireland Fedex Priort'!D50)</f>
        <v>72</v>
      </c>
      <c r="E51" s="10">
        <f>IF(ISNUMBER('Rates from Ireland Fedex Priort'!E50),_xlfn.CEILING.MATH('Rates from Ireland Fedex Priort'!E50,1)+IF($A51="EU",Variables!$B$6,Variables!$B$3),'Rates from Ireland Fedex Priort'!E50)</f>
        <v>83</v>
      </c>
      <c r="F51" s="10">
        <f>IF(ISNUMBER('Rates from Ireland Fedex Priort'!F50),_xlfn.CEILING.MATH('Rates from Ireland Fedex Priort'!F50,1)+IF($A51="EU",Variables!$B$6,Variables!$B$3),'Rates from Ireland Fedex Priort'!F50)</f>
        <v>88</v>
      </c>
      <c r="G51" s="10">
        <f>IF(ISNUMBER('Rates from Ireland Fedex Priort'!G50),_xlfn.CEILING.MATH('Rates from Ireland Fedex Priort'!G50,1)+IF($A51="EU",Variables!$B$6,Variables!$B$3),'Rates from Ireland Fedex Priort'!G50)</f>
        <v>106</v>
      </c>
      <c r="H51" s="10">
        <f>IF(ISNUMBER('Rates from Ireland Fedex Priort'!H50),_xlfn.CEILING.MATH('Rates from Ireland Fedex Priort'!H50,1)+IF($A51="EU",Variables!$B$6,Variables!$B$3),'Rates from Ireland Fedex Priort'!H50)</f>
        <v>134</v>
      </c>
      <c r="I51" s="10">
        <f>IF(ISNUMBER('Rates from Ireland Fedex Priort'!I50),_xlfn.CEILING.MATH('Rates from Ireland Fedex Priort'!I50,1)+IF($A51="EU",Variables!$B$6,Variables!$B$3),'Rates from Ireland Fedex Priort'!I50)</f>
        <v>242</v>
      </c>
      <c r="J51" s="10" t="str">
        <f>IF(ISNUMBER('Rates from Ireland Fedex Priort'!J50),_xlfn.CEILING.MATH('Rates from Ireland Fedex Priort'!J50,1)+IF($A51="EU",Variables!$B$6,Variables!$B$3),'Rates from Ireland Fedex Priort'!J50)</f>
        <v>No service</v>
      </c>
      <c r="K51" s="10" t="str">
        <f>IF(ISNUMBER('Rates from Ireland Fedex Priort'!K50),_xlfn.CEILING.MATH('Rates from Ireland Fedex Priort'!K50,1)+IF($A51="EU",Variables!$B$6,Variables!$B$3),'Rates from Ireland Fedex Priort'!K50)</f>
        <v>No service</v>
      </c>
      <c r="L51" s="10" t="str">
        <f>IF(ISNUMBER('Rates from Ireland Fedex Priort'!L50),_xlfn.CEILING.MATH('Rates from Ireland Fedex Priort'!L50,1)+IF($A51="EU",Variables!$B$6,Variables!$B$3),'Rates from Ireland Fedex Priort'!L50)</f>
        <v>No service</v>
      </c>
      <c r="M51" s="10" t="str">
        <f>IF(ISNUMBER('Rates from Ireland Fedex Priort'!M50),_xlfn.CEILING.MATH('Rates from Ireland Fedex Priort'!M50,1)+IF($A51="EU",Variables!$B$6,Variables!$B$3),'Rates from Ireland Fedex Priort'!M50)</f>
        <v>No service</v>
      </c>
      <c r="N51" s="10" t="str">
        <f>IF(ISNUMBER('Rates from Ireland Fedex Priort'!N50),_xlfn.CEILING.MATH('Rates from Ireland Fedex Priort'!N50,1)+IF($A51="EU",Variables!$B$6,Variables!$B$3),'Rates from Ireland Fedex Priort'!N50)</f>
        <v>No service</v>
      </c>
      <c r="O51" s="11" t="s">
        <v>35</v>
      </c>
      <c r="P51" s="11" t="s">
        <v>36</v>
      </c>
      <c r="Q51" s="12">
        <v>80</v>
      </c>
      <c r="R51" s="11" t="s">
        <v>25</v>
      </c>
      <c r="S51" s="3" t="s">
        <v>26</v>
      </c>
      <c r="T51" s="38" t="s">
        <v>27</v>
      </c>
    </row>
    <row r="52" spans="1:20" ht="15.75" customHeight="1" x14ac:dyDescent="0.3">
      <c r="A52" s="39" t="str">
        <f>IF('Rates from Ireland Fedex Priort'!A51="","",'Rates from Ireland Fedex Priort'!A51)</f>
        <v>EU</v>
      </c>
      <c r="B52" s="8" t="str">
        <f>IF('Rates from Ireland Fedex Priort'!B51="","",'Rates from Ireland Fedex Priort'!B51)</f>
        <v>Ireland</v>
      </c>
      <c r="C52" s="9" t="str">
        <f>IF('Rates from Ireland Fedex Priort'!C51="","",'Rates from Ireland Fedex Priort'!C51)</f>
        <v>Costa Rica</v>
      </c>
      <c r="D52" s="10">
        <f>IF(ISNUMBER('Rates from Ireland Fedex Priort'!D51),_xlfn.CEILING.MATH('Rates from Ireland Fedex Priort'!D51,1)+IF($A52="EU",Variables!$B$5,Variables!$B$2),'Rates from Ireland Fedex Priort'!D51)</f>
        <v>68</v>
      </c>
      <c r="E52" s="10">
        <f>IF(ISNUMBER('Rates from Ireland Fedex Priort'!E51),_xlfn.CEILING.MATH('Rates from Ireland Fedex Priort'!E51,1)+IF($A52="EU",Variables!$B$6,Variables!$B$3),'Rates from Ireland Fedex Priort'!E51)</f>
        <v>77</v>
      </c>
      <c r="F52" s="10">
        <f>IF(ISNUMBER('Rates from Ireland Fedex Priort'!F51),_xlfn.CEILING.MATH('Rates from Ireland Fedex Priort'!F51,1)+IF($A52="EU",Variables!$B$6,Variables!$B$3),'Rates from Ireland Fedex Priort'!F51)</f>
        <v>81</v>
      </c>
      <c r="G52" s="10">
        <f>IF(ISNUMBER('Rates from Ireland Fedex Priort'!G51),_xlfn.CEILING.MATH('Rates from Ireland Fedex Priort'!G51,1)+IF($A52="EU",Variables!$B$6,Variables!$B$3),'Rates from Ireland Fedex Priort'!G51)</f>
        <v>96</v>
      </c>
      <c r="H52" s="10">
        <f>IF(ISNUMBER('Rates from Ireland Fedex Priort'!H51),_xlfn.CEILING.MATH('Rates from Ireland Fedex Priort'!H51,1)+IF($A52="EU",Variables!$B$6,Variables!$B$3),'Rates from Ireland Fedex Priort'!H51)</f>
        <v>117</v>
      </c>
      <c r="I52" s="10">
        <f>IF(ISNUMBER('Rates from Ireland Fedex Priort'!I51),_xlfn.CEILING.MATH('Rates from Ireland Fedex Priort'!I51,1)+IF($A52="EU",Variables!$B$6,Variables!$B$3),'Rates from Ireland Fedex Priort'!I51)</f>
        <v>219</v>
      </c>
      <c r="J52" s="10" t="str">
        <f>IF(ISNUMBER('Rates from Ireland Fedex Priort'!J51),_xlfn.CEILING.MATH('Rates from Ireland Fedex Priort'!J51,1)+IF($A52="EU",Variables!$B$6,Variables!$B$3),'Rates from Ireland Fedex Priort'!J51)</f>
        <v>No service</v>
      </c>
      <c r="K52" s="10" t="str">
        <f>IF(ISNUMBER('Rates from Ireland Fedex Priort'!K51),_xlfn.CEILING.MATH('Rates from Ireland Fedex Priort'!K51,1)+IF($A52="EU",Variables!$B$6,Variables!$B$3),'Rates from Ireland Fedex Priort'!K51)</f>
        <v>No service</v>
      </c>
      <c r="L52" s="10" t="str">
        <f>IF(ISNUMBER('Rates from Ireland Fedex Priort'!L51),_xlfn.CEILING.MATH('Rates from Ireland Fedex Priort'!L51,1)+IF($A52="EU",Variables!$B$6,Variables!$B$3),'Rates from Ireland Fedex Priort'!L51)</f>
        <v>No service</v>
      </c>
      <c r="M52" s="10" t="str">
        <f>IF(ISNUMBER('Rates from Ireland Fedex Priort'!M51),_xlfn.CEILING.MATH('Rates from Ireland Fedex Priort'!M51,1)+IF($A52="EU",Variables!$B$6,Variables!$B$3),'Rates from Ireland Fedex Priort'!M51)</f>
        <v>No service</v>
      </c>
      <c r="N52" s="10" t="str">
        <f>IF(ISNUMBER('Rates from Ireland Fedex Priort'!N51),_xlfn.CEILING.MATH('Rates from Ireland Fedex Priort'!N51,1)+IF($A52="EU",Variables!$B$6,Variables!$B$3),'Rates from Ireland Fedex Priort'!N51)</f>
        <v>No service</v>
      </c>
      <c r="O52" s="11" t="s">
        <v>41</v>
      </c>
      <c r="P52" s="11" t="s">
        <v>23</v>
      </c>
      <c r="Q52" s="12">
        <v>80</v>
      </c>
      <c r="R52" s="11" t="s">
        <v>25</v>
      </c>
      <c r="S52" s="3" t="s">
        <v>26</v>
      </c>
      <c r="T52" s="38" t="s">
        <v>27</v>
      </c>
    </row>
    <row r="53" spans="1:20" ht="15.75" customHeight="1" x14ac:dyDescent="0.3">
      <c r="A53" s="39" t="str">
        <f>IF('Rates from Ireland Fedex Priort'!A52="","",'Rates from Ireland Fedex Priort'!A52)</f>
        <v>EU</v>
      </c>
      <c r="B53" s="8" t="str">
        <f>IF('Rates from Ireland Fedex Priort'!B52="","",'Rates from Ireland Fedex Priort'!B52)</f>
        <v>Ireland</v>
      </c>
      <c r="C53" s="9" t="str">
        <f>IF('Rates from Ireland Fedex Priort'!C52="","",'Rates from Ireland Fedex Priort'!C52)</f>
        <v>Croatia</v>
      </c>
      <c r="D53" s="10">
        <f>IF(ISNUMBER('Rates from Ireland Fedex Priort'!D52),_xlfn.CEILING.MATH('Rates from Ireland Fedex Priort'!D52,1)+IF($A53="EU",Variables!$B$5,Variables!$B$2),'Rates from Ireland Fedex Priort'!D52)</f>
        <v>68</v>
      </c>
      <c r="E53" s="10">
        <f>IF(ISNUMBER('Rates from Ireland Fedex Priort'!E52),_xlfn.CEILING.MATH('Rates from Ireland Fedex Priort'!E52,1)+IF($A53="EU",Variables!$B$6,Variables!$B$3),'Rates from Ireland Fedex Priort'!E52)</f>
        <v>74</v>
      </c>
      <c r="F53" s="10">
        <f>IF(ISNUMBER('Rates from Ireland Fedex Priort'!F52),_xlfn.CEILING.MATH('Rates from Ireland Fedex Priort'!F52,1)+IF($A53="EU",Variables!$B$6,Variables!$B$3),'Rates from Ireland Fedex Priort'!F52)</f>
        <v>77</v>
      </c>
      <c r="G53" s="10">
        <f>IF(ISNUMBER('Rates from Ireland Fedex Priort'!G52),_xlfn.CEILING.MATH('Rates from Ireland Fedex Priort'!G52,1)+IF($A53="EU",Variables!$B$6,Variables!$B$3),'Rates from Ireland Fedex Priort'!G52)</f>
        <v>79</v>
      </c>
      <c r="H53" s="10">
        <f>IF(ISNUMBER('Rates from Ireland Fedex Priort'!H52),_xlfn.CEILING.MATH('Rates from Ireland Fedex Priort'!H52,1)+IF($A53="EU",Variables!$B$6,Variables!$B$3),'Rates from Ireland Fedex Priort'!H52)</f>
        <v>82</v>
      </c>
      <c r="I53" s="10">
        <f>IF(ISNUMBER('Rates from Ireland Fedex Priort'!I52),_xlfn.CEILING.MATH('Rates from Ireland Fedex Priort'!I52,1)+IF($A53="EU",Variables!$B$6,Variables!$B$3),'Rates from Ireland Fedex Priort'!I52)</f>
        <v>95</v>
      </c>
      <c r="J53" s="10">
        <f>IF(ISNUMBER('Rates from Ireland Fedex Priort'!J52),_xlfn.CEILING.MATH('Rates from Ireland Fedex Priort'!J52,1)+IF($A53="EU",Variables!$B$6,Variables!$B$3),'Rates from Ireland Fedex Priort'!J52)</f>
        <v>103</v>
      </c>
      <c r="K53" s="10">
        <f>IF(ISNUMBER('Rates from Ireland Fedex Priort'!K52),_xlfn.CEILING.MATH('Rates from Ireland Fedex Priort'!K52,1)+IF($A53="EU",Variables!$B$6,Variables!$B$3),'Rates from Ireland Fedex Priort'!K52)</f>
        <v>112</v>
      </c>
      <c r="L53" s="10">
        <f>IF(ISNUMBER('Rates from Ireland Fedex Priort'!L52),_xlfn.CEILING.MATH('Rates from Ireland Fedex Priort'!L52,1)+IF($A53="EU",Variables!$B$6,Variables!$B$3),'Rates from Ireland Fedex Priort'!L52)</f>
        <v>139</v>
      </c>
      <c r="M53" s="10">
        <f>IF(ISNUMBER('Rates from Ireland Fedex Priort'!M52),_xlfn.CEILING.MATH('Rates from Ireland Fedex Priort'!M52,1)+IF($A53="EU",Variables!$B$6,Variables!$B$3),'Rates from Ireland Fedex Priort'!M52)</f>
        <v>147</v>
      </c>
      <c r="N53" s="10">
        <f>IF(ISNUMBER('Rates from Ireland Fedex Priort'!N52),_xlfn.CEILING.MATH('Rates from Ireland Fedex Priort'!N52,1)+IF($A53="EU",Variables!$B$6,Variables!$B$3),'Rates from Ireland Fedex Priort'!N52)</f>
        <v>152</v>
      </c>
      <c r="O53" s="15" t="s">
        <v>61</v>
      </c>
      <c r="P53" s="15" t="s">
        <v>67</v>
      </c>
      <c r="Q53" s="16">
        <v>80</v>
      </c>
      <c r="R53" s="15" t="s">
        <v>25</v>
      </c>
      <c r="S53" s="17" t="s">
        <v>26</v>
      </c>
      <c r="T53" s="40" t="s">
        <v>27</v>
      </c>
    </row>
    <row r="54" spans="1:20" ht="15.75" customHeight="1" x14ac:dyDescent="0.3">
      <c r="A54" s="39" t="str">
        <f>IF('Rates from Ireland Fedex Priort'!A53="","",'Rates from Ireland Fedex Priort'!A53)</f>
        <v>EU</v>
      </c>
      <c r="B54" s="8" t="str">
        <f>IF('Rates from Ireland Fedex Priort'!B53="","",'Rates from Ireland Fedex Priort'!B53)</f>
        <v>Ireland</v>
      </c>
      <c r="C54" s="9" t="str">
        <f>IF('Rates from Ireland Fedex Priort'!C53="","",'Rates from Ireland Fedex Priort'!C53)</f>
        <v>Cuba</v>
      </c>
      <c r="D54" s="10" t="str">
        <f>IF(ISNUMBER('Rates from Ireland Fedex Priort'!D53),_xlfn.CEILING.MATH('Rates from Ireland Fedex Priort'!D53,1)+IF($A54="EU",Variables!$B$5,Variables!$B$2),'Rates from Ireland Fedex Priort'!D53)</f>
        <v>No service</v>
      </c>
      <c r="E54" s="10" t="str">
        <f>IF(ISNUMBER('Rates from Ireland Fedex Priort'!E53),_xlfn.CEILING.MATH('Rates from Ireland Fedex Priort'!E53,1)+IF($A54="EU",Variables!$B$6,Variables!$B$3),'Rates from Ireland Fedex Priort'!E53)</f>
        <v>No service</v>
      </c>
      <c r="F54" s="10" t="str">
        <f>IF(ISNUMBER('Rates from Ireland Fedex Priort'!F53),_xlfn.CEILING.MATH('Rates from Ireland Fedex Priort'!F53,1)+IF($A54="EU",Variables!$B$6,Variables!$B$3),'Rates from Ireland Fedex Priort'!F53)</f>
        <v>No service</v>
      </c>
      <c r="G54" s="10" t="str">
        <f>IF(ISNUMBER('Rates from Ireland Fedex Priort'!G53),_xlfn.CEILING.MATH('Rates from Ireland Fedex Priort'!G53,1)+IF($A54="EU",Variables!$B$6,Variables!$B$3),'Rates from Ireland Fedex Priort'!G53)</f>
        <v>No service</v>
      </c>
      <c r="H54" s="10" t="str">
        <f>IF(ISNUMBER('Rates from Ireland Fedex Priort'!H53),_xlfn.CEILING.MATH('Rates from Ireland Fedex Priort'!H53,1)+IF($A54="EU",Variables!$B$6,Variables!$B$3),'Rates from Ireland Fedex Priort'!H53)</f>
        <v>No service</v>
      </c>
      <c r="I54" s="10" t="str">
        <f>IF(ISNUMBER('Rates from Ireland Fedex Priort'!I53),_xlfn.CEILING.MATH('Rates from Ireland Fedex Priort'!I53,1)+IF($A54="EU",Variables!$B$6,Variables!$B$3),'Rates from Ireland Fedex Priort'!I53)</f>
        <v>No service</v>
      </c>
      <c r="J54" s="10" t="str">
        <f>IF(ISNUMBER('Rates from Ireland Fedex Priort'!J53),_xlfn.CEILING.MATH('Rates from Ireland Fedex Priort'!J53,1)+IF($A54="EU",Variables!$B$6,Variables!$B$3),'Rates from Ireland Fedex Priort'!J53)</f>
        <v>No service</v>
      </c>
      <c r="K54" s="10" t="str">
        <f>IF(ISNUMBER('Rates from Ireland Fedex Priort'!K53),_xlfn.CEILING.MATH('Rates from Ireland Fedex Priort'!K53,1)+IF($A54="EU",Variables!$B$6,Variables!$B$3),'Rates from Ireland Fedex Priort'!K53)</f>
        <v>No service</v>
      </c>
      <c r="L54" s="10" t="str">
        <f>IF(ISNUMBER('Rates from Ireland Fedex Priort'!L53),_xlfn.CEILING.MATH('Rates from Ireland Fedex Priort'!L53,1)+IF($A54="EU",Variables!$B$6,Variables!$B$3),'Rates from Ireland Fedex Priort'!L53)</f>
        <v>No service</v>
      </c>
      <c r="M54" s="10" t="str">
        <f>IF(ISNUMBER('Rates from Ireland Fedex Priort'!M53),_xlfn.CEILING.MATH('Rates from Ireland Fedex Priort'!M53,1)+IF($A54="EU",Variables!$B$6,Variables!$B$3),'Rates from Ireland Fedex Priort'!M53)</f>
        <v>No service</v>
      </c>
      <c r="N54" s="10" t="str">
        <f>IF(ISNUMBER('Rates from Ireland Fedex Priort'!N53),_xlfn.CEILING.MATH('Rates from Ireland Fedex Priort'!N53,1)+IF($A54="EU",Variables!$B$6,Variables!$B$3),'Rates from Ireland Fedex Priort'!N53)</f>
        <v>No service</v>
      </c>
      <c r="O54" s="11"/>
      <c r="P54" s="11"/>
      <c r="Q54" s="11"/>
      <c r="R54" s="11"/>
      <c r="S54" s="3" t="s">
        <v>26</v>
      </c>
      <c r="T54" s="38" t="s">
        <v>27</v>
      </c>
    </row>
    <row r="55" spans="1:20" ht="15.75" customHeight="1" x14ac:dyDescent="0.3">
      <c r="A55" s="39" t="str">
        <f>IF('Rates from Ireland Fedex Priort'!A54="","",'Rates from Ireland Fedex Priort'!A54)</f>
        <v>EU</v>
      </c>
      <c r="B55" s="8" t="str">
        <f>IF('Rates from Ireland Fedex Priort'!B54="","",'Rates from Ireland Fedex Priort'!B54)</f>
        <v>Ireland</v>
      </c>
      <c r="C55" s="9" t="str">
        <f>IF('Rates from Ireland Fedex Priort'!C54="","",'Rates from Ireland Fedex Priort'!C54)</f>
        <v>Curacao</v>
      </c>
      <c r="D55" s="10">
        <f>IF(ISNUMBER('Rates from Ireland Fedex Priort'!D54),_xlfn.CEILING.MATH('Rates from Ireland Fedex Priort'!D54,1)+IF($A55="EU",Variables!$B$5,Variables!$B$2),'Rates from Ireland Fedex Priort'!D54)</f>
        <v>68</v>
      </c>
      <c r="E55" s="10">
        <f>IF(ISNUMBER('Rates from Ireland Fedex Priort'!E54),_xlfn.CEILING.MATH('Rates from Ireland Fedex Priort'!E54,1)+IF($A55="EU",Variables!$B$6,Variables!$B$3),'Rates from Ireland Fedex Priort'!E54)</f>
        <v>77</v>
      </c>
      <c r="F55" s="10">
        <f>IF(ISNUMBER('Rates from Ireland Fedex Priort'!F54),_xlfn.CEILING.MATH('Rates from Ireland Fedex Priort'!F54,1)+IF($A55="EU",Variables!$B$6,Variables!$B$3),'Rates from Ireland Fedex Priort'!F54)</f>
        <v>81</v>
      </c>
      <c r="G55" s="10">
        <f>IF(ISNUMBER('Rates from Ireland Fedex Priort'!G54),_xlfn.CEILING.MATH('Rates from Ireland Fedex Priort'!G54,1)+IF($A55="EU",Variables!$B$6,Variables!$B$3),'Rates from Ireland Fedex Priort'!G54)</f>
        <v>96</v>
      </c>
      <c r="H55" s="10">
        <f>IF(ISNUMBER('Rates from Ireland Fedex Priort'!H54),_xlfn.CEILING.MATH('Rates from Ireland Fedex Priort'!H54,1)+IF($A55="EU",Variables!$B$6,Variables!$B$3),'Rates from Ireland Fedex Priort'!H54)</f>
        <v>117</v>
      </c>
      <c r="I55" s="10">
        <f>IF(ISNUMBER('Rates from Ireland Fedex Priort'!I54),_xlfn.CEILING.MATH('Rates from Ireland Fedex Priort'!I54,1)+IF($A55="EU",Variables!$B$6,Variables!$B$3),'Rates from Ireland Fedex Priort'!I54)</f>
        <v>219</v>
      </c>
      <c r="J55" s="10" t="str">
        <f>IF(ISNUMBER('Rates from Ireland Fedex Priort'!J54),_xlfn.CEILING.MATH('Rates from Ireland Fedex Priort'!J54,1)+IF($A55="EU",Variables!$B$6,Variables!$B$3),'Rates from Ireland Fedex Priort'!J54)</f>
        <v>No service</v>
      </c>
      <c r="K55" s="10" t="str">
        <f>IF(ISNUMBER('Rates from Ireland Fedex Priort'!K54),_xlfn.CEILING.MATH('Rates from Ireland Fedex Priort'!K54,1)+IF($A55="EU",Variables!$B$6,Variables!$B$3),'Rates from Ireland Fedex Priort'!K54)</f>
        <v>No service</v>
      </c>
      <c r="L55" s="10" t="str">
        <f>IF(ISNUMBER('Rates from Ireland Fedex Priort'!L54),_xlfn.CEILING.MATH('Rates from Ireland Fedex Priort'!L54,1)+IF($A55="EU",Variables!$B$6,Variables!$B$3),'Rates from Ireland Fedex Priort'!L54)</f>
        <v>No service</v>
      </c>
      <c r="M55" s="10" t="str">
        <f>IF(ISNUMBER('Rates from Ireland Fedex Priort'!M54),_xlfn.CEILING.MATH('Rates from Ireland Fedex Priort'!M54,1)+IF($A55="EU",Variables!$B$6,Variables!$B$3),'Rates from Ireland Fedex Priort'!M54)</f>
        <v>No service</v>
      </c>
      <c r="N55" s="10" t="str">
        <f>IF(ISNUMBER('Rates from Ireland Fedex Priort'!N54),_xlfn.CEILING.MATH('Rates from Ireland Fedex Priort'!N54,1)+IF($A55="EU",Variables!$B$6,Variables!$B$3),'Rates from Ireland Fedex Priort'!N54)</f>
        <v>No service</v>
      </c>
      <c r="O55" s="11" t="s">
        <v>41</v>
      </c>
      <c r="P55" s="11" t="s">
        <v>23</v>
      </c>
      <c r="Q55" s="12">
        <v>80</v>
      </c>
      <c r="R55" s="11" t="s">
        <v>25</v>
      </c>
      <c r="S55" s="3" t="s">
        <v>26</v>
      </c>
      <c r="T55" s="38" t="s">
        <v>27</v>
      </c>
    </row>
    <row r="56" spans="1:20" ht="15.75" customHeight="1" x14ac:dyDescent="0.3">
      <c r="A56" s="39" t="str">
        <f>IF('Rates from Ireland Fedex Priort'!A55="","",'Rates from Ireland Fedex Priort'!A55)</f>
        <v>EU</v>
      </c>
      <c r="B56" s="8" t="str">
        <f>IF('Rates from Ireland Fedex Priort'!B55="","",'Rates from Ireland Fedex Priort'!B55)</f>
        <v>Ireland</v>
      </c>
      <c r="C56" s="9" t="str">
        <f>IF('Rates from Ireland Fedex Priort'!C55="","",'Rates from Ireland Fedex Priort'!C55)</f>
        <v>Cyprus</v>
      </c>
      <c r="D56" s="10">
        <f>IF(ISNUMBER('Rates from Ireland Fedex Priort'!D55),_xlfn.CEILING.MATH('Rates from Ireland Fedex Priort'!D55,1)+IF($A56="EU",Variables!$B$5,Variables!$B$2),'Rates from Ireland Fedex Priort'!D55)</f>
        <v>85</v>
      </c>
      <c r="E56" s="10">
        <f>IF(ISNUMBER('Rates from Ireland Fedex Priort'!E55),_xlfn.CEILING.MATH('Rates from Ireland Fedex Priort'!E55,1)+IF($A56="EU",Variables!$B$6,Variables!$B$3),'Rates from Ireland Fedex Priort'!E55)</f>
        <v>95</v>
      </c>
      <c r="F56" s="10">
        <f>IF(ISNUMBER('Rates from Ireland Fedex Priort'!F55),_xlfn.CEILING.MATH('Rates from Ireland Fedex Priort'!F55,1)+IF($A56="EU",Variables!$B$6,Variables!$B$3),'Rates from Ireland Fedex Priort'!F55)</f>
        <v>95</v>
      </c>
      <c r="G56" s="10">
        <f>IF(ISNUMBER('Rates from Ireland Fedex Priort'!G55),_xlfn.CEILING.MATH('Rates from Ireland Fedex Priort'!G55,1)+IF($A56="EU",Variables!$B$6,Variables!$B$3),'Rates from Ireland Fedex Priort'!G55)</f>
        <v>102</v>
      </c>
      <c r="H56" s="10">
        <f>IF(ISNUMBER('Rates from Ireland Fedex Priort'!H55),_xlfn.CEILING.MATH('Rates from Ireland Fedex Priort'!H55,1)+IF($A56="EU",Variables!$B$6,Variables!$B$3),'Rates from Ireland Fedex Priort'!H55)</f>
        <v>109</v>
      </c>
      <c r="I56" s="10">
        <f>IF(ISNUMBER('Rates from Ireland Fedex Priort'!I55),_xlfn.CEILING.MATH('Rates from Ireland Fedex Priort'!I55,1)+IF($A56="EU",Variables!$B$6,Variables!$B$3),'Rates from Ireland Fedex Priort'!I55)</f>
        <v>123</v>
      </c>
      <c r="J56" s="10">
        <f>IF(ISNUMBER('Rates from Ireland Fedex Priort'!J55),_xlfn.CEILING.MATH('Rates from Ireland Fedex Priort'!J55,1)+IF($A56="EU",Variables!$B$6,Variables!$B$3),'Rates from Ireland Fedex Priort'!J55)</f>
        <v>135</v>
      </c>
      <c r="K56" s="10">
        <f>IF(ISNUMBER('Rates from Ireland Fedex Priort'!K55),_xlfn.CEILING.MATH('Rates from Ireland Fedex Priort'!K55,1)+IF($A56="EU",Variables!$B$6,Variables!$B$3),'Rates from Ireland Fedex Priort'!K55)</f>
        <v>147</v>
      </c>
      <c r="L56" s="10">
        <f>IF(ISNUMBER('Rates from Ireland Fedex Priort'!L55),_xlfn.CEILING.MATH('Rates from Ireland Fedex Priort'!L55,1)+IF($A56="EU",Variables!$B$6,Variables!$B$3),'Rates from Ireland Fedex Priort'!L55)</f>
        <v>177</v>
      </c>
      <c r="M56" s="10">
        <f>IF(ISNUMBER('Rates from Ireland Fedex Priort'!M55),_xlfn.CEILING.MATH('Rates from Ireland Fedex Priort'!M55,1)+IF($A56="EU",Variables!$B$6,Variables!$B$3),'Rates from Ireland Fedex Priort'!M55)</f>
        <v>187</v>
      </c>
      <c r="N56" s="10">
        <f>IF(ISNUMBER('Rates from Ireland Fedex Priort'!N55),_xlfn.CEILING.MATH('Rates from Ireland Fedex Priort'!N55,1)+IF($A56="EU",Variables!$B$6,Variables!$B$3),'Rates from Ireland Fedex Priort'!N55)</f>
        <v>209</v>
      </c>
      <c r="O56" s="15" t="s">
        <v>61</v>
      </c>
      <c r="P56" s="15" t="s">
        <v>94</v>
      </c>
      <c r="Q56" s="16">
        <v>80</v>
      </c>
      <c r="R56" s="15" t="s">
        <v>25</v>
      </c>
      <c r="S56" s="17" t="s">
        <v>26</v>
      </c>
      <c r="T56" s="40" t="s">
        <v>27</v>
      </c>
    </row>
    <row r="57" spans="1:20" ht="15.75" customHeight="1" x14ac:dyDescent="0.3">
      <c r="A57" s="39" t="str">
        <f>IF('Rates from Ireland Fedex Priort'!A56="","",'Rates from Ireland Fedex Priort'!A56)</f>
        <v>EU</v>
      </c>
      <c r="B57" s="8" t="str">
        <f>IF('Rates from Ireland Fedex Priort'!B56="","",'Rates from Ireland Fedex Priort'!B56)</f>
        <v>Ireland</v>
      </c>
      <c r="C57" s="9" t="str">
        <f>IF('Rates from Ireland Fedex Priort'!C56="","",'Rates from Ireland Fedex Priort'!C56)</f>
        <v>Czech Republic</v>
      </c>
      <c r="D57" s="10">
        <f>IF(ISNUMBER('Rates from Ireland Fedex Priort'!D56),_xlfn.CEILING.MATH('Rates from Ireland Fedex Priort'!D56,1)+IF($A57="EU",Variables!$B$5,Variables!$B$2),'Rates from Ireland Fedex Priort'!D56)</f>
        <v>68</v>
      </c>
      <c r="E57" s="10">
        <f>IF(ISNUMBER('Rates from Ireland Fedex Priort'!E56),_xlfn.CEILING.MATH('Rates from Ireland Fedex Priort'!E56,1)+IF($A57="EU",Variables!$B$6,Variables!$B$3),'Rates from Ireland Fedex Priort'!E56)</f>
        <v>74</v>
      </c>
      <c r="F57" s="10">
        <f>IF(ISNUMBER('Rates from Ireland Fedex Priort'!F56),_xlfn.CEILING.MATH('Rates from Ireland Fedex Priort'!F56,1)+IF($A57="EU",Variables!$B$6,Variables!$B$3),'Rates from Ireland Fedex Priort'!F56)</f>
        <v>77</v>
      </c>
      <c r="G57" s="10">
        <f>IF(ISNUMBER('Rates from Ireland Fedex Priort'!G56),_xlfn.CEILING.MATH('Rates from Ireland Fedex Priort'!G56,1)+IF($A57="EU",Variables!$B$6,Variables!$B$3),'Rates from Ireland Fedex Priort'!G56)</f>
        <v>79</v>
      </c>
      <c r="H57" s="10">
        <f>IF(ISNUMBER('Rates from Ireland Fedex Priort'!H56),_xlfn.CEILING.MATH('Rates from Ireland Fedex Priort'!H56,1)+IF($A57="EU",Variables!$B$6,Variables!$B$3),'Rates from Ireland Fedex Priort'!H56)</f>
        <v>82</v>
      </c>
      <c r="I57" s="10">
        <f>IF(ISNUMBER('Rates from Ireland Fedex Priort'!I56),_xlfn.CEILING.MATH('Rates from Ireland Fedex Priort'!I56,1)+IF($A57="EU",Variables!$B$6,Variables!$B$3),'Rates from Ireland Fedex Priort'!I56)</f>
        <v>95</v>
      </c>
      <c r="J57" s="10">
        <f>IF(ISNUMBER('Rates from Ireland Fedex Priort'!J56),_xlfn.CEILING.MATH('Rates from Ireland Fedex Priort'!J56,1)+IF($A57="EU",Variables!$B$6,Variables!$B$3),'Rates from Ireland Fedex Priort'!J56)</f>
        <v>103</v>
      </c>
      <c r="K57" s="10">
        <f>IF(ISNUMBER('Rates from Ireland Fedex Priort'!K56),_xlfn.CEILING.MATH('Rates from Ireland Fedex Priort'!K56,1)+IF($A57="EU",Variables!$B$6,Variables!$B$3),'Rates from Ireland Fedex Priort'!K56)</f>
        <v>112</v>
      </c>
      <c r="L57" s="10">
        <f>IF(ISNUMBER('Rates from Ireland Fedex Priort'!L56),_xlfn.CEILING.MATH('Rates from Ireland Fedex Priort'!L56,1)+IF($A57="EU",Variables!$B$6,Variables!$B$3),'Rates from Ireland Fedex Priort'!L56)</f>
        <v>114</v>
      </c>
      <c r="M57" s="10">
        <f>IF(ISNUMBER('Rates from Ireland Fedex Priort'!M56),_xlfn.CEILING.MATH('Rates from Ireland Fedex Priort'!M56,1)+IF($A57="EU",Variables!$B$6,Variables!$B$3),'Rates from Ireland Fedex Priort'!M56)</f>
        <v>122</v>
      </c>
      <c r="N57" s="10">
        <f>IF(ISNUMBER('Rates from Ireland Fedex Priort'!N56),_xlfn.CEILING.MATH('Rates from Ireland Fedex Priort'!N56,1)+IF($A57="EU",Variables!$B$6,Variables!$B$3),'Rates from Ireland Fedex Priort'!N56)</f>
        <v>127</v>
      </c>
      <c r="O57" s="15" t="s">
        <v>61</v>
      </c>
      <c r="P57" s="15" t="s">
        <v>67</v>
      </c>
      <c r="Q57" s="16">
        <v>80</v>
      </c>
      <c r="R57" s="15" t="s">
        <v>25</v>
      </c>
      <c r="S57" s="17" t="s">
        <v>26</v>
      </c>
      <c r="T57" s="40" t="s">
        <v>27</v>
      </c>
    </row>
    <row r="58" spans="1:20" ht="15.75" customHeight="1" x14ac:dyDescent="0.3">
      <c r="A58" s="39" t="str">
        <f>IF('Rates from Ireland Fedex Priort'!A57="","",'Rates from Ireland Fedex Priort'!A57)</f>
        <v>EU</v>
      </c>
      <c r="B58" s="8" t="str">
        <f>IF('Rates from Ireland Fedex Priort'!B57="","",'Rates from Ireland Fedex Priort'!B57)</f>
        <v>Ireland</v>
      </c>
      <c r="C58" s="9" t="str">
        <f>IF('Rates from Ireland Fedex Priort'!C57="","",'Rates from Ireland Fedex Priort'!C57)</f>
        <v>Denmark</v>
      </c>
      <c r="D58" s="10">
        <f>IF(ISNUMBER('Rates from Ireland Fedex Priort'!D57),_xlfn.CEILING.MATH('Rates from Ireland Fedex Priort'!D57,1)+IF($A58="EU",Variables!$B$5,Variables!$B$2),'Rates from Ireland Fedex Priort'!D57)</f>
        <v>62</v>
      </c>
      <c r="E58" s="10">
        <f>IF(ISNUMBER('Rates from Ireland Fedex Priort'!E57),_xlfn.CEILING.MATH('Rates from Ireland Fedex Priort'!E57,1)+IF($A58="EU",Variables!$B$6,Variables!$B$3),'Rates from Ireland Fedex Priort'!E57)</f>
        <v>65</v>
      </c>
      <c r="F58" s="10">
        <f>IF(ISNUMBER('Rates from Ireland Fedex Priort'!F57),_xlfn.CEILING.MATH('Rates from Ireland Fedex Priort'!F57,1)+IF($A58="EU",Variables!$B$6,Variables!$B$3),'Rates from Ireland Fedex Priort'!F57)</f>
        <v>65</v>
      </c>
      <c r="G58" s="10">
        <f>IF(ISNUMBER('Rates from Ireland Fedex Priort'!G57),_xlfn.CEILING.MATH('Rates from Ireland Fedex Priort'!G57,1)+IF($A58="EU",Variables!$B$6,Variables!$B$3),'Rates from Ireland Fedex Priort'!G57)</f>
        <v>68</v>
      </c>
      <c r="H58" s="10">
        <f>IF(ISNUMBER('Rates from Ireland Fedex Priort'!H57),_xlfn.CEILING.MATH('Rates from Ireland Fedex Priort'!H57,1)+IF($A58="EU",Variables!$B$6,Variables!$B$3),'Rates from Ireland Fedex Priort'!H57)</f>
        <v>74</v>
      </c>
      <c r="I58" s="10">
        <f>IF(ISNUMBER('Rates from Ireland Fedex Priort'!I57),_xlfn.CEILING.MATH('Rates from Ireland Fedex Priort'!I57,1)+IF($A58="EU",Variables!$B$6,Variables!$B$3),'Rates from Ireland Fedex Priort'!I57)</f>
        <v>81</v>
      </c>
      <c r="J58" s="10">
        <f>IF(ISNUMBER('Rates from Ireland Fedex Priort'!J57),_xlfn.CEILING.MATH('Rates from Ireland Fedex Priort'!J57,1)+IF($A58="EU",Variables!$B$6,Variables!$B$3),'Rates from Ireland Fedex Priort'!J57)</f>
        <v>87</v>
      </c>
      <c r="K58" s="10">
        <f>IF(ISNUMBER('Rates from Ireland Fedex Priort'!K57),_xlfn.CEILING.MATH('Rates from Ireland Fedex Priort'!K57,1)+IF($A58="EU",Variables!$B$6,Variables!$B$3),'Rates from Ireland Fedex Priort'!K57)</f>
        <v>93</v>
      </c>
      <c r="L58" s="10">
        <f>IF(ISNUMBER('Rates from Ireland Fedex Priort'!L57),_xlfn.CEILING.MATH('Rates from Ireland Fedex Priort'!L57,1)+IF($A58="EU",Variables!$B$6,Variables!$B$3),'Rates from Ireland Fedex Priort'!L57)</f>
        <v>99</v>
      </c>
      <c r="M58" s="10">
        <f>IF(ISNUMBER('Rates from Ireland Fedex Priort'!M57),_xlfn.CEILING.MATH('Rates from Ireland Fedex Priort'!M57,1)+IF($A58="EU",Variables!$B$6,Variables!$B$3),'Rates from Ireland Fedex Priort'!M57)</f>
        <v>112</v>
      </c>
      <c r="N58" s="10">
        <f>IF(ISNUMBER('Rates from Ireland Fedex Priort'!N57),_xlfn.CEILING.MATH('Rates from Ireland Fedex Priort'!N57,1)+IF($A58="EU",Variables!$B$6,Variables!$B$3),'Rates from Ireland Fedex Priort'!N57)</f>
        <v>127</v>
      </c>
      <c r="O58" s="15" t="s">
        <v>29</v>
      </c>
      <c r="P58" s="15" t="s">
        <v>33</v>
      </c>
      <c r="Q58" s="16">
        <v>80</v>
      </c>
      <c r="R58" s="15" t="s">
        <v>25</v>
      </c>
      <c r="S58" s="17" t="s">
        <v>26</v>
      </c>
      <c r="T58" s="40" t="s">
        <v>27</v>
      </c>
    </row>
    <row r="59" spans="1:20" ht="15.75" customHeight="1" x14ac:dyDescent="0.3">
      <c r="A59" s="39" t="str">
        <f>IF('Rates from Ireland Fedex Priort'!A58="","",'Rates from Ireland Fedex Priort'!A58)</f>
        <v>EU</v>
      </c>
      <c r="B59" s="8" t="str">
        <f>IF('Rates from Ireland Fedex Priort'!B58="","",'Rates from Ireland Fedex Priort'!B58)</f>
        <v>Ireland</v>
      </c>
      <c r="C59" s="9" t="str">
        <f>IF('Rates from Ireland Fedex Priort'!C58="","",'Rates from Ireland Fedex Priort'!C58)</f>
        <v>Djibouti</v>
      </c>
      <c r="D59" s="10">
        <f>IF(ISNUMBER('Rates from Ireland Fedex Priort'!D58),_xlfn.CEILING.MATH('Rates from Ireland Fedex Priort'!D58,1)+IF($A59="EU",Variables!$B$5,Variables!$B$2),'Rates from Ireland Fedex Priort'!D58)</f>
        <v>72</v>
      </c>
      <c r="E59" s="10">
        <f>IF(ISNUMBER('Rates from Ireland Fedex Priort'!E58),_xlfn.CEILING.MATH('Rates from Ireland Fedex Priort'!E58,1)+IF($A59="EU",Variables!$B$6,Variables!$B$3),'Rates from Ireland Fedex Priort'!E58)</f>
        <v>83</v>
      </c>
      <c r="F59" s="10">
        <f>IF(ISNUMBER('Rates from Ireland Fedex Priort'!F58),_xlfn.CEILING.MATH('Rates from Ireland Fedex Priort'!F58,1)+IF($A59="EU",Variables!$B$6,Variables!$B$3),'Rates from Ireland Fedex Priort'!F58)</f>
        <v>88</v>
      </c>
      <c r="G59" s="10">
        <f>IF(ISNUMBER('Rates from Ireland Fedex Priort'!G58),_xlfn.CEILING.MATH('Rates from Ireland Fedex Priort'!G58,1)+IF($A59="EU",Variables!$B$6,Variables!$B$3),'Rates from Ireland Fedex Priort'!G58)</f>
        <v>106</v>
      </c>
      <c r="H59" s="10">
        <f>IF(ISNUMBER('Rates from Ireland Fedex Priort'!H58),_xlfn.CEILING.MATH('Rates from Ireland Fedex Priort'!H58,1)+IF($A59="EU",Variables!$B$6,Variables!$B$3),'Rates from Ireland Fedex Priort'!H58)</f>
        <v>134</v>
      </c>
      <c r="I59" s="10">
        <f>IF(ISNUMBER('Rates from Ireland Fedex Priort'!I58),_xlfn.CEILING.MATH('Rates from Ireland Fedex Priort'!I58,1)+IF($A59="EU",Variables!$B$6,Variables!$B$3),'Rates from Ireland Fedex Priort'!I58)</f>
        <v>242</v>
      </c>
      <c r="J59" s="10" t="str">
        <f>IF(ISNUMBER('Rates from Ireland Fedex Priort'!J58),_xlfn.CEILING.MATH('Rates from Ireland Fedex Priort'!J58,1)+IF($A59="EU",Variables!$B$6,Variables!$B$3),'Rates from Ireland Fedex Priort'!J58)</f>
        <v>No service</v>
      </c>
      <c r="K59" s="10" t="str">
        <f>IF(ISNUMBER('Rates from Ireland Fedex Priort'!K58),_xlfn.CEILING.MATH('Rates from Ireland Fedex Priort'!K58,1)+IF($A59="EU",Variables!$B$6,Variables!$B$3),'Rates from Ireland Fedex Priort'!K58)</f>
        <v>No service</v>
      </c>
      <c r="L59" s="10" t="str">
        <f>IF(ISNUMBER('Rates from Ireland Fedex Priort'!L58),_xlfn.CEILING.MATH('Rates from Ireland Fedex Priort'!L58,1)+IF($A59="EU",Variables!$B$6,Variables!$B$3),'Rates from Ireland Fedex Priort'!L58)</f>
        <v>No service</v>
      </c>
      <c r="M59" s="10" t="str">
        <f>IF(ISNUMBER('Rates from Ireland Fedex Priort'!M58),_xlfn.CEILING.MATH('Rates from Ireland Fedex Priort'!M58,1)+IF($A59="EU",Variables!$B$6,Variables!$B$3),'Rates from Ireland Fedex Priort'!M58)</f>
        <v>No service</v>
      </c>
      <c r="N59" s="10" t="str">
        <f>IF(ISNUMBER('Rates from Ireland Fedex Priort'!N58),_xlfn.CEILING.MATH('Rates from Ireland Fedex Priort'!N58,1)+IF($A59="EU",Variables!$B$6,Variables!$B$3),'Rates from Ireland Fedex Priort'!N58)</f>
        <v>No service</v>
      </c>
      <c r="O59" s="11" t="s">
        <v>35</v>
      </c>
      <c r="P59" s="11" t="s">
        <v>36</v>
      </c>
      <c r="Q59" s="12">
        <v>80</v>
      </c>
      <c r="R59" s="11" t="s">
        <v>25</v>
      </c>
      <c r="S59" s="3" t="s">
        <v>26</v>
      </c>
      <c r="T59" s="38" t="s">
        <v>27</v>
      </c>
    </row>
    <row r="60" spans="1:20" ht="15.75" customHeight="1" x14ac:dyDescent="0.3">
      <c r="A60" s="39" t="str">
        <f>IF('Rates from Ireland Fedex Priort'!A59="","",'Rates from Ireland Fedex Priort'!A59)</f>
        <v>EU</v>
      </c>
      <c r="B60" s="8" t="str">
        <f>IF('Rates from Ireland Fedex Priort'!B59="","",'Rates from Ireland Fedex Priort'!B59)</f>
        <v>Ireland</v>
      </c>
      <c r="C60" s="9" t="str">
        <f>IF('Rates from Ireland Fedex Priort'!C59="","",'Rates from Ireland Fedex Priort'!C59)</f>
        <v>Dominica</v>
      </c>
      <c r="D60" s="10">
        <f>IF(ISNUMBER('Rates from Ireland Fedex Priort'!D59),_xlfn.CEILING.MATH('Rates from Ireland Fedex Priort'!D59,1)+IF($A60="EU",Variables!$B$5,Variables!$B$2),'Rates from Ireland Fedex Priort'!D59)</f>
        <v>68</v>
      </c>
      <c r="E60" s="10">
        <f>IF(ISNUMBER('Rates from Ireland Fedex Priort'!E59),_xlfn.CEILING.MATH('Rates from Ireland Fedex Priort'!E59,1)+IF($A60="EU",Variables!$B$6,Variables!$B$3),'Rates from Ireland Fedex Priort'!E59)</f>
        <v>77</v>
      </c>
      <c r="F60" s="10">
        <f>IF(ISNUMBER('Rates from Ireland Fedex Priort'!F59),_xlfn.CEILING.MATH('Rates from Ireland Fedex Priort'!F59,1)+IF($A60="EU",Variables!$B$6,Variables!$B$3),'Rates from Ireland Fedex Priort'!F59)</f>
        <v>81</v>
      </c>
      <c r="G60" s="10">
        <f>IF(ISNUMBER('Rates from Ireland Fedex Priort'!G59),_xlfn.CEILING.MATH('Rates from Ireland Fedex Priort'!G59,1)+IF($A60="EU",Variables!$B$6,Variables!$B$3),'Rates from Ireland Fedex Priort'!G59)</f>
        <v>96</v>
      </c>
      <c r="H60" s="10">
        <f>IF(ISNUMBER('Rates from Ireland Fedex Priort'!H59),_xlfn.CEILING.MATH('Rates from Ireland Fedex Priort'!H59,1)+IF($A60="EU",Variables!$B$6,Variables!$B$3),'Rates from Ireland Fedex Priort'!H59)</f>
        <v>117</v>
      </c>
      <c r="I60" s="10">
        <f>IF(ISNUMBER('Rates from Ireland Fedex Priort'!I59),_xlfn.CEILING.MATH('Rates from Ireland Fedex Priort'!I59,1)+IF($A60="EU",Variables!$B$6,Variables!$B$3),'Rates from Ireland Fedex Priort'!I59)</f>
        <v>219</v>
      </c>
      <c r="J60" s="10" t="str">
        <f>IF(ISNUMBER('Rates from Ireland Fedex Priort'!J59),_xlfn.CEILING.MATH('Rates from Ireland Fedex Priort'!J59,1)+IF($A60="EU",Variables!$B$6,Variables!$B$3),'Rates from Ireland Fedex Priort'!J59)</f>
        <v>No service</v>
      </c>
      <c r="K60" s="10" t="str">
        <f>IF(ISNUMBER('Rates from Ireland Fedex Priort'!K59),_xlfn.CEILING.MATH('Rates from Ireland Fedex Priort'!K59,1)+IF($A60="EU",Variables!$B$6,Variables!$B$3),'Rates from Ireland Fedex Priort'!K59)</f>
        <v>No service</v>
      </c>
      <c r="L60" s="10" t="str">
        <f>IF(ISNUMBER('Rates from Ireland Fedex Priort'!L59),_xlfn.CEILING.MATH('Rates from Ireland Fedex Priort'!L59,1)+IF($A60="EU",Variables!$B$6,Variables!$B$3),'Rates from Ireland Fedex Priort'!L59)</f>
        <v>No service</v>
      </c>
      <c r="M60" s="10" t="str">
        <f>IF(ISNUMBER('Rates from Ireland Fedex Priort'!M59),_xlfn.CEILING.MATH('Rates from Ireland Fedex Priort'!M59,1)+IF($A60="EU",Variables!$B$6,Variables!$B$3),'Rates from Ireland Fedex Priort'!M59)</f>
        <v>No service</v>
      </c>
      <c r="N60" s="10" t="str">
        <f>IF(ISNUMBER('Rates from Ireland Fedex Priort'!N59),_xlfn.CEILING.MATH('Rates from Ireland Fedex Priort'!N59,1)+IF($A60="EU",Variables!$B$6,Variables!$B$3),'Rates from Ireland Fedex Priort'!N59)</f>
        <v>No service</v>
      </c>
      <c r="O60" s="11" t="s">
        <v>41</v>
      </c>
      <c r="P60" s="11" t="s">
        <v>23</v>
      </c>
      <c r="Q60" s="12">
        <v>80</v>
      </c>
      <c r="R60" s="11" t="s">
        <v>25</v>
      </c>
      <c r="S60" s="3" t="s">
        <v>26</v>
      </c>
      <c r="T60" s="38" t="s">
        <v>27</v>
      </c>
    </row>
    <row r="61" spans="1:20" ht="15.75" customHeight="1" x14ac:dyDescent="0.3">
      <c r="A61" s="39" t="str">
        <f>IF('Rates from Ireland Fedex Priort'!A60="","",'Rates from Ireland Fedex Priort'!A60)</f>
        <v>EU</v>
      </c>
      <c r="B61" s="8" t="str">
        <f>IF('Rates from Ireland Fedex Priort'!B60="","",'Rates from Ireland Fedex Priort'!B60)</f>
        <v>Ireland</v>
      </c>
      <c r="C61" s="9" t="str">
        <f>IF('Rates from Ireland Fedex Priort'!C60="","",'Rates from Ireland Fedex Priort'!C60)</f>
        <v>Dominican Republic</v>
      </c>
      <c r="D61" s="10">
        <f>IF(ISNUMBER('Rates from Ireland Fedex Priort'!D60),_xlfn.CEILING.MATH('Rates from Ireland Fedex Priort'!D60,1)+IF($A61="EU",Variables!$B$5,Variables!$B$2),'Rates from Ireland Fedex Priort'!D60)</f>
        <v>68</v>
      </c>
      <c r="E61" s="10">
        <f>IF(ISNUMBER('Rates from Ireland Fedex Priort'!E60),_xlfn.CEILING.MATH('Rates from Ireland Fedex Priort'!E60,1)+IF($A61="EU",Variables!$B$6,Variables!$B$3),'Rates from Ireland Fedex Priort'!E60)</f>
        <v>77</v>
      </c>
      <c r="F61" s="10">
        <f>IF(ISNUMBER('Rates from Ireland Fedex Priort'!F60),_xlfn.CEILING.MATH('Rates from Ireland Fedex Priort'!F60,1)+IF($A61="EU",Variables!$B$6,Variables!$B$3),'Rates from Ireland Fedex Priort'!F60)</f>
        <v>81</v>
      </c>
      <c r="G61" s="10">
        <f>IF(ISNUMBER('Rates from Ireland Fedex Priort'!G60),_xlfn.CEILING.MATH('Rates from Ireland Fedex Priort'!G60,1)+IF($A61="EU",Variables!$B$6,Variables!$B$3),'Rates from Ireland Fedex Priort'!G60)</f>
        <v>96</v>
      </c>
      <c r="H61" s="10">
        <f>IF(ISNUMBER('Rates from Ireland Fedex Priort'!H60),_xlfn.CEILING.MATH('Rates from Ireland Fedex Priort'!H60,1)+IF($A61="EU",Variables!$B$6,Variables!$B$3),'Rates from Ireland Fedex Priort'!H60)</f>
        <v>117</v>
      </c>
      <c r="I61" s="10">
        <f>IF(ISNUMBER('Rates from Ireland Fedex Priort'!I60),_xlfn.CEILING.MATH('Rates from Ireland Fedex Priort'!I60,1)+IF($A61="EU",Variables!$B$6,Variables!$B$3),'Rates from Ireland Fedex Priort'!I60)</f>
        <v>219</v>
      </c>
      <c r="J61" s="10" t="str">
        <f>IF(ISNUMBER('Rates from Ireland Fedex Priort'!J60),_xlfn.CEILING.MATH('Rates from Ireland Fedex Priort'!J60,1)+IF($A61="EU",Variables!$B$6,Variables!$B$3),'Rates from Ireland Fedex Priort'!J60)</f>
        <v>No service</v>
      </c>
      <c r="K61" s="10" t="str">
        <f>IF(ISNUMBER('Rates from Ireland Fedex Priort'!K60),_xlfn.CEILING.MATH('Rates from Ireland Fedex Priort'!K60,1)+IF($A61="EU",Variables!$B$6,Variables!$B$3),'Rates from Ireland Fedex Priort'!K60)</f>
        <v>No service</v>
      </c>
      <c r="L61" s="10" t="str">
        <f>IF(ISNUMBER('Rates from Ireland Fedex Priort'!L60),_xlfn.CEILING.MATH('Rates from Ireland Fedex Priort'!L60,1)+IF($A61="EU",Variables!$B$6,Variables!$B$3),'Rates from Ireland Fedex Priort'!L60)</f>
        <v>No service</v>
      </c>
      <c r="M61" s="10" t="str">
        <f>IF(ISNUMBER('Rates from Ireland Fedex Priort'!M60),_xlfn.CEILING.MATH('Rates from Ireland Fedex Priort'!M60,1)+IF($A61="EU",Variables!$B$6,Variables!$B$3),'Rates from Ireland Fedex Priort'!M60)</f>
        <v>No service</v>
      </c>
      <c r="N61" s="10" t="str">
        <f>IF(ISNUMBER('Rates from Ireland Fedex Priort'!N60),_xlfn.CEILING.MATH('Rates from Ireland Fedex Priort'!N60,1)+IF($A61="EU",Variables!$B$6,Variables!$B$3),'Rates from Ireland Fedex Priort'!N60)</f>
        <v>No service</v>
      </c>
      <c r="O61" s="11" t="s">
        <v>41</v>
      </c>
      <c r="P61" s="11" t="s">
        <v>23</v>
      </c>
      <c r="Q61" s="12">
        <v>80</v>
      </c>
      <c r="R61" s="11" t="s">
        <v>25</v>
      </c>
      <c r="S61" s="3" t="s">
        <v>26</v>
      </c>
      <c r="T61" s="38" t="s">
        <v>27</v>
      </c>
    </row>
    <row r="62" spans="1:20" ht="15.75" customHeight="1" x14ac:dyDescent="0.3">
      <c r="A62" s="39" t="str">
        <f>IF('Rates from Ireland Fedex Priort'!A61="","",'Rates from Ireland Fedex Priort'!A61)</f>
        <v>EU</v>
      </c>
      <c r="B62" s="8" t="str">
        <f>IF('Rates from Ireland Fedex Priort'!B61="","",'Rates from Ireland Fedex Priort'!B61)</f>
        <v>Ireland</v>
      </c>
      <c r="C62" s="9" t="str">
        <f>IF('Rates from Ireland Fedex Priort'!C61="","",'Rates from Ireland Fedex Priort'!C61)</f>
        <v>DR Congo</v>
      </c>
      <c r="D62" s="10">
        <f>IF(ISNUMBER('Rates from Ireland Fedex Priort'!D61),_xlfn.CEILING.MATH('Rates from Ireland Fedex Priort'!D61,1)+IF($A62="EU",Variables!$B$5,Variables!$B$2),'Rates from Ireland Fedex Priort'!D61)</f>
        <v>72</v>
      </c>
      <c r="E62" s="10">
        <f>IF(ISNUMBER('Rates from Ireland Fedex Priort'!E61),_xlfn.CEILING.MATH('Rates from Ireland Fedex Priort'!E61,1)+IF($A62="EU",Variables!$B$6,Variables!$B$3),'Rates from Ireland Fedex Priort'!E61)</f>
        <v>83</v>
      </c>
      <c r="F62" s="10">
        <f>IF(ISNUMBER('Rates from Ireland Fedex Priort'!F61),_xlfn.CEILING.MATH('Rates from Ireland Fedex Priort'!F61,1)+IF($A62="EU",Variables!$B$6,Variables!$B$3),'Rates from Ireland Fedex Priort'!F61)</f>
        <v>88</v>
      </c>
      <c r="G62" s="10">
        <f>IF(ISNUMBER('Rates from Ireland Fedex Priort'!G61),_xlfn.CEILING.MATH('Rates from Ireland Fedex Priort'!G61,1)+IF($A62="EU",Variables!$B$6,Variables!$B$3),'Rates from Ireland Fedex Priort'!G61)</f>
        <v>106</v>
      </c>
      <c r="H62" s="10">
        <f>IF(ISNUMBER('Rates from Ireland Fedex Priort'!H61),_xlfn.CEILING.MATH('Rates from Ireland Fedex Priort'!H61,1)+IF($A62="EU",Variables!$B$6,Variables!$B$3),'Rates from Ireland Fedex Priort'!H61)</f>
        <v>134</v>
      </c>
      <c r="I62" s="10">
        <f>IF(ISNUMBER('Rates from Ireland Fedex Priort'!I61),_xlfn.CEILING.MATH('Rates from Ireland Fedex Priort'!I61,1)+IF($A62="EU",Variables!$B$6,Variables!$B$3),'Rates from Ireland Fedex Priort'!I61)</f>
        <v>242</v>
      </c>
      <c r="J62" s="10" t="str">
        <f>IF(ISNUMBER('Rates from Ireland Fedex Priort'!J61),_xlfn.CEILING.MATH('Rates from Ireland Fedex Priort'!J61,1)+IF($A62="EU",Variables!$B$6,Variables!$B$3),'Rates from Ireland Fedex Priort'!J61)</f>
        <v>No service</v>
      </c>
      <c r="K62" s="10" t="str">
        <f>IF(ISNUMBER('Rates from Ireland Fedex Priort'!K61),_xlfn.CEILING.MATH('Rates from Ireland Fedex Priort'!K61,1)+IF($A62="EU",Variables!$B$6,Variables!$B$3),'Rates from Ireland Fedex Priort'!K61)</f>
        <v>No service</v>
      </c>
      <c r="L62" s="10" t="str">
        <f>IF(ISNUMBER('Rates from Ireland Fedex Priort'!L61),_xlfn.CEILING.MATH('Rates from Ireland Fedex Priort'!L61,1)+IF($A62="EU",Variables!$B$6,Variables!$B$3),'Rates from Ireland Fedex Priort'!L61)</f>
        <v>No service</v>
      </c>
      <c r="M62" s="10" t="str">
        <f>IF(ISNUMBER('Rates from Ireland Fedex Priort'!M61),_xlfn.CEILING.MATH('Rates from Ireland Fedex Priort'!M61,1)+IF($A62="EU",Variables!$B$6,Variables!$B$3),'Rates from Ireland Fedex Priort'!M61)</f>
        <v>No service</v>
      </c>
      <c r="N62" s="10" t="str">
        <f>IF(ISNUMBER('Rates from Ireland Fedex Priort'!N61),_xlfn.CEILING.MATH('Rates from Ireland Fedex Priort'!N61,1)+IF($A62="EU",Variables!$B$6,Variables!$B$3),'Rates from Ireland Fedex Priort'!N61)</f>
        <v>No service</v>
      </c>
      <c r="O62" s="11" t="s">
        <v>35</v>
      </c>
      <c r="P62" s="11" t="s">
        <v>36</v>
      </c>
      <c r="Q62" s="12">
        <v>80</v>
      </c>
      <c r="R62" s="11" t="s">
        <v>25</v>
      </c>
      <c r="S62" s="3" t="s">
        <v>26</v>
      </c>
      <c r="T62" s="38" t="s">
        <v>27</v>
      </c>
    </row>
    <row r="63" spans="1:20" ht="15.75" customHeight="1" x14ac:dyDescent="0.3">
      <c r="A63" s="39" t="str">
        <f>IF('Rates from Ireland Fedex Priort'!A62="","",'Rates from Ireland Fedex Priort'!A62)</f>
        <v>EU</v>
      </c>
      <c r="B63" s="8" t="str">
        <f>IF('Rates from Ireland Fedex Priort'!B62="","",'Rates from Ireland Fedex Priort'!B62)</f>
        <v>Ireland</v>
      </c>
      <c r="C63" s="9" t="str">
        <f>IF('Rates from Ireland Fedex Priort'!C62="","",'Rates from Ireland Fedex Priort'!C62)</f>
        <v>East Timor</v>
      </c>
      <c r="D63" s="10" t="str">
        <f>IF(ISNUMBER('Rates from Ireland Fedex Priort'!D62),_xlfn.CEILING.MATH('Rates from Ireland Fedex Priort'!D62,1)+IF($A63="EU",Variables!$B$5,Variables!$B$2),'Rates from Ireland Fedex Priort'!D62)</f>
        <v>No service</v>
      </c>
      <c r="E63" s="10" t="str">
        <f>IF(ISNUMBER('Rates from Ireland Fedex Priort'!E62),_xlfn.CEILING.MATH('Rates from Ireland Fedex Priort'!E62,1)+IF($A63="EU",Variables!$B$6,Variables!$B$3),'Rates from Ireland Fedex Priort'!E62)</f>
        <v>No service</v>
      </c>
      <c r="F63" s="10" t="str">
        <f>IF(ISNUMBER('Rates from Ireland Fedex Priort'!F62),_xlfn.CEILING.MATH('Rates from Ireland Fedex Priort'!F62,1)+IF($A63="EU",Variables!$B$6,Variables!$B$3),'Rates from Ireland Fedex Priort'!F62)</f>
        <v>No service</v>
      </c>
      <c r="G63" s="10" t="str">
        <f>IF(ISNUMBER('Rates from Ireland Fedex Priort'!G62),_xlfn.CEILING.MATH('Rates from Ireland Fedex Priort'!G62,1)+IF($A63="EU",Variables!$B$6,Variables!$B$3),'Rates from Ireland Fedex Priort'!G62)</f>
        <v>No service</v>
      </c>
      <c r="H63" s="10" t="str">
        <f>IF(ISNUMBER('Rates from Ireland Fedex Priort'!H62),_xlfn.CEILING.MATH('Rates from Ireland Fedex Priort'!H62,1)+IF($A63="EU",Variables!$B$6,Variables!$B$3),'Rates from Ireland Fedex Priort'!H62)</f>
        <v>No service</v>
      </c>
      <c r="I63" s="10" t="str">
        <f>IF(ISNUMBER('Rates from Ireland Fedex Priort'!I62),_xlfn.CEILING.MATH('Rates from Ireland Fedex Priort'!I62,1)+IF($A63="EU",Variables!$B$6,Variables!$B$3),'Rates from Ireland Fedex Priort'!I62)</f>
        <v>No service</v>
      </c>
      <c r="J63" s="10" t="str">
        <f>IF(ISNUMBER('Rates from Ireland Fedex Priort'!J62),_xlfn.CEILING.MATH('Rates from Ireland Fedex Priort'!J62,1)+IF($A63="EU",Variables!$B$6,Variables!$B$3),'Rates from Ireland Fedex Priort'!J62)</f>
        <v>No service</v>
      </c>
      <c r="K63" s="10" t="str">
        <f>IF(ISNUMBER('Rates from Ireland Fedex Priort'!K62),_xlfn.CEILING.MATH('Rates from Ireland Fedex Priort'!K62,1)+IF($A63="EU",Variables!$B$6,Variables!$B$3),'Rates from Ireland Fedex Priort'!K62)</f>
        <v>No service</v>
      </c>
      <c r="L63" s="10" t="str">
        <f>IF(ISNUMBER('Rates from Ireland Fedex Priort'!L62),_xlfn.CEILING.MATH('Rates from Ireland Fedex Priort'!L62,1)+IF($A63="EU",Variables!$B$6,Variables!$B$3),'Rates from Ireland Fedex Priort'!L62)</f>
        <v>No service</v>
      </c>
      <c r="M63" s="10" t="str">
        <f>IF(ISNUMBER('Rates from Ireland Fedex Priort'!M62),_xlfn.CEILING.MATH('Rates from Ireland Fedex Priort'!M62,1)+IF($A63="EU",Variables!$B$6,Variables!$B$3),'Rates from Ireland Fedex Priort'!M62)</f>
        <v>No service</v>
      </c>
      <c r="N63" s="10" t="str">
        <f>IF(ISNUMBER('Rates from Ireland Fedex Priort'!N62),_xlfn.CEILING.MATH('Rates from Ireland Fedex Priort'!N62,1)+IF($A63="EU",Variables!$B$6,Variables!$B$3),'Rates from Ireland Fedex Priort'!N62)</f>
        <v>No service</v>
      </c>
      <c r="O63" s="11"/>
      <c r="P63" s="11"/>
      <c r="Q63" s="11"/>
      <c r="R63" s="11"/>
      <c r="S63" s="3" t="s">
        <v>26</v>
      </c>
      <c r="T63" s="38" t="s">
        <v>27</v>
      </c>
    </row>
    <row r="64" spans="1:20" ht="15.75" customHeight="1" x14ac:dyDescent="0.3">
      <c r="A64" s="39" t="str">
        <f>IF('Rates from Ireland Fedex Priort'!A63="","",'Rates from Ireland Fedex Priort'!A63)</f>
        <v>EU</v>
      </c>
      <c r="B64" s="8" t="str">
        <f>IF('Rates from Ireland Fedex Priort'!B63="","",'Rates from Ireland Fedex Priort'!B63)</f>
        <v>Ireland</v>
      </c>
      <c r="C64" s="9" t="str">
        <f>IF('Rates from Ireland Fedex Priort'!C63="","",'Rates from Ireland Fedex Priort'!C63)</f>
        <v>Ecuador</v>
      </c>
      <c r="D64" s="10" t="str">
        <f>IF(ISNUMBER('Rates from Ireland Fedex Priort'!D63),_xlfn.CEILING.MATH('Rates from Ireland Fedex Priort'!D63,1)+IF($A64="EU",Variables!$B$5,Variables!$B$2),'Rates from Ireland Fedex Priort'!D63)</f>
        <v>No service</v>
      </c>
      <c r="E64" s="10" t="str">
        <f>IF(ISNUMBER('Rates from Ireland Fedex Priort'!E63),_xlfn.CEILING.MATH('Rates from Ireland Fedex Priort'!E63,1)+IF($A64="EU",Variables!$B$6,Variables!$B$3),'Rates from Ireland Fedex Priort'!E63)</f>
        <v>No service</v>
      </c>
      <c r="F64" s="10" t="str">
        <f>IF(ISNUMBER('Rates from Ireland Fedex Priort'!F63),_xlfn.CEILING.MATH('Rates from Ireland Fedex Priort'!F63,1)+IF($A64="EU",Variables!$B$6,Variables!$B$3),'Rates from Ireland Fedex Priort'!F63)</f>
        <v>No service</v>
      </c>
      <c r="G64" s="10" t="str">
        <f>IF(ISNUMBER('Rates from Ireland Fedex Priort'!G63),_xlfn.CEILING.MATH('Rates from Ireland Fedex Priort'!G63,1)+IF($A64="EU",Variables!$B$6,Variables!$B$3),'Rates from Ireland Fedex Priort'!G63)</f>
        <v>No service</v>
      </c>
      <c r="H64" s="10" t="str">
        <f>IF(ISNUMBER('Rates from Ireland Fedex Priort'!H63),_xlfn.CEILING.MATH('Rates from Ireland Fedex Priort'!H63,1)+IF($A64="EU",Variables!$B$6,Variables!$B$3),'Rates from Ireland Fedex Priort'!H63)</f>
        <v>No service</v>
      </c>
      <c r="I64" s="10" t="str">
        <f>IF(ISNUMBER('Rates from Ireland Fedex Priort'!I63),_xlfn.CEILING.MATH('Rates from Ireland Fedex Priort'!I63,1)+IF($A64="EU",Variables!$B$6,Variables!$B$3),'Rates from Ireland Fedex Priort'!I63)</f>
        <v>No service</v>
      </c>
      <c r="J64" s="10" t="str">
        <f>IF(ISNUMBER('Rates from Ireland Fedex Priort'!J63),_xlfn.CEILING.MATH('Rates from Ireland Fedex Priort'!J63,1)+IF($A64="EU",Variables!$B$6,Variables!$B$3),'Rates from Ireland Fedex Priort'!J63)</f>
        <v>No service</v>
      </c>
      <c r="K64" s="10" t="str">
        <f>IF(ISNUMBER('Rates from Ireland Fedex Priort'!K63),_xlfn.CEILING.MATH('Rates from Ireland Fedex Priort'!K63,1)+IF($A64="EU",Variables!$B$6,Variables!$B$3),'Rates from Ireland Fedex Priort'!K63)</f>
        <v>No service</v>
      </c>
      <c r="L64" s="10" t="str">
        <f>IF(ISNUMBER('Rates from Ireland Fedex Priort'!L63),_xlfn.CEILING.MATH('Rates from Ireland Fedex Priort'!L63,1)+IF($A64="EU",Variables!$B$6,Variables!$B$3),'Rates from Ireland Fedex Priort'!L63)</f>
        <v>No service</v>
      </c>
      <c r="M64" s="10" t="str">
        <f>IF(ISNUMBER('Rates from Ireland Fedex Priort'!M63),_xlfn.CEILING.MATH('Rates from Ireland Fedex Priort'!M63,1)+IF($A64="EU",Variables!$B$6,Variables!$B$3),'Rates from Ireland Fedex Priort'!M63)</f>
        <v>No service</v>
      </c>
      <c r="N64" s="10" t="str">
        <f>IF(ISNUMBER('Rates from Ireland Fedex Priort'!N63),_xlfn.CEILING.MATH('Rates from Ireland Fedex Priort'!N63,1)+IF($A64="EU",Variables!$B$6,Variables!$B$3),'Rates from Ireland Fedex Priort'!N63)</f>
        <v>No service</v>
      </c>
      <c r="O64" s="11"/>
      <c r="P64" s="11"/>
      <c r="Q64" s="11"/>
      <c r="R64" s="11"/>
      <c r="S64" s="3" t="s">
        <v>26</v>
      </c>
      <c r="T64" s="38" t="s">
        <v>27</v>
      </c>
    </row>
    <row r="65" spans="1:20" ht="15.75" customHeight="1" x14ac:dyDescent="0.3">
      <c r="A65" s="39" t="str">
        <f>IF('Rates from Ireland Fedex Priort'!A64="","",'Rates from Ireland Fedex Priort'!A64)</f>
        <v>EU</v>
      </c>
      <c r="B65" s="8" t="str">
        <f>IF('Rates from Ireland Fedex Priort'!B64="","",'Rates from Ireland Fedex Priort'!B64)</f>
        <v>Ireland</v>
      </c>
      <c r="C65" s="9" t="str">
        <f>IF('Rates from Ireland Fedex Priort'!C64="","",'Rates from Ireland Fedex Priort'!C64)</f>
        <v>Egypt</v>
      </c>
      <c r="D65" s="10">
        <f>IF(ISNUMBER('Rates from Ireland Fedex Priort'!D64),_xlfn.CEILING.MATH('Rates from Ireland Fedex Priort'!D64,1)+IF($A65="EU",Variables!$B$5,Variables!$B$2),'Rates from Ireland Fedex Priort'!D64)</f>
        <v>62</v>
      </c>
      <c r="E65" s="10">
        <f>IF(ISNUMBER('Rates from Ireland Fedex Priort'!E64),_xlfn.CEILING.MATH('Rates from Ireland Fedex Priort'!E64,1)+IF($A65="EU",Variables!$B$6,Variables!$B$3),'Rates from Ireland Fedex Priort'!E64)</f>
        <v>69</v>
      </c>
      <c r="F65" s="10">
        <f>IF(ISNUMBER('Rates from Ireland Fedex Priort'!F64),_xlfn.CEILING.MATH('Rates from Ireland Fedex Priort'!F64,1)+IF($A65="EU",Variables!$B$6,Variables!$B$3),'Rates from Ireland Fedex Priort'!F64)</f>
        <v>72</v>
      </c>
      <c r="G65" s="10">
        <f>IF(ISNUMBER('Rates from Ireland Fedex Priort'!G64),_xlfn.CEILING.MATH('Rates from Ireland Fedex Priort'!G64,1)+IF($A65="EU",Variables!$B$6,Variables!$B$3),'Rates from Ireland Fedex Priort'!G64)</f>
        <v>86</v>
      </c>
      <c r="H65" s="10">
        <f>IF(ISNUMBER('Rates from Ireland Fedex Priort'!H64),_xlfn.CEILING.MATH('Rates from Ireland Fedex Priort'!H64,1)+IF($A65="EU",Variables!$B$6,Variables!$B$3),'Rates from Ireland Fedex Priort'!H64)</f>
        <v>111</v>
      </c>
      <c r="I65" s="10">
        <f>IF(ISNUMBER('Rates from Ireland Fedex Priort'!I64),_xlfn.CEILING.MATH('Rates from Ireland Fedex Priort'!I64,1)+IF($A65="EU",Variables!$B$6,Variables!$B$3),'Rates from Ireland Fedex Priort'!I64)</f>
        <v>174</v>
      </c>
      <c r="J65" s="10" t="str">
        <f>IF(ISNUMBER('Rates from Ireland Fedex Priort'!J64),_xlfn.CEILING.MATH('Rates from Ireland Fedex Priort'!J64,1)+IF($A65="EU",Variables!$B$6,Variables!$B$3),'Rates from Ireland Fedex Priort'!J64)</f>
        <v>No service</v>
      </c>
      <c r="K65" s="10" t="str">
        <f>IF(ISNUMBER('Rates from Ireland Fedex Priort'!K64),_xlfn.CEILING.MATH('Rates from Ireland Fedex Priort'!K64,1)+IF($A65="EU",Variables!$B$6,Variables!$B$3),'Rates from Ireland Fedex Priort'!K64)</f>
        <v>No service</v>
      </c>
      <c r="L65" s="10" t="str">
        <f>IF(ISNUMBER('Rates from Ireland Fedex Priort'!L64),_xlfn.CEILING.MATH('Rates from Ireland Fedex Priort'!L64,1)+IF($A65="EU",Variables!$B$6,Variables!$B$3),'Rates from Ireland Fedex Priort'!L64)</f>
        <v>No service</v>
      </c>
      <c r="M65" s="10" t="str">
        <f>IF(ISNUMBER('Rates from Ireland Fedex Priort'!M64),_xlfn.CEILING.MATH('Rates from Ireland Fedex Priort'!M64,1)+IF($A65="EU",Variables!$B$6,Variables!$B$3),'Rates from Ireland Fedex Priort'!M64)</f>
        <v>No service</v>
      </c>
      <c r="N65" s="10" t="str">
        <f>IF(ISNUMBER('Rates from Ireland Fedex Priort'!N64),_xlfn.CEILING.MATH('Rates from Ireland Fedex Priort'!N64,1)+IF($A65="EU",Variables!$B$6,Variables!$B$3),'Rates from Ireland Fedex Priort'!N64)</f>
        <v>No service</v>
      </c>
      <c r="O65" s="11" t="s">
        <v>29</v>
      </c>
      <c r="P65" s="11" t="s">
        <v>30</v>
      </c>
      <c r="Q65" s="12">
        <v>80</v>
      </c>
      <c r="R65" s="11" t="s">
        <v>25</v>
      </c>
      <c r="S65" s="3" t="s">
        <v>26</v>
      </c>
      <c r="T65" s="38" t="s">
        <v>27</v>
      </c>
    </row>
    <row r="66" spans="1:20" ht="15.75" customHeight="1" x14ac:dyDescent="0.3">
      <c r="A66" s="39" t="str">
        <f>IF('Rates from Ireland Fedex Priort'!A65="","",'Rates from Ireland Fedex Priort'!A65)</f>
        <v>EU</v>
      </c>
      <c r="B66" s="8" t="str">
        <f>IF('Rates from Ireland Fedex Priort'!B65="","",'Rates from Ireland Fedex Priort'!B65)</f>
        <v>Ireland</v>
      </c>
      <c r="C66" s="9" t="str">
        <f>IF('Rates from Ireland Fedex Priort'!C65="","",'Rates from Ireland Fedex Priort'!C65)</f>
        <v>El Salvador</v>
      </c>
      <c r="D66" s="10">
        <f>IF(ISNUMBER('Rates from Ireland Fedex Priort'!D65),_xlfn.CEILING.MATH('Rates from Ireland Fedex Priort'!D65,1)+IF($A66="EU",Variables!$B$5,Variables!$B$2),'Rates from Ireland Fedex Priort'!D65)</f>
        <v>68</v>
      </c>
      <c r="E66" s="10">
        <f>IF(ISNUMBER('Rates from Ireland Fedex Priort'!E65),_xlfn.CEILING.MATH('Rates from Ireland Fedex Priort'!E65,1)+IF($A66="EU",Variables!$B$6,Variables!$B$3),'Rates from Ireland Fedex Priort'!E65)</f>
        <v>77</v>
      </c>
      <c r="F66" s="10">
        <f>IF(ISNUMBER('Rates from Ireland Fedex Priort'!F65),_xlfn.CEILING.MATH('Rates from Ireland Fedex Priort'!F65,1)+IF($A66="EU",Variables!$B$6,Variables!$B$3),'Rates from Ireland Fedex Priort'!F65)</f>
        <v>81</v>
      </c>
      <c r="G66" s="10">
        <f>IF(ISNUMBER('Rates from Ireland Fedex Priort'!G65),_xlfn.CEILING.MATH('Rates from Ireland Fedex Priort'!G65,1)+IF($A66="EU",Variables!$B$6,Variables!$B$3),'Rates from Ireland Fedex Priort'!G65)</f>
        <v>96</v>
      </c>
      <c r="H66" s="10">
        <f>IF(ISNUMBER('Rates from Ireland Fedex Priort'!H65),_xlfn.CEILING.MATH('Rates from Ireland Fedex Priort'!H65,1)+IF($A66="EU",Variables!$B$6,Variables!$B$3),'Rates from Ireland Fedex Priort'!H65)</f>
        <v>117</v>
      </c>
      <c r="I66" s="10">
        <f>IF(ISNUMBER('Rates from Ireland Fedex Priort'!I65),_xlfn.CEILING.MATH('Rates from Ireland Fedex Priort'!I65,1)+IF($A66="EU",Variables!$B$6,Variables!$B$3),'Rates from Ireland Fedex Priort'!I65)</f>
        <v>219</v>
      </c>
      <c r="J66" s="10" t="str">
        <f>IF(ISNUMBER('Rates from Ireland Fedex Priort'!J65),_xlfn.CEILING.MATH('Rates from Ireland Fedex Priort'!J65,1)+IF($A66="EU",Variables!$B$6,Variables!$B$3),'Rates from Ireland Fedex Priort'!J65)</f>
        <v>No service</v>
      </c>
      <c r="K66" s="10" t="str">
        <f>IF(ISNUMBER('Rates from Ireland Fedex Priort'!K65),_xlfn.CEILING.MATH('Rates from Ireland Fedex Priort'!K65,1)+IF($A66="EU",Variables!$B$6,Variables!$B$3),'Rates from Ireland Fedex Priort'!K65)</f>
        <v>No service</v>
      </c>
      <c r="L66" s="10" t="str">
        <f>IF(ISNUMBER('Rates from Ireland Fedex Priort'!L65),_xlfn.CEILING.MATH('Rates from Ireland Fedex Priort'!L65,1)+IF($A66="EU",Variables!$B$6,Variables!$B$3),'Rates from Ireland Fedex Priort'!L65)</f>
        <v>No service</v>
      </c>
      <c r="M66" s="10" t="str">
        <f>IF(ISNUMBER('Rates from Ireland Fedex Priort'!M65),_xlfn.CEILING.MATH('Rates from Ireland Fedex Priort'!M65,1)+IF($A66="EU",Variables!$B$6,Variables!$B$3),'Rates from Ireland Fedex Priort'!M65)</f>
        <v>No service</v>
      </c>
      <c r="N66" s="10" t="str">
        <f>IF(ISNUMBER('Rates from Ireland Fedex Priort'!N65),_xlfn.CEILING.MATH('Rates from Ireland Fedex Priort'!N65,1)+IF($A66="EU",Variables!$B$6,Variables!$B$3),'Rates from Ireland Fedex Priort'!N65)</f>
        <v>No service</v>
      </c>
      <c r="O66" s="11" t="s">
        <v>41</v>
      </c>
      <c r="P66" s="11" t="s">
        <v>23</v>
      </c>
      <c r="Q66" s="12">
        <v>80</v>
      </c>
      <c r="R66" s="11" t="s">
        <v>25</v>
      </c>
      <c r="S66" s="3" t="s">
        <v>26</v>
      </c>
      <c r="T66" s="38" t="s">
        <v>27</v>
      </c>
    </row>
    <row r="67" spans="1:20" ht="15.75" customHeight="1" x14ac:dyDescent="0.3">
      <c r="A67" s="39" t="str">
        <f>IF('Rates from Ireland Fedex Priort'!A66="","",'Rates from Ireland Fedex Priort'!A66)</f>
        <v>EU</v>
      </c>
      <c r="B67" s="8" t="str">
        <f>IF('Rates from Ireland Fedex Priort'!B66="","",'Rates from Ireland Fedex Priort'!B66)</f>
        <v>Ireland</v>
      </c>
      <c r="C67" s="9" t="str">
        <f>IF('Rates from Ireland Fedex Priort'!C66="","",'Rates from Ireland Fedex Priort'!C66)</f>
        <v>Equatorial Guinea</v>
      </c>
      <c r="D67" s="10" t="str">
        <f>IF(ISNUMBER('Rates from Ireland Fedex Priort'!D66),_xlfn.CEILING.MATH('Rates from Ireland Fedex Priort'!D66,1)+IF($A67="EU",Variables!$B$5,Variables!$B$2),'Rates from Ireland Fedex Priort'!D66)</f>
        <v>No service</v>
      </c>
      <c r="E67" s="10" t="str">
        <f>IF(ISNUMBER('Rates from Ireland Fedex Priort'!E66),_xlfn.CEILING.MATH('Rates from Ireland Fedex Priort'!E66,1)+IF($A67="EU",Variables!$B$6,Variables!$B$3),'Rates from Ireland Fedex Priort'!E66)</f>
        <v>No service</v>
      </c>
      <c r="F67" s="10" t="str">
        <f>IF(ISNUMBER('Rates from Ireland Fedex Priort'!F66),_xlfn.CEILING.MATH('Rates from Ireland Fedex Priort'!F66,1)+IF($A67="EU",Variables!$B$6,Variables!$B$3),'Rates from Ireland Fedex Priort'!F66)</f>
        <v>No service</v>
      </c>
      <c r="G67" s="10" t="str">
        <f>IF(ISNUMBER('Rates from Ireland Fedex Priort'!G66),_xlfn.CEILING.MATH('Rates from Ireland Fedex Priort'!G66,1)+IF($A67="EU",Variables!$B$6,Variables!$B$3),'Rates from Ireland Fedex Priort'!G66)</f>
        <v>No service</v>
      </c>
      <c r="H67" s="10" t="str">
        <f>IF(ISNUMBER('Rates from Ireland Fedex Priort'!H66),_xlfn.CEILING.MATH('Rates from Ireland Fedex Priort'!H66,1)+IF($A67="EU",Variables!$B$6,Variables!$B$3),'Rates from Ireland Fedex Priort'!H66)</f>
        <v>No service</v>
      </c>
      <c r="I67" s="10" t="str">
        <f>IF(ISNUMBER('Rates from Ireland Fedex Priort'!I66),_xlfn.CEILING.MATH('Rates from Ireland Fedex Priort'!I66,1)+IF($A67="EU",Variables!$B$6,Variables!$B$3),'Rates from Ireland Fedex Priort'!I66)</f>
        <v>No service</v>
      </c>
      <c r="J67" s="10" t="str">
        <f>IF(ISNUMBER('Rates from Ireland Fedex Priort'!J66),_xlfn.CEILING.MATH('Rates from Ireland Fedex Priort'!J66,1)+IF($A67="EU",Variables!$B$6,Variables!$B$3),'Rates from Ireland Fedex Priort'!J66)</f>
        <v>No service</v>
      </c>
      <c r="K67" s="10" t="str">
        <f>IF(ISNUMBER('Rates from Ireland Fedex Priort'!K66),_xlfn.CEILING.MATH('Rates from Ireland Fedex Priort'!K66,1)+IF($A67="EU",Variables!$B$6,Variables!$B$3),'Rates from Ireland Fedex Priort'!K66)</f>
        <v>No service</v>
      </c>
      <c r="L67" s="10" t="str">
        <f>IF(ISNUMBER('Rates from Ireland Fedex Priort'!L66),_xlfn.CEILING.MATH('Rates from Ireland Fedex Priort'!L66,1)+IF($A67="EU",Variables!$B$6,Variables!$B$3),'Rates from Ireland Fedex Priort'!L66)</f>
        <v>No service</v>
      </c>
      <c r="M67" s="10" t="str">
        <f>IF(ISNUMBER('Rates from Ireland Fedex Priort'!M66),_xlfn.CEILING.MATH('Rates from Ireland Fedex Priort'!M66,1)+IF($A67="EU",Variables!$B$6,Variables!$B$3),'Rates from Ireland Fedex Priort'!M66)</f>
        <v>No service</v>
      </c>
      <c r="N67" s="10" t="str">
        <f>IF(ISNUMBER('Rates from Ireland Fedex Priort'!N66),_xlfn.CEILING.MATH('Rates from Ireland Fedex Priort'!N66,1)+IF($A67="EU",Variables!$B$6,Variables!$B$3),'Rates from Ireland Fedex Priort'!N66)</f>
        <v>No service</v>
      </c>
      <c r="O67" s="11"/>
      <c r="P67" s="11"/>
      <c r="Q67" s="11"/>
      <c r="R67" s="11"/>
      <c r="S67" s="3" t="s">
        <v>26</v>
      </c>
      <c r="T67" s="38" t="s">
        <v>27</v>
      </c>
    </row>
    <row r="68" spans="1:20" ht="15.75" customHeight="1" x14ac:dyDescent="0.3">
      <c r="A68" s="39" t="str">
        <f>IF('Rates from Ireland Fedex Priort'!A67="","",'Rates from Ireland Fedex Priort'!A67)</f>
        <v>EU</v>
      </c>
      <c r="B68" s="8" t="str">
        <f>IF('Rates from Ireland Fedex Priort'!B67="","",'Rates from Ireland Fedex Priort'!B67)</f>
        <v>Ireland</v>
      </c>
      <c r="C68" s="9" t="str">
        <f>IF('Rates from Ireland Fedex Priort'!C67="","",'Rates from Ireland Fedex Priort'!C67)</f>
        <v>Eritrea</v>
      </c>
      <c r="D68" s="10">
        <f>IF(ISNUMBER('Rates from Ireland Fedex Priort'!D67),_xlfn.CEILING.MATH('Rates from Ireland Fedex Priort'!D67,1)+IF($A68="EU",Variables!$B$5,Variables!$B$2),'Rates from Ireland Fedex Priort'!D67)</f>
        <v>72</v>
      </c>
      <c r="E68" s="10">
        <f>IF(ISNUMBER('Rates from Ireland Fedex Priort'!E67),_xlfn.CEILING.MATH('Rates from Ireland Fedex Priort'!E67,1)+IF($A68="EU",Variables!$B$6,Variables!$B$3),'Rates from Ireland Fedex Priort'!E67)</f>
        <v>83</v>
      </c>
      <c r="F68" s="10">
        <f>IF(ISNUMBER('Rates from Ireland Fedex Priort'!F67),_xlfn.CEILING.MATH('Rates from Ireland Fedex Priort'!F67,1)+IF($A68="EU",Variables!$B$6,Variables!$B$3),'Rates from Ireland Fedex Priort'!F67)</f>
        <v>88</v>
      </c>
      <c r="G68" s="10">
        <f>IF(ISNUMBER('Rates from Ireland Fedex Priort'!G67),_xlfn.CEILING.MATH('Rates from Ireland Fedex Priort'!G67,1)+IF($A68="EU",Variables!$B$6,Variables!$B$3),'Rates from Ireland Fedex Priort'!G67)</f>
        <v>106</v>
      </c>
      <c r="H68" s="10">
        <f>IF(ISNUMBER('Rates from Ireland Fedex Priort'!H67),_xlfn.CEILING.MATH('Rates from Ireland Fedex Priort'!H67,1)+IF($A68="EU",Variables!$B$6,Variables!$B$3),'Rates from Ireland Fedex Priort'!H67)</f>
        <v>134</v>
      </c>
      <c r="I68" s="10">
        <f>IF(ISNUMBER('Rates from Ireland Fedex Priort'!I67),_xlfn.CEILING.MATH('Rates from Ireland Fedex Priort'!I67,1)+IF($A68="EU",Variables!$B$6,Variables!$B$3),'Rates from Ireland Fedex Priort'!I67)</f>
        <v>242</v>
      </c>
      <c r="J68" s="10" t="str">
        <f>IF(ISNUMBER('Rates from Ireland Fedex Priort'!J67),_xlfn.CEILING.MATH('Rates from Ireland Fedex Priort'!J67,1)+IF($A68="EU",Variables!$B$6,Variables!$B$3),'Rates from Ireland Fedex Priort'!J67)</f>
        <v>No service</v>
      </c>
      <c r="K68" s="10" t="str">
        <f>IF(ISNUMBER('Rates from Ireland Fedex Priort'!K67),_xlfn.CEILING.MATH('Rates from Ireland Fedex Priort'!K67,1)+IF($A68="EU",Variables!$B$6,Variables!$B$3),'Rates from Ireland Fedex Priort'!K67)</f>
        <v>No service</v>
      </c>
      <c r="L68" s="10" t="str">
        <f>IF(ISNUMBER('Rates from Ireland Fedex Priort'!L67),_xlfn.CEILING.MATH('Rates from Ireland Fedex Priort'!L67,1)+IF($A68="EU",Variables!$B$6,Variables!$B$3),'Rates from Ireland Fedex Priort'!L67)</f>
        <v>No service</v>
      </c>
      <c r="M68" s="10" t="str">
        <f>IF(ISNUMBER('Rates from Ireland Fedex Priort'!M67),_xlfn.CEILING.MATH('Rates from Ireland Fedex Priort'!M67,1)+IF($A68="EU",Variables!$B$6,Variables!$B$3),'Rates from Ireland Fedex Priort'!M67)</f>
        <v>No service</v>
      </c>
      <c r="N68" s="10" t="str">
        <f>IF(ISNUMBER('Rates from Ireland Fedex Priort'!N67),_xlfn.CEILING.MATH('Rates from Ireland Fedex Priort'!N67,1)+IF($A68="EU",Variables!$B$6,Variables!$B$3),'Rates from Ireland Fedex Priort'!N67)</f>
        <v>No service</v>
      </c>
      <c r="O68" s="11" t="s">
        <v>35</v>
      </c>
      <c r="P68" s="11" t="s">
        <v>36</v>
      </c>
      <c r="Q68" s="12">
        <v>80</v>
      </c>
      <c r="R68" s="11" t="s">
        <v>25</v>
      </c>
      <c r="S68" s="3" t="s">
        <v>26</v>
      </c>
      <c r="T68" s="38" t="s">
        <v>27</v>
      </c>
    </row>
    <row r="69" spans="1:20" ht="15.75" customHeight="1" x14ac:dyDescent="0.3">
      <c r="A69" s="39" t="str">
        <f>IF('Rates from Ireland Fedex Priort'!A68="","",'Rates from Ireland Fedex Priort'!A68)</f>
        <v>EU</v>
      </c>
      <c r="B69" s="8" t="str">
        <f>IF('Rates from Ireland Fedex Priort'!B68="","",'Rates from Ireland Fedex Priort'!B68)</f>
        <v>Ireland</v>
      </c>
      <c r="C69" s="9" t="str">
        <f>IF('Rates from Ireland Fedex Priort'!C68="","",'Rates from Ireland Fedex Priort'!C68)</f>
        <v>Estonia</v>
      </c>
      <c r="D69" s="10">
        <f>IF(ISNUMBER('Rates from Ireland Fedex Priort'!D68),_xlfn.CEILING.MATH('Rates from Ireland Fedex Priort'!D68,1)+IF($A69="EU",Variables!$B$5,Variables!$B$2),'Rates from Ireland Fedex Priort'!D68)</f>
        <v>67</v>
      </c>
      <c r="E69" s="10">
        <f>IF(ISNUMBER('Rates from Ireland Fedex Priort'!E68),_xlfn.CEILING.MATH('Rates from Ireland Fedex Priort'!E68,1)+IF($A69="EU",Variables!$B$6,Variables!$B$3),'Rates from Ireland Fedex Priort'!E68)</f>
        <v>73</v>
      </c>
      <c r="F69" s="10">
        <f>IF(ISNUMBER('Rates from Ireland Fedex Priort'!F68),_xlfn.CEILING.MATH('Rates from Ireland Fedex Priort'!F68,1)+IF($A69="EU",Variables!$B$6,Variables!$B$3),'Rates from Ireland Fedex Priort'!F68)</f>
        <v>73</v>
      </c>
      <c r="G69" s="10">
        <f>IF(ISNUMBER('Rates from Ireland Fedex Priort'!G68),_xlfn.CEILING.MATH('Rates from Ireland Fedex Priort'!G68,1)+IF($A69="EU",Variables!$B$6,Variables!$B$3),'Rates from Ireland Fedex Priort'!G68)</f>
        <v>77</v>
      </c>
      <c r="H69" s="10">
        <f>IF(ISNUMBER('Rates from Ireland Fedex Priort'!H68),_xlfn.CEILING.MATH('Rates from Ireland Fedex Priort'!H68,1)+IF($A69="EU",Variables!$B$6,Variables!$B$3),'Rates from Ireland Fedex Priort'!H68)</f>
        <v>79</v>
      </c>
      <c r="I69" s="10">
        <f>IF(ISNUMBER('Rates from Ireland Fedex Priort'!I68),_xlfn.CEILING.MATH('Rates from Ireland Fedex Priort'!I68,1)+IF($A69="EU",Variables!$B$6,Variables!$B$3),'Rates from Ireland Fedex Priort'!I68)</f>
        <v>94</v>
      </c>
      <c r="J69" s="10">
        <f>IF(ISNUMBER('Rates from Ireland Fedex Priort'!J68),_xlfn.CEILING.MATH('Rates from Ireland Fedex Priort'!J68,1)+IF($A69="EU",Variables!$B$6,Variables!$B$3),'Rates from Ireland Fedex Priort'!J68)</f>
        <v>103</v>
      </c>
      <c r="K69" s="10">
        <f>IF(ISNUMBER('Rates from Ireland Fedex Priort'!K68),_xlfn.CEILING.MATH('Rates from Ireland Fedex Priort'!K68,1)+IF($A69="EU",Variables!$B$6,Variables!$B$3),'Rates from Ireland Fedex Priort'!K68)</f>
        <v>111</v>
      </c>
      <c r="L69" s="10">
        <f>IF(ISNUMBER('Rates from Ireland Fedex Priort'!L68),_xlfn.CEILING.MATH('Rates from Ireland Fedex Priort'!L68,1)+IF($A69="EU",Variables!$B$6,Variables!$B$3),'Rates from Ireland Fedex Priort'!L68)</f>
        <v>104</v>
      </c>
      <c r="M69" s="10">
        <f>IF(ISNUMBER('Rates from Ireland Fedex Priort'!M68),_xlfn.CEILING.MATH('Rates from Ireland Fedex Priort'!M68,1)+IF($A69="EU",Variables!$B$6,Variables!$B$3),'Rates from Ireland Fedex Priort'!M68)</f>
        <v>126</v>
      </c>
      <c r="N69" s="10">
        <f>IF(ISNUMBER('Rates from Ireland Fedex Priort'!N68),_xlfn.CEILING.MATH('Rates from Ireland Fedex Priort'!N68,1)+IF($A69="EU",Variables!$B$6,Variables!$B$3),'Rates from Ireland Fedex Priort'!N68)</f>
        <v>146</v>
      </c>
      <c r="O69" s="15" t="s">
        <v>29</v>
      </c>
      <c r="P69" s="15" t="s">
        <v>69</v>
      </c>
      <c r="Q69" s="16">
        <v>80</v>
      </c>
      <c r="R69" s="15" t="s">
        <v>25</v>
      </c>
      <c r="S69" s="17" t="s">
        <v>26</v>
      </c>
      <c r="T69" s="40" t="s">
        <v>27</v>
      </c>
    </row>
    <row r="70" spans="1:20" ht="15.75" customHeight="1" x14ac:dyDescent="0.3">
      <c r="A70" s="39" t="str">
        <f>IF('Rates from Ireland Fedex Priort'!A69="","",'Rates from Ireland Fedex Priort'!A69)</f>
        <v>EU</v>
      </c>
      <c r="B70" s="8" t="str">
        <f>IF('Rates from Ireland Fedex Priort'!B69="","",'Rates from Ireland Fedex Priort'!B69)</f>
        <v>Ireland</v>
      </c>
      <c r="C70" s="9" t="str">
        <f>IF('Rates from Ireland Fedex Priort'!C69="","",'Rates from Ireland Fedex Priort'!C69)</f>
        <v>Eswatini</v>
      </c>
      <c r="D70" s="10">
        <f>IF(ISNUMBER('Rates from Ireland Fedex Priort'!D69),_xlfn.CEILING.MATH('Rates from Ireland Fedex Priort'!D69,1)+IF($A70="EU",Variables!$B$5,Variables!$B$2),'Rates from Ireland Fedex Priort'!D69)</f>
        <v>72</v>
      </c>
      <c r="E70" s="10">
        <f>IF(ISNUMBER('Rates from Ireland Fedex Priort'!E69),_xlfn.CEILING.MATH('Rates from Ireland Fedex Priort'!E69,1)+IF($A70="EU",Variables!$B$6,Variables!$B$3),'Rates from Ireland Fedex Priort'!E69)</f>
        <v>83</v>
      </c>
      <c r="F70" s="10">
        <f>IF(ISNUMBER('Rates from Ireland Fedex Priort'!F69),_xlfn.CEILING.MATH('Rates from Ireland Fedex Priort'!F69,1)+IF($A70="EU",Variables!$B$6,Variables!$B$3),'Rates from Ireland Fedex Priort'!F69)</f>
        <v>88</v>
      </c>
      <c r="G70" s="10">
        <f>IF(ISNUMBER('Rates from Ireland Fedex Priort'!G69),_xlfn.CEILING.MATH('Rates from Ireland Fedex Priort'!G69,1)+IF($A70="EU",Variables!$B$6,Variables!$B$3),'Rates from Ireland Fedex Priort'!G69)</f>
        <v>106</v>
      </c>
      <c r="H70" s="10">
        <f>IF(ISNUMBER('Rates from Ireland Fedex Priort'!H69),_xlfn.CEILING.MATH('Rates from Ireland Fedex Priort'!H69,1)+IF($A70="EU",Variables!$B$6,Variables!$B$3),'Rates from Ireland Fedex Priort'!H69)</f>
        <v>134</v>
      </c>
      <c r="I70" s="10">
        <f>IF(ISNUMBER('Rates from Ireland Fedex Priort'!I69),_xlfn.CEILING.MATH('Rates from Ireland Fedex Priort'!I69,1)+IF($A70="EU",Variables!$B$6,Variables!$B$3),'Rates from Ireland Fedex Priort'!I69)</f>
        <v>242</v>
      </c>
      <c r="J70" s="10" t="str">
        <f>IF(ISNUMBER('Rates from Ireland Fedex Priort'!J69),_xlfn.CEILING.MATH('Rates from Ireland Fedex Priort'!J69,1)+IF($A70="EU",Variables!$B$6,Variables!$B$3),'Rates from Ireland Fedex Priort'!J69)</f>
        <v>No service</v>
      </c>
      <c r="K70" s="10" t="str">
        <f>IF(ISNUMBER('Rates from Ireland Fedex Priort'!K69),_xlfn.CEILING.MATH('Rates from Ireland Fedex Priort'!K69,1)+IF($A70="EU",Variables!$B$6,Variables!$B$3),'Rates from Ireland Fedex Priort'!K69)</f>
        <v>No service</v>
      </c>
      <c r="L70" s="10" t="str">
        <f>IF(ISNUMBER('Rates from Ireland Fedex Priort'!L69),_xlfn.CEILING.MATH('Rates from Ireland Fedex Priort'!L69,1)+IF($A70="EU",Variables!$B$6,Variables!$B$3),'Rates from Ireland Fedex Priort'!L69)</f>
        <v>No service</v>
      </c>
      <c r="M70" s="10" t="str">
        <f>IF(ISNUMBER('Rates from Ireland Fedex Priort'!M69),_xlfn.CEILING.MATH('Rates from Ireland Fedex Priort'!M69,1)+IF($A70="EU",Variables!$B$6,Variables!$B$3),'Rates from Ireland Fedex Priort'!M69)</f>
        <v>No service</v>
      </c>
      <c r="N70" s="10" t="str">
        <f>IF(ISNUMBER('Rates from Ireland Fedex Priort'!N69),_xlfn.CEILING.MATH('Rates from Ireland Fedex Priort'!N69,1)+IF($A70="EU",Variables!$B$6,Variables!$B$3),'Rates from Ireland Fedex Priort'!N69)</f>
        <v>No service</v>
      </c>
      <c r="O70" s="11" t="s">
        <v>35</v>
      </c>
      <c r="P70" s="11" t="s">
        <v>36</v>
      </c>
      <c r="Q70" s="12">
        <v>80</v>
      </c>
      <c r="R70" s="11" t="s">
        <v>25</v>
      </c>
      <c r="S70" s="3" t="s">
        <v>26</v>
      </c>
      <c r="T70" s="38" t="s">
        <v>27</v>
      </c>
    </row>
    <row r="71" spans="1:20" ht="15.75" customHeight="1" x14ac:dyDescent="0.3">
      <c r="A71" s="39" t="str">
        <f>IF('Rates from Ireland Fedex Priort'!A70="","",'Rates from Ireland Fedex Priort'!A70)</f>
        <v>EU</v>
      </c>
      <c r="B71" s="8" t="str">
        <f>IF('Rates from Ireland Fedex Priort'!B70="","",'Rates from Ireland Fedex Priort'!B70)</f>
        <v>Ireland</v>
      </c>
      <c r="C71" s="9" t="str">
        <f>IF('Rates from Ireland Fedex Priort'!C70="","",'Rates from Ireland Fedex Priort'!C70)</f>
        <v>Ethiopia</v>
      </c>
      <c r="D71" s="10">
        <f>IF(ISNUMBER('Rates from Ireland Fedex Priort'!D70),_xlfn.CEILING.MATH('Rates from Ireland Fedex Priort'!D70,1)+IF($A71="EU",Variables!$B$5,Variables!$B$2),'Rates from Ireland Fedex Priort'!D70)</f>
        <v>72</v>
      </c>
      <c r="E71" s="10">
        <f>IF(ISNUMBER('Rates from Ireland Fedex Priort'!E70),_xlfn.CEILING.MATH('Rates from Ireland Fedex Priort'!E70,1)+IF($A71="EU",Variables!$B$6,Variables!$B$3),'Rates from Ireland Fedex Priort'!E70)</f>
        <v>83</v>
      </c>
      <c r="F71" s="10">
        <f>IF(ISNUMBER('Rates from Ireland Fedex Priort'!F70),_xlfn.CEILING.MATH('Rates from Ireland Fedex Priort'!F70,1)+IF($A71="EU",Variables!$B$6,Variables!$B$3),'Rates from Ireland Fedex Priort'!F70)</f>
        <v>88</v>
      </c>
      <c r="G71" s="10">
        <f>IF(ISNUMBER('Rates from Ireland Fedex Priort'!G70),_xlfn.CEILING.MATH('Rates from Ireland Fedex Priort'!G70,1)+IF($A71="EU",Variables!$B$6,Variables!$B$3),'Rates from Ireland Fedex Priort'!G70)</f>
        <v>106</v>
      </c>
      <c r="H71" s="10">
        <f>IF(ISNUMBER('Rates from Ireland Fedex Priort'!H70),_xlfn.CEILING.MATH('Rates from Ireland Fedex Priort'!H70,1)+IF($A71="EU",Variables!$B$6,Variables!$B$3),'Rates from Ireland Fedex Priort'!H70)</f>
        <v>134</v>
      </c>
      <c r="I71" s="10">
        <f>IF(ISNUMBER('Rates from Ireland Fedex Priort'!I70),_xlfn.CEILING.MATH('Rates from Ireland Fedex Priort'!I70,1)+IF($A71="EU",Variables!$B$6,Variables!$B$3),'Rates from Ireland Fedex Priort'!I70)</f>
        <v>242</v>
      </c>
      <c r="J71" s="10" t="str">
        <f>IF(ISNUMBER('Rates from Ireland Fedex Priort'!J70),_xlfn.CEILING.MATH('Rates from Ireland Fedex Priort'!J70,1)+IF($A71="EU",Variables!$B$6,Variables!$B$3),'Rates from Ireland Fedex Priort'!J70)</f>
        <v>No service</v>
      </c>
      <c r="K71" s="10" t="str">
        <f>IF(ISNUMBER('Rates from Ireland Fedex Priort'!K70),_xlfn.CEILING.MATH('Rates from Ireland Fedex Priort'!K70,1)+IF($A71="EU",Variables!$B$6,Variables!$B$3),'Rates from Ireland Fedex Priort'!K70)</f>
        <v>No service</v>
      </c>
      <c r="L71" s="10" t="str">
        <f>IF(ISNUMBER('Rates from Ireland Fedex Priort'!L70),_xlfn.CEILING.MATH('Rates from Ireland Fedex Priort'!L70,1)+IF($A71="EU",Variables!$B$6,Variables!$B$3),'Rates from Ireland Fedex Priort'!L70)</f>
        <v>No service</v>
      </c>
      <c r="M71" s="10" t="str">
        <f>IF(ISNUMBER('Rates from Ireland Fedex Priort'!M70),_xlfn.CEILING.MATH('Rates from Ireland Fedex Priort'!M70,1)+IF($A71="EU",Variables!$B$6,Variables!$B$3),'Rates from Ireland Fedex Priort'!M70)</f>
        <v>No service</v>
      </c>
      <c r="N71" s="10" t="str">
        <f>IF(ISNUMBER('Rates from Ireland Fedex Priort'!N70),_xlfn.CEILING.MATH('Rates from Ireland Fedex Priort'!N70,1)+IF($A71="EU",Variables!$B$6,Variables!$B$3),'Rates from Ireland Fedex Priort'!N70)</f>
        <v>No service</v>
      </c>
      <c r="O71" s="11" t="s">
        <v>35</v>
      </c>
      <c r="P71" s="11" t="s">
        <v>36</v>
      </c>
      <c r="Q71" s="12">
        <v>80</v>
      </c>
      <c r="R71" s="11" t="s">
        <v>25</v>
      </c>
      <c r="S71" s="3" t="s">
        <v>26</v>
      </c>
      <c r="T71" s="38" t="s">
        <v>27</v>
      </c>
    </row>
    <row r="72" spans="1:20" ht="15.75" customHeight="1" x14ac:dyDescent="0.3">
      <c r="A72" s="39" t="str">
        <f>IF('Rates from Ireland Fedex Priort'!A71="","",'Rates from Ireland Fedex Priort'!A71)</f>
        <v>EU</v>
      </c>
      <c r="B72" s="8" t="str">
        <f>IF('Rates from Ireland Fedex Priort'!B71="","",'Rates from Ireland Fedex Priort'!B71)</f>
        <v>Ireland</v>
      </c>
      <c r="C72" s="9" t="str">
        <f>IF('Rates from Ireland Fedex Priort'!C71="","",'Rates from Ireland Fedex Priort'!C71)</f>
        <v xml:space="preserve">Falkland Islands </v>
      </c>
      <c r="D72" s="10" t="str">
        <f>IF(ISNUMBER('Rates from Ireland Fedex Priort'!D71),_xlfn.CEILING.MATH('Rates from Ireland Fedex Priort'!D71,1)+IF($A72="EU",Variables!$B$5,Variables!$B$2),'Rates from Ireland Fedex Priort'!D71)</f>
        <v>No service</v>
      </c>
      <c r="E72" s="10" t="str">
        <f>IF(ISNUMBER('Rates from Ireland Fedex Priort'!E71),_xlfn.CEILING.MATH('Rates from Ireland Fedex Priort'!E71,1)+IF($A72="EU",Variables!$B$6,Variables!$B$3),'Rates from Ireland Fedex Priort'!E71)</f>
        <v>No service</v>
      </c>
      <c r="F72" s="10" t="str">
        <f>IF(ISNUMBER('Rates from Ireland Fedex Priort'!F71),_xlfn.CEILING.MATH('Rates from Ireland Fedex Priort'!F71,1)+IF($A72="EU",Variables!$B$6,Variables!$B$3),'Rates from Ireland Fedex Priort'!F71)</f>
        <v>No service</v>
      </c>
      <c r="G72" s="10" t="str">
        <f>IF(ISNUMBER('Rates from Ireland Fedex Priort'!G71),_xlfn.CEILING.MATH('Rates from Ireland Fedex Priort'!G71,1)+IF($A72="EU",Variables!$B$6,Variables!$B$3),'Rates from Ireland Fedex Priort'!G71)</f>
        <v>No service</v>
      </c>
      <c r="H72" s="10" t="str">
        <f>IF(ISNUMBER('Rates from Ireland Fedex Priort'!H71),_xlfn.CEILING.MATH('Rates from Ireland Fedex Priort'!H71,1)+IF($A72="EU",Variables!$B$6,Variables!$B$3),'Rates from Ireland Fedex Priort'!H71)</f>
        <v>No service</v>
      </c>
      <c r="I72" s="10" t="str">
        <f>IF(ISNUMBER('Rates from Ireland Fedex Priort'!I71),_xlfn.CEILING.MATH('Rates from Ireland Fedex Priort'!I71,1)+IF($A72="EU",Variables!$B$6,Variables!$B$3),'Rates from Ireland Fedex Priort'!I71)</f>
        <v>No service</v>
      </c>
      <c r="J72" s="10" t="str">
        <f>IF(ISNUMBER('Rates from Ireland Fedex Priort'!J71),_xlfn.CEILING.MATH('Rates from Ireland Fedex Priort'!J71,1)+IF($A72="EU",Variables!$B$6,Variables!$B$3),'Rates from Ireland Fedex Priort'!J71)</f>
        <v>No service</v>
      </c>
      <c r="K72" s="10" t="str">
        <f>IF(ISNUMBER('Rates from Ireland Fedex Priort'!K71),_xlfn.CEILING.MATH('Rates from Ireland Fedex Priort'!K71,1)+IF($A72="EU",Variables!$B$6,Variables!$B$3),'Rates from Ireland Fedex Priort'!K71)</f>
        <v>No service</v>
      </c>
      <c r="L72" s="10" t="str">
        <f>IF(ISNUMBER('Rates from Ireland Fedex Priort'!L71),_xlfn.CEILING.MATH('Rates from Ireland Fedex Priort'!L71,1)+IF($A72="EU",Variables!$B$6,Variables!$B$3),'Rates from Ireland Fedex Priort'!L71)</f>
        <v>No service</v>
      </c>
      <c r="M72" s="10" t="str">
        <f>IF(ISNUMBER('Rates from Ireland Fedex Priort'!M71),_xlfn.CEILING.MATH('Rates from Ireland Fedex Priort'!M71,1)+IF($A72="EU",Variables!$B$6,Variables!$B$3),'Rates from Ireland Fedex Priort'!M71)</f>
        <v>No service</v>
      </c>
      <c r="N72" s="10" t="str">
        <f>IF(ISNUMBER('Rates from Ireland Fedex Priort'!N71),_xlfn.CEILING.MATH('Rates from Ireland Fedex Priort'!N71,1)+IF($A72="EU",Variables!$B$6,Variables!$B$3),'Rates from Ireland Fedex Priort'!N71)</f>
        <v>No service</v>
      </c>
      <c r="O72" s="11"/>
      <c r="P72" s="11"/>
      <c r="Q72" s="11"/>
      <c r="R72" s="11"/>
      <c r="S72" s="3" t="s">
        <v>26</v>
      </c>
      <c r="T72" s="38" t="s">
        <v>27</v>
      </c>
    </row>
    <row r="73" spans="1:20" ht="15.75" customHeight="1" x14ac:dyDescent="0.3">
      <c r="A73" s="39" t="str">
        <f>IF('Rates from Ireland Fedex Priort'!A72="","",'Rates from Ireland Fedex Priort'!A72)</f>
        <v>EU</v>
      </c>
      <c r="B73" s="8" t="str">
        <f>IF('Rates from Ireland Fedex Priort'!B72="","",'Rates from Ireland Fedex Priort'!B72)</f>
        <v>Ireland</v>
      </c>
      <c r="C73" s="9" t="str">
        <f>IF('Rates from Ireland Fedex Priort'!C72="","",'Rates from Ireland Fedex Priort'!C72)</f>
        <v>Faroe Islands (Denmark)</v>
      </c>
      <c r="D73" s="10">
        <f>IF(ISNUMBER('Rates from Ireland Fedex Priort'!D72),_xlfn.CEILING.MATH('Rates from Ireland Fedex Priort'!D72,1)+IF($A73="EU",Variables!$B$5,Variables!$B$2),'Rates from Ireland Fedex Priort'!D72)</f>
        <v>58</v>
      </c>
      <c r="E73" s="10">
        <f>IF(ISNUMBER('Rates from Ireland Fedex Priort'!E72),_xlfn.CEILING.MATH('Rates from Ireland Fedex Priort'!E72,1)+IF($A73="EU",Variables!$B$6,Variables!$B$3),'Rates from Ireland Fedex Priort'!E72)</f>
        <v>65</v>
      </c>
      <c r="F73" s="10">
        <f>IF(ISNUMBER('Rates from Ireland Fedex Priort'!F72),_xlfn.CEILING.MATH('Rates from Ireland Fedex Priort'!F72,1)+IF($A73="EU",Variables!$B$6,Variables!$B$3),'Rates from Ireland Fedex Priort'!F72)</f>
        <v>65</v>
      </c>
      <c r="G73" s="10">
        <f>IF(ISNUMBER('Rates from Ireland Fedex Priort'!G72),_xlfn.CEILING.MATH('Rates from Ireland Fedex Priort'!G72,1)+IF($A73="EU",Variables!$B$6,Variables!$B$3),'Rates from Ireland Fedex Priort'!G72)</f>
        <v>68</v>
      </c>
      <c r="H73" s="10">
        <f>IF(ISNUMBER('Rates from Ireland Fedex Priort'!H72),_xlfn.CEILING.MATH('Rates from Ireland Fedex Priort'!H72,1)+IF($A73="EU",Variables!$B$6,Variables!$B$3),'Rates from Ireland Fedex Priort'!H72)</f>
        <v>74</v>
      </c>
      <c r="I73" s="10">
        <f>IF(ISNUMBER('Rates from Ireland Fedex Priort'!I72),_xlfn.CEILING.MATH('Rates from Ireland Fedex Priort'!I72,1)+IF($A73="EU",Variables!$B$6,Variables!$B$3),'Rates from Ireland Fedex Priort'!I72)</f>
        <v>81</v>
      </c>
      <c r="J73" s="10">
        <f>IF(ISNUMBER('Rates from Ireland Fedex Priort'!J72),_xlfn.CEILING.MATH('Rates from Ireland Fedex Priort'!J72,1)+IF($A73="EU",Variables!$B$6,Variables!$B$3),'Rates from Ireland Fedex Priort'!J72)</f>
        <v>87</v>
      </c>
      <c r="K73" s="10">
        <f>IF(ISNUMBER('Rates from Ireland Fedex Priort'!K72),_xlfn.CEILING.MATH('Rates from Ireland Fedex Priort'!K72,1)+IF($A73="EU",Variables!$B$6,Variables!$B$3),'Rates from Ireland Fedex Priort'!K72)</f>
        <v>93</v>
      </c>
      <c r="L73" s="10">
        <f>IF(ISNUMBER('Rates from Ireland Fedex Priort'!L72),_xlfn.CEILING.MATH('Rates from Ireland Fedex Priort'!L72,1)+IF($A73="EU",Variables!$B$6,Variables!$B$3),'Rates from Ireland Fedex Priort'!L72)</f>
        <v>99</v>
      </c>
      <c r="M73" s="10">
        <f>IF(ISNUMBER('Rates from Ireland Fedex Priort'!M72),_xlfn.CEILING.MATH('Rates from Ireland Fedex Priort'!M72,1)+IF($A73="EU",Variables!$B$6,Variables!$B$3),'Rates from Ireland Fedex Priort'!M72)</f>
        <v>112</v>
      </c>
      <c r="N73" s="10">
        <f>IF(ISNUMBER('Rates from Ireland Fedex Priort'!N72),_xlfn.CEILING.MATH('Rates from Ireland Fedex Priort'!N72,1)+IF($A73="EU",Variables!$B$6,Variables!$B$3),'Rates from Ireland Fedex Priort'!N72)</f>
        <v>127</v>
      </c>
      <c r="O73" s="15" t="s">
        <v>29</v>
      </c>
      <c r="P73" s="15" t="s">
        <v>33</v>
      </c>
      <c r="Q73" s="16">
        <v>80</v>
      </c>
      <c r="R73" s="15" t="s">
        <v>25</v>
      </c>
      <c r="S73" s="17" t="s">
        <v>26</v>
      </c>
      <c r="T73" s="40" t="s">
        <v>27</v>
      </c>
    </row>
    <row r="74" spans="1:20" ht="15.75" customHeight="1" x14ac:dyDescent="0.3">
      <c r="A74" s="39" t="str">
        <f>IF('Rates from Ireland Fedex Priort'!A73="","",'Rates from Ireland Fedex Priort'!A73)</f>
        <v>EU</v>
      </c>
      <c r="B74" s="8" t="str">
        <f>IF('Rates from Ireland Fedex Priort'!B73="","",'Rates from Ireland Fedex Priort'!B73)</f>
        <v>Ireland</v>
      </c>
      <c r="C74" s="9" t="str">
        <f>IF('Rates from Ireland Fedex Priort'!C73="","",'Rates from Ireland Fedex Priort'!C73)</f>
        <v>Fiji</v>
      </c>
      <c r="D74" s="10">
        <f>IF(ISNUMBER('Rates from Ireland Fedex Priort'!D73),_xlfn.CEILING.MATH('Rates from Ireland Fedex Priort'!D73,1)+IF($A74="EU",Variables!$B$5,Variables!$B$2),'Rates from Ireland Fedex Priort'!D73)</f>
        <v>72</v>
      </c>
      <c r="E74" s="10">
        <f>IF(ISNUMBER('Rates from Ireland Fedex Priort'!E73),_xlfn.CEILING.MATH('Rates from Ireland Fedex Priort'!E73,1)+IF($A74="EU",Variables!$B$6,Variables!$B$3),'Rates from Ireland Fedex Priort'!E73)</f>
        <v>83</v>
      </c>
      <c r="F74" s="10">
        <f>IF(ISNUMBER('Rates from Ireland Fedex Priort'!F73),_xlfn.CEILING.MATH('Rates from Ireland Fedex Priort'!F73,1)+IF($A74="EU",Variables!$B$6,Variables!$B$3),'Rates from Ireland Fedex Priort'!F73)</f>
        <v>88</v>
      </c>
      <c r="G74" s="10">
        <f>IF(ISNUMBER('Rates from Ireland Fedex Priort'!G73),_xlfn.CEILING.MATH('Rates from Ireland Fedex Priort'!G73,1)+IF($A74="EU",Variables!$B$6,Variables!$B$3),'Rates from Ireland Fedex Priort'!G73)</f>
        <v>106</v>
      </c>
      <c r="H74" s="10">
        <f>IF(ISNUMBER('Rates from Ireland Fedex Priort'!H73),_xlfn.CEILING.MATH('Rates from Ireland Fedex Priort'!H73,1)+IF($A74="EU",Variables!$B$6,Variables!$B$3),'Rates from Ireland Fedex Priort'!H73)</f>
        <v>134</v>
      </c>
      <c r="I74" s="10">
        <f>IF(ISNUMBER('Rates from Ireland Fedex Priort'!I73),_xlfn.CEILING.MATH('Rates from Ireland Fedex Priort'!I73,1)+IF($A74="EU",Variables!$B$6,Variables!$B$3),'Rates from Ireland Fedex Priort'!I73)</f>
        <v>242</v>
      </c>
      <c r="J74" s="10" t="str">
        <f>IF(ISNUMBER('Rates from Ireland Fedex Priort'!J73),_xlfn.CEILING.MATH('Rates from Ireland Fedex Priort'!J73,1)+IF($A74="EU",Variables!$B$6,Variables!$B$3),'Rates from Ireland Fedex Priort'!J73)</f>
        <v>No service</v>
      </c>
      <c r="K74" s="10" t="str">
        <f>IF(ISNUMBER('Rates from Ireland Fedex Priort'!K73),_xlfn.CEILING.MATH('Rates from Ireland Fedex Priort'!K73,1)+IF($A74="EU",Variables!$B$6,Variables!$B$3),'Rates from Ireland Fedex Priort'!K73)</f>
        <v>No service</v>
      </c>
      <c r="L74" s="10" t="str">
        <f>IF(ISNUMBER('Rates from Ireland Fedex Priort'!L73),_xlfn.CEILING.MATH('Rates from Ireland Fedex Priort'!L73,1)+IF($A74="EU",Variables!$B$6,Variables!$B$3),'Rates from Ireland Fedex Priort'!L73)</f>
        <v>No service</v>
      </c>
      <c r="M74" s="10" t="str">
        <f>IF(ISNUMBER('Rates from Ireland Fedex Priort'!M73),_xlfn.CEILING.MATH('Rates from Ireland Fedex Priort'!M73,1)+IF($A74="EU",Variables!$B$6,Variables!$B$3),'Rates from Ireland Fedex Priort'!M73)</f>
        <v>No service</v>
      </c>
      <c r="N74" s="10" t="str">
        <f>IF(ISNUMBER('Rates from Ireland Fedex Priort'!N73),_xlfn.CEILING.MATH('Rates from Ireland Fedex Priort'!N73,1)+IF($A74="EU",Variables!$B$6,Variables!$B$3),'Rates from Ireland Fedex Priort'!N73)</f>
        <v>No service</v>
      </c>
      <c r="O74" s="11" t="s">
        <v>35</v>
      </c>
      <c r="P74" s="11" t="s">
        <v>36</v>
      </c>
      <c r="Q74" s="12">
        <v>80</v>
      </c>
      <c r="R74" s="11" t="s">
        <v>25</v>
      </c>
      <c r="S74" s="3" t="s">
        <v>26</v>
      </c>
      <c r="T74" s="38" t="s">
        <v>27</v>
      </c>
    </row>
    <row r="75" spans="1:20" ht="15.75" customHeight="1" x14ac:dyDescent="0.3">
      <c r="A75" s="39" t="str">
        <f>IF('Rates from Ireland Fedex Priort'!A74="","",'Rates from Ireland Fedex Priort'!A74)</f>
        <v>EU</v>
      </c>
      <c r="B75" s="8" t="str">
        <f>IF('Rates from Ireland Fedex Priort'!B74="","",'Rates from Ireland Fedex Priort'!B74)</f>
        <v>Ireland</v>
      </c>
      <c r="C75" s="9" t="str">
        <f>IF('Rates from Ireland Fedex Priort'!C74="","",'Rates from Ireland Fedex Priort'!C74)</f>
        <v>Finland</v>
      </c>
      <c r="D75" s="10">
        <f>IF(ISNUMBER('Rates from Ireland Fedex Priort'!D74),_xlfn.CEILING.MATH('Rates from Ireland Fedex Priort'!D74,1)+IF($A75="EU",Variables!$B$5,Variables!$B$2),'Rates from Ireland Fedex Priort'!D74)</f>
        <v>62</v>
      </c>
      <c r="E75" s="10">
        <f>IF(ISNUMBER('Rates from Ireland Fedex Priort'!E74),_xlfn.CEILING.MATH('Rates from Ireland Fedex Priort'!E74,1)+IF($A75="EU",Variables!$B$6,Variables!$B$3),'Rates from Ireland Fedex Priort'!E74)</f>
        <v>65</v>
      </c>
      <c r="F75" s="10">
        <f>IF(ISNUMBER('Rates from Ireland Fedex Priort'!F74),_xlfn.CEILING.MATH('Rates from Ireland Fedex Priort'!F74,1)+IF($A75="EU",Variables!$B$6,Variables!$B$3),'Rates from Ireland Fedex Priort'!F74)</f>
        <v>65</v>
      </c>
      <c r="G75" s="10">
        <f>IF(ISNUMBER('Rates from Ireland Fedex Priort'!G74),_xlfn.CEILING.MATH('Rates from Ireland Fedex Priort'!G74,1)+IF($A75="EU",Variables!$B$6,Variables!$B$3),'Rates from Ireland Fedex Priort'!G74)</f>
        <v>68</v>
      </c>
      <c r="H75" s="10">
        <f>IF(ISNUMBER('Rates from Ireland Fedex Priort'!H74),_xlfn.CEILING.MATH('Rates from Ireland Fedex Priort'!H74,1)+IF($A75="EU",Variables!$B$6,Variables!$B$3),'Rates from Ireland Fedex Priort'!H74)</f>
        <v>74</v>
      </c>
      <c r="I75" s="10">
        <f>IF(ISNUMBER('Rates from Ireland Fedex Priort'!I74),_xlfn.CEILING.MATH('Rates from Ireland Fedex Priort'!I74,1)+IF($A75="EU",Variables!$B$6,Variables!$B$3),'Rates from Ireland Fedex Priort'!I74)</f>
        <v>81</v>
      </c>
      <c r="J75" s="10">
        <f>IF(ISNUMBER('Rates from Ireland Fedex Priort'!J74),_xlfn.CEILING.MATH('Rates from Ireland Fedex Priort'!J74,1)+IF($A75="EU",Variables!$B$6,Variables!$B$3),'Rates from Ireland Fedex Priort'!J74)</f>
        <v>87</v>
      </c>
      <c r="K75" s="10">
        <f>IF(ISNUMBER('Rates from Ireland Fedex Priort'!K74),_xlfn.CEILING.MATH('Rates from Ireland Fedex Priort'!K74,1)+IF($A75="EU",Variables!$B$6,Variables!$B$3),'Rates from Ireland Fedex Priort'!K74)</f>
        <v>93</v>
      </c>
      <c r="L75" s="10">
        <f>IF(ISNUMBER('Rates from Ireland Fedex Priort'!L74),_xlfn.CEILING.MATH('Rates from Ireland Fedex Priort'!L74,1)+IF($A75="EU",Variables!$B$6,Variables!$B$3),'Rates from Ireland Fedex Priort'!L74)</f>
        <v>99</v>
      </c>
      <c r="M75" s="10">
        <f>IF(ISNUMBER('Rates from Ireland Fedex Priort'!M74),_xlfn.CEILING.MATH('Rates from Ireland Fedex Priort'!M74,1)+IF($A75="EU",Variables!$B$6,Variables!$B$3),'Rates from Ireland Fedex Priort'!M74)</f>
        <v>112</v>
      </c>
      <c r="N75" s="10">
        <f>IF(ISNUMBER('Rates from Ireland Fedex Priort'!N74),_xlfn.CEILING.MATH('Rates from Ireland Fedex Priort'!N74,1)+IF($A75="EU",Variables!$B$6,Variables!$B$3),'Rates from Ireland Fedex Priort'!N74)</f>
        <v>127</v>
      </c>
      <c r="O75" s="15" t="s">
        <v>29</v>
      </c>
      <c r="P75" s="15" t="s">
        <v>33</v>
      </c>
      <c r="Q75" s="16">
        <v>80</v>
      </c>
      <c r="R75" s="15" t="s">
        <v>25</v>
      </c>
      <c r="S75" s="17" t="s">
        <v>26</v>
      </c>
      <c r="T75" s="40" t="s">
        <v>27</v>
      </c>
    </row>
    <row r="76" spans="1:20" ht="15.75" customHeight="1" x14ac:dyDescent="0.3">
      <c r="A76" s="39" t="str">
        <f>IF('Rates from Ireland Fedex Priort'!A75="","",'Rates from Ireland Fedex Priort'!A75)</f>
        <v>EU</v>
      </c>
      <c r="B76" s="8" t="str">
        <f>IF('Rates from Ireland Fedex Priort'!B75="","",'Rates from Ireland Fedex Priort'!B75)</f>
        <v>Ireland</v>
      </c>
      <c r="C76" s="9" t="str">
        <f>IF('Rates from Ireland Fedex Priort'!C75="","",'Rates from Ireland Fedex Priort'!C75)</f>
        <v>France</v>
      </c>
      <c r="D76" s="10">
        <f>IF(ISNUMBER('Rates from Ireland Fedex Priort'!D75),_xlfn.CEILING.MATH('Rates from Ireland Fedex Priort'!D75,1)+IF($A76="EU",Variables!$B$5,Variables!$B$2),'Rates from Ireland Fedex Priort'!D75)</f>
        <v>62</v>
      </c>
      <c r="E76" s="10">
        <f>IF(ISNUMBER('Rates from Ireland Fedex Priort'!E75),_xlfn.CEILING.MATH('Rates from Ireland Fedex Priort'!E75,1)+IF($A76="EU",Variables!$B$6,Variables!$B$3),'Rates from Ireland Fedex Priort'!E75)</f>
        <v>64</v>
      </c>
      <c r="F76" s="10">
        <f>IF(ISNUMBER('Rates from Ireland Fedex Priort'!F75),_xlfn.CEILING.MATH('Rates from Ireland Fedex Priort'!F75,1)+IF($A76="EU",Variables!$B$6,Variables!$B$3),'Rates from Ireland Fedex Priort'!F75)</f>
        <v>67</v>
      </c>
      <c r="G76" s="10">
        <f>IF(ISNUMBER('Rates from Ireland Fedex Priort'!G75),_xlfn.CEILING.MATH('Rates from Ireland Fedex Priort'!G75,1)+IF($A76="EU",Variables!$B$6,Variables!$B$3),'Rates from Ireland Fedex Priort'!G75)</f>
        <v>69</v>
      </c>
      <c r="H76" s="10">
        <f>IF(ISNUMBER('Rates from Ireland Fedex Priort'!H75),_xlfn.CEILING.MATH('Rates from Ireland Fedex Priort'!H75,1)+IF($A76="EU",Variables!$B$6,Variables!$B$3),'Rates from Ireland Fedex Priort'!H75)</f>
        <v>72</v>
      </c>
      <c r="I76" s="10">
        <f>IF(ISNUMBER('Rates from Ireland Fedex Priort'!I75),_xlfn.CEILING.MATH('Rates from Ireland Fedex Priort'!I75,1)+IF($A76="EU",Variables!$B$6,Variables!$B$3),'Rates from Ireland Fedex Priort'!I75)</f>
        <v>77</v>
      </c>
      <c r="J76" s="10">
        <f>IF(ISNUMBER('Rates from Ireland Fedex Priort'!J75),_xlfn.CEILING.MATH('Rates from Ireland Fedex Priort'!J75,1)+IF($A76="EU",Variables!$B$6,Variables!$B$3),'Rates from Ireland Fedex Priort'!J75)</f>
        <v>85</v>
      </c>
      <c r="K76" s="10">
        <f>IF(ISNUMBER('Rates from Ireland Fedex Priort'!K75),_xlfn.CEILING.MATH('Rates from Ireland Fedex Priort'!K75,1)+IF($A76="EU",Variables!$B$6,Variables!$B$3),'Rates from Ireland Fedex Priort'!K75)</f>
        <v>92</v>
      </c>
      <c r="L76" s="10">
        <f>IF(ISNUMBER('Rates from Ireland Fedex Priort'!L75),_xlfn.CEILING.MATH('Rates from Ireland Fedex Priort'!L75,1)+IF($A76="EU",Variables!$B$6,Variables!$B$3),'Rates from Ireland Fedex Priort'!L75)</f>
        <v>119</v>
      </c>
      <c r="M76" s="10">
        <f>IF(ISNUMBER('Rates from Ireland Fedex Priort'!M75),_xlfn.CEILING.MATH('Rates from Ireland Fedex Priort'!M75,1)+IF($A76="EU",Variables!$B$6,Variables!$B$3),'Rates from Ireland Fedex Priort'!M75)</f>
        <v>127</v>
      </c>
      <c r="N76" s="10">
        <f>IF(ISNUMBER('Rates from Ireland Fedex Priort'!N75),_xlfn.CEILING.MATH('Rates from Ireland Fedex Priort'!N75,1)+IF($A76="EU",Variables!$B$6,Variables!$B$3),'Rates from Ireland Fedex Priort'!N75)</f>
        <v>132</v>
      </c>
      <c r="O76" s="15" t="s">
        <v>29</v>
      </c>
      <c r="P76" s="15" t="s">
        <v>33</v>
      </c>
      <c r="Q76" s="16">
        <v>80</v>
      </c>
      <c r="R76" s="15" t="s">
        <v>25</v>
      </c>
      <c r="S76" s="17" t="s">
        <v>26</v>
      </c>
      <c r="T76" s="40" t="s">
        <v>27</v>
      </c>
    </row>
    <row r="77" spans="1:20" ht="15.75" customHeight="1" x14ac:dyDescent="0.3">
      <c r="A77" s="39" t="str">
        <f>IF('Rates from Ireland Fedex Priort'!A76="","",'Rates from Ireland Fedex Priort'!A76)</f>
        <v>EU</v>
      </c>
      <c r="B77" s="8" t="str">
        <f>IF('Rates from Ireland Fedex Priort'!B76="","",'Rates from Ireland Fedex Priort'!B76)</f>
        <v>Ireland</v>
      </c>
      <c r="C77" s="9" t="str">
        <f>IF('Rates from Ireland Fedex Priort'!C76="","",'Rates from Ireland Fedex Priort'!C76)</f>
        <v>French Guiana (France)</v>
      </c>
      <c r="D77" s="10">
        <f>IF(ISNUMBER('Rates from Ireland Fedex Priort'!D76),_xlfn.CEILING.MATH('Rates from Ireland Fedex Priort'!D76,1)+IF($A77="EU",Variables!$B$5,Variables!$B$2),'Rates from Ireland Fedex Priort'!D76)</f>
        <v>68</v>
      </c>
      <c r="E77" s="10">
        <f>IF(ISNUMBER('Rates from Ireland Fedex Priort'!E76),_xlfn.CEILING.MATH('Rates from Ireland Fedex Priort'!E76,1)+IF($A77="EU",Variables!$B$6,Variables!$B$3),'Rates from Ireland Fedex Priort'!E76)</f>
        <v>77</v>
      </c>
      <c r="F77" s="10">
        <f>IF(ISNUMBER('Rates from Ireland Fedex Priort'!F76),_xlfn.CEILING.MATH('Rates from Ireland Fedex Priort'!F76,1)+IF($A77="EU",Variables!$B$6,Variables!$B$3),'Rates from Ireland Fedex Priort'!F76)</f>
        <v>81</v>
      </c>
      <c r="G77" s="10">
        <f>IF(ISNUMBER('Rates from Ireland Fedex Priort'!G76),_xlfn.CEILING.MATH('Rates from Ireland Fedex Priort'!G76,1)+IF($A77="EU",Variables!$B$6,Variables!$B$3),'Rates from Ireland Fedex Priort'!G76)</f>
        <v>96</v>
      </c>
      <c r="H77" s="10">
        <f>IF(ISNUMBER('Rates from Ireland Fedex Priort'!H76),_xlfn.CEILING.MATH('Rates from Ireland Fedex Priort'!H76,1)+IF($A77="EU",Variables!$B$6,Variables!$B$3),'Rates from Ireland Fedex Priort'!H76)</f>
        <v>117</v>
      </c>
      <c r="I77" s="10">
        <f>IF(ISNUMBER('Rates from Ireland Fedex Priort'!I76),_xlfn.CEILING.MATH('Rates from Ireland Fedex Priort'!I76,1)+IF($A77="EU",Variables!$B$6,Variables!$B$3),'Rates from Ireland Fedex Priort'!I76)</f>
        <v>219</v>
      </c>
      <c r="J77" s="10" t="str">
        <f>IF(ISNUMBER('Rates from Ireland Fedex Priort'!J76),_xlfn.CEILING.MATH('Rates from Ireland Fedex Priort'!J76,1)+IF($A77="EU",Variables!$B$6,Variables!$B$3),'Rates from Ireland Fedex Priort'!J76)</f>
        <v>No service</v>
      </c>
      <c r="K77" s="10" t="str">
        <f>IF(ISNUMBER('Rates from Ireland Fedex Priort'!K76),_xlfn.CEILING.MATH('Rates from Ireland Fedex Priort'!K76,1)+IF($A77="EU",Variables!$B$6,Variables!$B$3),'Rates from Ireland Fedex Priort'!K76)</f>
        <v>No service</v>
      </c>
      <c r="L77" s="10" t="str">
        <f>IF(ISNUMBER('Rates from Ireland Fedex Priort'!L76),_xlfn.CEILING.MATH('Rates from Ireland Fedex Priort'!L76,1)+IF($A77="EU",Variables!$B$6,Variables!$B$3),'Rates from Ireland Fedex Priort'!L76)</f>
        <v>No service</v>
      </c>
      <c r="M77" s="10" t="str">
        <f>IF(ISNUMBER('Rates from Ireland Fedex Priort'!M76),_xlfn.CEILING.MATH('Rates from Ireland Fedex Priort'!M76,1)+IF($A77="EU",Variables!$B$6,Variables!$B$3),'Rates from Ireland Fedex Priort'!M76)</f>
        <v>No service</v>
      </c>
      <c r="N77" s="10" t="str">
        <f>IF(ISNUMBER('Rates from Ireland Fedex Priort'!N76),_xlfn.CEILING.MATH('Rates from Ireland Fedex Priort'!N76,1)+IF($A77="EU",Variables!$B$6,Variables!$B$3),'Rates from Ireland Fedex Priort'!N76)</f>
        <v>No service</v>
      </c>
      <c r="O77" s="11" t="s">
        <v>41</v>
      </c>
      <c r="P77" s="11" t="s">
        <v>23</v>
      </c>
      <c r="Q77" s="12">
        <v>80</v>
      </c>
      <c r="R77" s="11" t="s">
        <v>25</v>
      </c>
      <c r="S77" s="3" t="s">
        <v>26</v>
      </c>
      <c r="T77" s="38" t="s">
        <v>27</v>
      </c>
    </row>
    <row r="78" spans="1:20" ht="15.75" customHeight="1" x14ac:dyDescent="0.3">
      <c r="A78" s="39" t="str">
        <f>IF('Rates from Ireland Fedex Priort'!A77="","",'Rates from Ireland Fedex Priort'!A77)</f>
        <v>EU</v>
      </c>
      <c r="B78" s="8" t="str">
        <f>IF('Rates from Ireland Fedex Priort'!B77="","",'Rates from Ireland Fedex Priort'!B77)</f>
        <v>Ireland</v>
      </c>
      <c r="C78" s="9" t="str">
        <f>IF('Rates from Ireland Fedex Priort'!C77="","",'Rates from Ireland Fedex Priort'!C77)</f>
        <v>French Polynesia (France)</v>
      </c>
      <c r="D78" s="10">
        <f>IF(ISNUMBER('Rates from Ireland Fedex Priort'!D77),_xlfn.CEILING.MATH('Rates from Ireland Fedex Priort'!D77,1)+IF($A78="EU",Variables!$B$5,Variables!$B$2),'Rates from Ireland Fedex Priort'!D77)</f>
        <v>68</v>
      </c>
      <c r="E78" s="10">
        <f>IF(ISNUMBER('Rates from Ireland Fedex Priort'!E77),_xlfn.CEILING.MATH('Rates from Ireland Fedex Priort'!E77,1)+IF($A78="EU",Variables!$B$6,Variables!$B$3),'Rates from Ireland Fedex Priort'!E77)</f>
        <v>77</v>
      </c>
      <c r="F78" s="10">
        <f>IF(ISNUMBER('Rates from Ireland Fedex Priort'!F77),_xlfn.CEILING.MATH('Rates from Ireland Fedex Priort'!F77,1)+IF($A78="EU",Variables!$B$6,Variables!$B$3),'Rates from Ireland Fedex Priort'!F77)</f>
        <v>81</v>
      </c>
      <c r="G78" s="10">
        <f>IF(ISNUMBER('Rates from Ireland Fedex Priort'!G77),_xlfn.CEILING.MATH('Rates from Ireland Fedex Priort'!G77,1)+IF($A78="EU",Variables!$B$6,Variables!$B$3),'Rates from Ireland Fedex Priort'!G77)</f>
        <v>96</v>
      </c>
      <c r="H78" s="10">
        <f>IF(ISNUMBER('Rates from Ireland Fedex Priort'!H77),_xlfn.CEILING.MATH('Rates from Ireland Fedex Priort'!H77,1)+IF($A78="EU",Variables!$B$6,Variables!$B$3),'Rates from Ireland Fedex Priort'!H77)</f>
        <v>117</v>
      </c>
      <c r="I78" s="10">
        <f>IF(ISNUMBER('Rates from Ireland Fedex Priort'!I77),_xlfn.CEILING.MATH('Rates from Ireland Fedex Priort'!I77,1)+IF($A78="EU",Variables!$B$6,Variables!$B$3),'Rates from Ireland Fedex Priort'!I77)</f>
        <v>219</v>
      </c>
      <c r="J78" s="10" t="str">
        <f>IF(ISNUMBER('Rates from Ireland Fedex Priort'!J77),_xlfn.CEILING.MATH('Rates from Ireland Fedex Priort'!J77,1)+IF($A78="EU",Variables!$B$6,Variables!$B$3),'Rates from Ireland Fedex Priort'!J77)</f>
        <v>No service</v>
      </c>
      <c r="K78" s="10" t="str">
        <f>IF(ISNUMBER('Rates from Ireland Fedex Priort'!K77),_xlfn.CEILING.MATH('Rates from Ireland Fedex Priort'!K77,1)+IF($A78="EU",Variables!$B$6,Variables!$B$3),'Rates from Ireland Fedex Priort'!K77)</f>
        <v>No service</v>
      </c>
      <c r="L78" s="10" t="str">
        <f>IF(ISNUMBER('Rates from Ireland Fedex Priort'!L77),_xlfn.CEILING.MATH('Rates from Ireland Fedex Priort'!L77,1)+IF($A78="EU",Variables!$B$6,Variables!$B$3),'Rates from Ireland Fedex Priort'!L77)</f>
        <v>No service</v>
      </c>
      <c r="M78" s="10" t="str">
        <f>IF(ISNUMBER('Rates from Ireland Fedex Priort'!M77),_xlfn.CEILING.MATH('Rates from Ireland Fedex Priort'!M77,1)+IF($A78="EU",Variables!$B$6,Variables!$B$3),'Rates from Ireland Fedex Priort'!M77)</f>
        <v>No service</v>
      </c>
      <c r="N78" s="10" t="str">
        <f>IF(ISNUMBER('Rates from Ireland Fedex Priort'!N77),_xlfn.CEILING.MATH('Rates from Ireland Fedex Priort'!N77,1)+IF($A78="EU",Variables!$B$6,Variables!$B$3),'Rates from Ireland Fedex Priort'!N77)</f>
        <v>No service</v>
      </c>
      <c r="O78" s="11" t="s">
        <v>41</v>
      </c>
      <c r="P78" s="11" t="s">
        <v>23</v>
      </c>
      <c r="Q78" s="12">
        <v>80</v>
      </c>
      <c r="R78" s="11" t="s">
        <v>25</v>
      </c>
      <c r="S78" s="3" t="s">
        <v>26</v>
      </c>
      <c r="T78" s="38" t="s">
        <v>27</v>
      </c>
    </row>
    <row r="79" spans="1:20" ht="15.75" customHeight="1" x14ac:dyDescent="0.3">
      <c r="A79" s="39" t="str">
        <f>IF('Rates from Ireland Fedex Priort'!A78="","",'Rates from Ireland Fedex Priort'!A78)</f>
        <v>EU</v>
      </c>
      <c r="B79" s="8" t="str">
        <f>IF('Rates from Ireland Fedex Priort'!B78="","",'Rates from Ireland Fedex Priort'!B78)</f>
        <v>Ireland</v>
      </c>
      <c r="C79" s="9" t="str">
        <f>IF('Rates from Ireland Fedex Priort'!C78="","",'Rates from Ireland Fedex Priort'!C78)</f>
        <v>Gabon</v>
      </c>
      <c r="D79" s="10">
        <f>IF(ISNUMBER('Rates from Ireland Fedex Priort'!D78),_xlfn.CEILING.MATH('Rates from Ireland Fedex Priort'!D78,1)+IF($A79="EU",Variables!$B$5,Variables!$B$2),'Rates from Ireland Fedex Priort'!D78)</f>
        <v>72</v>
      </c>
      <c r="E79" s="10">
        <f>IF(ISNUMBER('Rates from Ireland Fedex Priort'!E78),_xlfn.CEILING.MATH('Rates from Ireland Fedex Priort'!E78,1)+IF($A79="EU",Variables!$B$6,Variables!$B$3),'Rates from Ireland Fedex Priort'!E78)</f>
        <v>83</v>
      </c>
      <c r="F79" s="10">
        <f>IF(ISNUMBER('Rates from Ireland Fedex Priort'!F78),_xlfn.CEILING.MATH('Rates from Ireland Fedex Priort'!F78,1)+IF($A79="EU",Variables!$B$6,Variables!$B$3),'Rates from Ireland Fedex Priort'!F78)</f>
        <v>88</v>
      </c>
      <c r="G79" s="10">
        <f>IF(ISNUMBER('Rates from Ireland Fedex Priort'!G78),_xlfn.CEILING.MATH('Rates from Ireland Fedex Priort'!G78,1)+IF($A79="EU",Variables!$B$6,Variables!$B$3),'Rates from Ireland Fedex Priort'!G78)</f>
        <v>106</v>
      </c>
      <c r="H79" s="10">
        <f>IF(ISNUMBER('Rates from Ireland Fedex Priort'!H78),_xlfn.CEILING.MATH('Rates from Ireland Fedex Priort'!H78,1)+IF($A79="EU",Variables!$B$6,Variables!$B$3),'Rates from Ireland Fedex Priort'!H78)</f>
        <v>134</v>
      </c>
      <c r="I79" s="10">
        <f>IF(ISNUMBER('Rates from Ireland Fedex Priort'!I78),_xlfn.CEILING.MATH('Rates from Ireland Fedex Priort'!I78,1)+IF($A79="EU",Variables!$B$6,Variables!$B$3),'Rates from Ireland Fedex Priort'!I78)</f>
        <v>242</v>
      </c>
      <c r="J79" s="10" t="str">
        <f>IF(ISNUMBER('Rates from Ireland Fedex Priort'!J78),_xlfn.CEILING.MATH('Rates from Ireland Fedex Priort'!J78,1)+IF($A79="EU",Variables!$B$6,Variables!$B$3),'Rates from Ireland Fedex Priort'!J78)</f>
        <v>No service</v>
      </c>
      <c r="K79" s="10" t="str">
        <f>IF(ISNUMBER('Rates from Ireland Fedex Priort'!K78),_xlfn.CEILING.MATH('Rates from Ireland Fedex Priort'!K78,1)+IF($A79="EU",Variables!$B$6,Variables!$B$3),'Rates from Ireland Fedex Priort'!K78)</f>
        <v>No service</v>
      </c>
      <c r="L79" s="10" t="str">
        <f>IF(ISNUMBER('Rates from Ireland Fedex Priort'!L78),_xlfn.CEILING.MATH('Rates from Ireland Fedex Priort'!L78,1)+IF($A79="EU",Variables!$B$6,Variables!$B$3),'Rates from Ireland Fedex Priort'!L78)</f>
        <v>No service</v>
      </c>
      <c r="M79" s="10" t="str">
        <f>IF(ISNUMBER('Rates from Ireland Fedex Priort'!M78),_xlfn.CEILING.MATH('Rates from Ireland Fedex Priort'!M78,1)+IF($A79="EU",Variables!$B$6,Variables!$B$3),'Rates from Ireland Fedex Priort'!M78)</f>
        <v>No service</v>
      </c>
      <c r="N79" s="10" t="str">
        <f>IF(ISNUMBER('Rates from Ireland Fedex Priort'!N78),_xlfn.CEILING.MATH('Rates from Ireland Fedex Priort'!N78,1)+IF($A79="EU",Variables!$B$6,Variables!$B$3),'Rates from Ireland Fedex Priort'!N78)</f>
        <v>No service</v>
      </c>
      <c r="O79" s="11" t="s">
        <v>35</v>
      </c>
      <c r="P79" s="11" t="s">
        <v>36</v>
      </c>
      <c r="Q79" s="12">
        <v>80</v>
      </c>
      <c r="R79" s="11" t="s">
        <v>25</v>
      </c>
      <c r="S79" s="3" t="s">
        <v>26</v>
      </c>
      <c r="T79" s="38" t="s">
        <v>27</v>
      </c>
    </row>
    <row r="80" spans="1:20" ht="15.75" customHeight="1" x14ac:dyDescent="0.3">
      <c r="A80" s="39" t="str">
        <f>IF('Rates from Ireland Fedex Priort'!A79="","",'Rates from Ireland Fedex Priort'!A79)</f>
        <v>EU</v>
      </c>
      <c r="B80" s="8" t="str">
        <f>IF('Rates from Ireland Fedex Priort'!B79="","",'Rates from Ireland Fedex Priort'!B79)</f>
        <v>Ireland</v>
      </c>
      <c r="C80" s="9" t="str">
        <f>IF('Rates from Ireland Fedex Priort'!C79="","",'Rates from Ireland Fedex Priort'!C79)</f>
        <v>Gambia</v>
      </c>
      <c r="D80" s="10">
        <f>IF(ISNUMBER('Rates from Ireland Fedex Priort'!D79),_xlfn.CEILING.MATH('Rates from Ireland Fedex Priort'!D79,1)+IF($A80="EU",Variables!$B$5,Variables!$B$2),'Rates from Ireland Fedex Priort'!D79)</f>
        <v>72</v>
      </c>
      <c r="E80" s="10">
        <f>IF(ISNUMBER('Rates from Ireland Fedex Priort'!E79),_xlfn.CEILING.MATH('Rates from Ireland Fedex Priort'!E79,1)+IF($A80="EU",Variables!$B$6,Variables!$B$3),'Rates from Ireland Fedex Priort'!E79)</f>
        <v>83</v>
      </c>
      <c r="F80" s="10">
        <f>IF(ISNUMBER('Rates from Ireland Fedex Priort'!F79),_xlfn.CEILING.MATH('Rates from Ireland Fedex Priort'!F79,1)+IF($A80="EU",Variables!$B$6,Variables!$B$3),'Rates from Ireland Fedex Priort'!F79)</f>
        <v>88</v>
      </c>
      <c r="G80" s="10">
        <f>IF(ISNUMBER('Rates from Ireland Fedex Priort'!G79),_xlfn.CEILING.MATH('Rates from Ireland Fedex Priort'!G79,1)+IF($A80="EU",Variables!$B$6,Variables!$B$3),'Rates from Ireland Fedex Priort'!G79)</f>
        <v>106</v>
      </c>
      <c r="H80" s="10">
        <f>IF(ISNUMBER('Rates from Ireland Fedex Priort'!H79),_xlfn.CEILING.MATH('Rates from Ireland Fedex Priort'!H79,1)+IF($A80="EU",Variables!$B$6,Variables!$B$3),'Rates from Ireland Fedex Priort'!H79)</f>
        <v>134</v>
      </c>
      <c r="I80" s="10">
        <f>IF(ISNUMBER('Rates from Ireland Fedex Priort'!I79),_xlfn.CEILING.MATH('Rates from Ireland Fedex Priort'!I79,1)+IF($A80="EU",Variables!$B$6,Variables!$B$3),'Rates from Ireland Fedex Priort'!I79)</f>
        <v>242</v>
      </c>
      <c r="J80" s="10" t="str">
        <f>IF(ISNUMBER('Rates from Ireland Fedex Priort'!J79),_xlfn.CEILING.MATH('Rates from Ireland Fedex Priort'!J79,1)+IF($A80="EU",Variables!$B$6,Variables!$B$3),'Rates from Ireland Fedex Priort'!J79)</f>
        <v>No service</v>
      </c>
      <c r="K80" s="10" t="str">
        <f>IF(ISNUMBER('Rates from Ireland Fedex Priort'!K79),_xlfn.CEILING.MATH('Rates from Ireland Fedex Priort'!K79,1)+IF($A80="EU",Variables!$B$6,Variables!$B$3),'Rates from Ireland Fedex Priort'!K79)</f>
        <v>No service</v>
      </c>
      <c r="L80" s="10" t="str">
        <f>IF(ISNUMBER('Rates from Ireland Fedex Priort'!L79),_xlfn.CEILING.MATH('Rates from Ireland Fedex Priort'!L79,1)+IF($A80="EU",Variables!$B$6,Variables!$B$3),'Rates from Ireland Fedex Priort'!L79)</f>
        <v>No service</v>
      </c>
      <c r="M80" s="10" t="str">
        <f>IF(ISNUMBER('Rates from Ireland Fedex Priort'!M79),_xlfn.CEILING.MATH('Rates from Ireland Fedex Priort'!M79,1)+IF($A80="EU",Variables!$B$6,Variables!$B$3),'Rates from Ireland Fedex Priort'!M79)</f>
        <v>No service</v>
      </c>
      <c r="N80" s="10" t="str">
        <f>IF(ISNUMBER('Rates from Ireland Fedex Priort'!N79),_xlfn.CEILING.MATH('Rates from Ireland Fedex Priort'!N79,1)+IF($A80="EU",Variables!$B$6,Variables!$B$3),'Rates from Ireland Fedex Priort'!N79)</f>
        <v>No service</v>
      </c>
      <c r="O80" s="11" t="s">
        <v>24</v>
      </c>
      <c r="P80" s="11" t="s">
        <v>69</v>
      </c>
      <c r="Q80" s="12">
        <v>80</v>
      </c>
      <c r="R80" s="11" t="s">
        <v>25</v>
      </c>
      <c r="S80" s="3" t="s">
        <v>26</v>
      </c>
      <c r="T80" s="38" t="s">
        <v>27</v>
      </c>
    </row>
    <row r="81" spans="1:20" ht="15.75" customHeight="1" x14ac:dyDescent="0.3">
      <c r="A81" s="39" t="str">
        <f>IF('Rates from Ireland Fedex Priort'!A80="","",'Rates from Ireland Fedex Priort'!A80)</f>
        <v>EU</v>
      </c>
      <c r="B81" s="8" t="str">
        <f>IF('Rates from Ireland Fedex Priort'!B80="","",'Rates from Ireland Fedex Priort'!B80)</f>
        <v>Ireland</v>
      </c>
      <c r="C81" s="9" t="str">
        <f>IF('Rates from Ireland Fedex Priort'!C80="","",'Rates from Ireland Fedex Priort'!C80)</f>
        <v>Georgia</v>
      </c>
      <c r="D81" s="10">
        <f>IF(ISNUMBER('Rates from Ireland Fedex Priort'!D80),_xlfn.CEILING.MATH('Rates from Ireland Fedex Priort'!D80,1)+IF($A81="EU",Variables!$B$5,Variables!$B$2),'Rates from Ireland Fedex Priort'!D80)</f>
        <v>62</v>
      </c>
      <c r="E81" s="10">
        <f>IF(ISNUMBER('Rates from Ireland Fedex Priort'!E80),_xlfn.CEILING.MATH('Rates from Ireland Fedex Priort'!E80,1)+IF($A81="EU",Variables!$B$6,Variables!$B$3),'Rates from Ireland Fedex Priort'!E80)</f>
        <v>69</v>
      </c>
      <c r="F81" s="10">
        <f>IF(ISNUMBER('Rates from Ireland Fedex Priort'!F80),_xlfn.CEILING.MATH('Rates from Ireland Fedex Priort'!F80,1)+IF($A81="EU",Variables!$B$6,Variables!$B$3),'Rates from Ireland Fedex Priort'!F80)</f>
        <v>72</v>
      </c>
      <c r="G81" s="10">
        <f>IF(ISNUMBER('Rates from Ireland Fedex Priort'!G80),_xlfn.CEILING.MATH('Rates from Ireland Fedex Priort'!G80,1)+IF($A81="EU",Variables!$B$6,Variables!$B$3),'Rates from Ireland Fedex Priort'!G80)</f>
        <v>86</v>
      </c>
      <c r="H81" s="10">
        <f>IF(ISNUMBER('Rates from Ireland Fedex Priort'!H80),_xlfn.CEILING.MATH('Rates from Ireland Fedex Priort'!H80,1)+IF($A81="EU",Variables!$B$6,Variables!$B$3),'Rates from Ireland Fedex Priort'!H80)</f>
        <v>111</v>
      </c>
      <c r="I81" s="10">
        <f>IF(ISNUMBER('Rates from Ireland Fedex Priort'!I80),_xlfn.CEILING.MATH('Rates from Ireland Fedex Priort'!I80,1)+IF($A81="EU",Variables!$B$6,Variables!$B$3),'Rates from Ireland Fedex Priort'!I80)</f>
        <v>174</v>
      </c>
      <c r="J81" s="10" t="str">
        <f>IF(ISNUMBER('Rates from Ireland Fedex Priort'!J80),_xlfn.CEILING.MATH('Rates from Ireland Fedex Priort'!J80,1)+IF($A81="EU",Variables!$B$6,Variables!$B$3),'Rates from Ireland Fedex Priort'!J80)</f>
        <v>No service</v>
      </c>
      <c r="K81" s="10" t="str">
        <f>IF(ISNUMBER('Rates from Ireland Fedex Priort'!K80),_xlfn.CEILING.MATH('Rates from Ireland Fedex Priort'!K80,1)+IF($A81="EU",Variables!$B$6,Variables!$B$3),'Rates from Ireland Fedex Priort'!K80)</f>
        <v>No service</v>
      </c>
      <c r="L81" s="10" t="str">
        <f>IF(ISNUMBER('Rates from Ireland Fedex Priort'!L80),_xlfn.CEILING.MATH('Rates from Ireland Fedex Priort'!L80,1)+IF($A81="EU",Variables!$B$6,Variables!$B$3),'Rates from Ireland Fedex Priort'!L80)</f>
        <v>No service</v>
      </c>
      <c r="M81" s="10" t="str">
        <f>IF(ISNUMBER('Rates from Ireland Fedex Priort'!M80),_xlfn.CEILING.MATH('Rates from Ireland Fedex Priort'!M80,1)+IF($A81="EU",Variables!$B$6,Variables!$B$3),'Rates from Ireland Fedex Priort'!M80)</f>
        <v>No service</v>
      </c>
      <c r="N81" s="10" t="str">
        <f>IF(ISNUMBER('Rates from Ireland Fedex Priort'!N80),_xlfn.CEILING.MATH('Rates from Ireland Fedex Priort'!N80,1)+IF($A81="EU",Variables!$B$6,Variables!$B$3),'Rates from Ireland Fedex Priort'!N80)</f>
        <v>No service</v>
      </c>
      <c r="O81" s="11" t="s">
        <v>29</v>
      </c>
      <c r="P81" s="11" t="s">
        <v>30</v>
      </c>
      <c r="Q81" s="12">
        <v>80</v>
      </c>
      <c r="R81" s="11" t="s">
        <v>25</v>
      </c>
      <c r="S81" s="3" t="s">
        <v>26</v>
      </c>
      <c r="T81" s="38" t="s">
        <v>27</v>
      </c>
    </row>
    <row r="82" spans="1:20" ht="15.75" customHeight="1" x14ac:dyDescent="0.3">
      <c r="A82" s="39" t="str">
        <f>IF('Rates from Ireland Fedex Priort'!A81="","",'Rates from Ireland Fedex Priort'!A81)</f>
        <v>EU</v>
      </c>
      <c r="B82" s="8" t="str">
        <f>IF('Rates from Ireland Fedex Priort'!B81="","",'Rates from Ireland Fedex Priort'!B81)</f>
        <v>Ireland</v>
      </c>
      <c r="C82" s="9" t="str">
        <f>IF('Rates from Ireland Fedex Priort'!C81="","",'Rates from Ireland Fedex Priort'!C81)</f>
        <v>Germany</v>
      </c>
      <c r="D82" s="10">
        <f>IF(ISNUMBER('Rates from Ireland Fedex Priort'!D81),_xlfn.CEILING.MATH('Rates from Ireland Fedex Priort'!D81,1)+IF($A82="EU",Variables!$B$5,Variables!$B$2),'Rates from Ireland Fedex Priort'!D81)</f>
        <v>62</v>
      </c>
      <c r="E82" s="10">
        <f>IF(ISNUMBER('Rates from Ireland Fedex Priort'!E81),_xlfn.CEILING.MATH('Rates from Ireland Fedex Priort'!E81,1)+IF($A82="EU",Variables!$B$6,Variables!$B$3),'Rates from Ireland Fedex Priort'!E81)</f>
        <v>64</v>
      </c>
      <c r="F82" s="10">
        <f>IF(ISNUMBER('Rates from Ireland Fedex Priort'!F81),_xlfn.CEILING.MATH('Rates from Ireland Fedex Priort'!F81,1)+IF($A82="EU",Variables!$B$6,Variables!$B$3),'Rates from Ireland Fedex Priort'!F81)</f>
        <v>67</v>
      </c>
      <c r="G82" s="10">
        <f>IF(ISNUMBER('Rates from Ireland Fedex Priort'!G81),_xlfn.CEILING.MATH('Rates from Ireland Fedex Priort'!G81,1)+IF($A82="EU",Variables!$B$6,Variables!$B$3),'Rates from Ireland Fedex Priort'!G81)</f>
        <v>69</v>
      </c>
      <c r="H82" s="10">
        <f>IF(ISNUMBER('Rates from Ireland Fedex Priort'!H81),_xlfn.CEILING.MATH('Rates from Ireland Fedex Priort'!H81,1)+IF($A82="EU",Variables!$B$6,Variables!$B$3),'Rates from Ireland Fedex Priort'!H81)</f>
        <v>72</v>
      </c>
      <c r="I82" s="10">
        <f>IF(ISNUMBER('Rates from Ireland Fedex Priort'!I81),_xlfn.CEILING.MATH('Rates from Ireland Fedex Priort'!I81,1)+IF($A82="EU",Variables!$B$6,Variables!$B$3),'Rates from Ireland Fedex Priort'!I81)</f>
        <v>77</v>
      </c>
      <c r="J82" s="10">
        <f>IF(ISNUMBER('Rates from Ireland Fedex Priort'!J81),_xlfn.CEILING.MATH('Rates from Ireland Fedex Priort'!J81,1)+IF($A82="EU",Variables!$B$6,Variables!$B$3),'Rates from Ireland Fedex Priort'!J81)</f>
        <v>85</v>
      </c>
      <c r="K82" s="10">
        <f>IF(ISNUMBER('Rates from Ireland Fedex Priort'!K81),_xlfn.CEILING.MATH('Rates from Ireland Fedex Priort'!K81,1)+IF($A82="EU",Variables!$B$6,Variables!$B$3),'Rates from Ireland Fedex Priort'!K81)</f>
        <v>92</v>
      </c>
      <c r="L82" s="10">
        <f>IF(ISNUMBER('Rates from Ireland Fedex Priort'!L81),_xlfn.CEILING.MATH('Rates from Ireland Fedex Priort'!L81,1)+IF($A82="EU",Variables!$B$6,Variables!$B$3),'Rates from Ireland Fedex Priort'!L81)</f>
        <v>119</v>
      </c>
      <c r="M82" s="10">
        <f>IF(ISNUMBER('Rates from Ireland Fedex Priort'!M81),_xlfn.CEILING.MATH('Rates from Ireland Fedex Priort'!M81,1)+IF($A82="EU",Variables!$B$6,Variables!$B$3),'Rates from Ireland Fedex Priort'!M81)</f>
        <v>127</v>
      </c>
      <c r="N82" s="10">
        <f>IF(ISNUMBER('Rates from Ireland Fedex Priort'!N81),_xlfn.CEILING.MATH('Rates from Ireland Fedex Priort'!N81,1)+IF($A82="EU",Variables!$B$6,Variables!$B$3),'Rates from Ireland Fedex Priort'!N81)</f>
        <v>132</v>
      </c>
      <c r="O82" s="15" t="s">
        <v>29</v>
      </c>
      <c r="P82" s="15" t="s">
        <v>41</v>
      </c>
      <c r="Q82" s="16">
        <v>80</v>
      </c>
      <c r="R82" s="15" t="s">
        <v>25</v>
      </c>
      <c r="S82" s="17" t="s">
        <v>26</v>
      </c>
      <c r="T82" s="40" t="s">
        <v>27</v>
      </c>
    </row>
    <row r="83" spans="1:20" ht="15.75" customHeight="1" x14ac:dyDescent="0.3">
      <c r="A83" s="39" t="str">
        <f>IF('Rates from Ireland Fedex Priort'!A82="","",'Rates from Ireland Fedex Priort'!A82)</f>
        <v>EU</v>
      </c>
      <c r="B83" s="8" t="str">
        <f>IF('Rates from Ireland Fedex Priort'!B82="","",'Rates from Ireland Fedex Priort'!B82)</f>
        <v>Ireland</v>
      </c>
      <c r="C83" s="9" t="str">
        <f>IF('Rates from Ireland Fedex Priort'!C82="","",'Rates from Ireland Fedex Priort'!C82)</f>
        <v>Ghana</v>
      </c>
      <c r="D83" s="10">
        <f>IF(ISNUMBER('Rates from Ireland Fedex Priort'!D82),_xlfn.CEILING.MATH('Rates from Ireland Fedex Priort'!D82,1)+IF($A83="EU",Variables!$B$5,Variables!$B$2),'Rates from Ireland Fedex Priort'!D82)</f>
        <v>72</v>
      </c>
      <c r="E83" s="10">
        <f>IF(ISNUMBER('Rates from Ireland Fedex Priort'!E82),_xlfn.CEILING.MATH('Rates from Ireland Fedex Priort'!E82,1)+IF($A83="EU",Variables!$B$6,Variables!$B$3),'Rates from Ireland Fedex Priort'!E82)</f>
        <v>83</v>
      </c>
      <c r="F83" s="10">
        <f>IF(ISNUMBER('Rates from Ireland Fedex Priort'!F82),_xlfn.CEILING.MATH('Rates from Ireland Fedex Priort'!F82,1)+IF($A83="EU",Variables!$B$6,Variables!$B$3),'Rates from Ireland Fedex Priort'!F82)</f>
        <v>88</v>
      </c>
      <c r="G83" s="10">
        <f>IF(ISNUMBER('Rates from Ireland Fedex Priort'!G82),_xlfn.CEILING.MATH('Rates from Ireland Fedex Priort'!G82,1)+IF($A83="EU",Variables!$B$6,Variables!$B$3),'Rates from Ireland Fedex Priort'!G82)</f>
        <v>106</v>
      </c>
      <c r="H83" s="10">
        <f>IF(ISNUMBER('Rates from Ireland Fedex Priort'!H82),_xlfn.CEILING.MATH('Rates from Ireland Fedex Priort'!H82,1)+IF($A83="EU",Variables!$B$6,Variables!$B$3),'Rates from Ireland Fedex Priort'!H82)</f>
        <v>134</v>
      </c>
      <c r="I83" s="10">
        <f>IF(ISNUMBER('Rates from Ireland Fedex Priort'!I82),_xlfn.CEILING.MATH('Rates from Ireland Fedex Priort'!I82,1)+IF($A83="EU",Variables!$B$6,Variables!$B$3),'Rates from Ireland Fedex Priort'!I82)</f>
        <v>242</v>
      </c>
      <c r="J83" s="10" t="str">
        <f>IF(ISNUMBER('Rates from Ireland Fedex Priort'!J82),_xlfn.CEILING.MATH('Rates from Ireland Fedex Priort'!J82,1)+IF($A83="EU",Variables!$B$6,Variables!$B$3),'Rates from Ireland Fedex Priort'!J82)</f>
        <v>No service</v>
      </c>
      <c r="K83" s="10" t="str">
        <f>IF(ISNUMBER('Rates from Ireland Fedex Priort'!K82),_xlfn.CEILING.MATH('Rates from Ireland Fedex Priort'!K82,1)+IF($A83="EU",Variables!$B$6,Variables!$B$3),'Rates from Ireland Fedex Priort'!K82)</f>
        <v>No service</v>
      </c>
      <c r="L83" s="10" t="str">
        <f>IF(ISNUMBER('Rates from Ireland Fedex Priort'!L82),_xlfn.CEILING.MATH('Rates from Ireland Fedex Priort'!L82,1)+IF($A83="EU",Variables!$B$6,Variables!$B$3),'Rates from Ireland Fedex Priort'!L82)</f>
        <v>No service</v>
      </c>
      <c r="M83" s="10" t="str">
        <f>IF(ISNUMBER('Rates from Ireland Fedex Priort'!M82),_xlfn.CEILING.MATH('Rates from Ireland Fedex Priort'!M82,1)+IF($A83="EU",Variables!$B$6,Variables!$B$3),'Rates from Ireland Fedex Priort'!M82)</f>
        <v>No service</v>
      </c>
      <c r="N83" s="10" t="str">
        <f>IF(ISNUMBER('Rates from Ireland Fedex Priort'!N82),_xlfn.CEILING.MATH('Rates from Ireland Fedex Priort'!N82,1)+IF($A83="EU",Variables!$B$6,Variables!$B$3),'Rates from Ireland Fedex Priort'!N82)</f>
        <v>No service</v>
      </c>
      <c r="O83" s="11" t="s">
        <v>35</v>
      </c>
      <c r="P83" s="11" t="s">
        <v>36</v>
      </c>
      <c r="Q83" s="12">
        <v>80</v>
      </c>
      <c r="R83" s="11" t="s">
        <v>25</v>
      </c>
      <c r="S83" s="3" t="s">
        <v>26</v>
      </c>
      <c r="T83" s="38" t="s">
        <v>27</v>
      </c>
    </row>
    <row r="84" spans="1:20" ht="15.75" customHeight="1" x14ac:dyDescent="0.3">
      <c r="A84" s="39" t="str">
        <f>IF('Rates from Ireland Fedex Priort'!A83="","",'Rates from Ireland Fedex Priort'!A83)</f>
        <v>EU</v>
      </c>
      <c r="B84" s="8" t="str">
        <f>IF('Rates from Ireland Fedex Priort'!B83="","",'Rates from Ireland Fedex Priort'!B83)</f>
        <v>Ireland</v>
      </c>
      <c r="C84" s="9" t="str">
        <f>IF('Rates from Ireland Fedex Priort'!C83="","",'Rates from Ireland Fedex Priort'!C83)</f>
        <v>Gibraltar</v>
      </c>
      <c r="D84" s="10">
        <f>IF(ISNUMBER('Rates from Ireland Fedex Priort'!D83),_xlfn.CEILING.MATH('Rates from Ireland Fedex Priort'!D83,1)+IF($A84="EU",Variables!$B$5,Variables!$B$2),'Rates from Ireland Fedex Priort'!D83)</f>
        <v>58</v>
      </c>
      <c r="E84" s="10">
        <f>IF(ISNUMBER('Rates from Ireland Fedex Priort'!E83),_xlfn.CEILING.MATH('Rates from Ireland Fedex Priort'!E83,1)+IF($A84="EU",Variables!$B$6,Variables!$B$3),'Rates from Ireland Fedex Priort'!E83)</f>
        <v>65</v>
      </c>
      <c r="F84" s="10">
        <f>IF(ISNUMBER('Rates from Ireland Fedex Priort'!F83),_xlfn.CEILING.MATH('Rates from Ireland Fedex Priort'!F83,1)+IF($A84="EU",Variables!$B$6,Variables!$B$3),'Rates from Ireland Fedex Priort'!F83)</f>
        <v>65</v>
      </c>
      <c r="G84" s="10">
        <f>IF(ISNUMBER('Rates from Ireland Fedex Priort'!G83),_xlfn.CEILING.MATH('Rates from Ireland Fedex Priort'!G83,1)+IF($A84="EU",Variables!$B$6,Variables!$B$3),'Rates from Ireland Fedex Priort'!G83)</f>
        <v>68</v>
      </c>
      <c r="H84" s="10">
        <f>IF(ISNUMBER('Rates from Ireland Fedex Priort'!H83),_xlfn.CEILING.MATH('Rates from Ireland Fedex Priort'!H83,1)+IF($A84="EU",Variables!$B$6,Variables!$B$3),'Rates from Ireland Fedex Priort'!H83)</f>
        <v>74</v>
      </c>
      <c r="I84" s="10">
        <f>IF(ISNUMBER('Rates from Ireland Fedex Priort'!I83),_xlfn.CEILING.MATH('Rates from Ireland Fedex Priort'!I83,1)+IF($A84="EU",Variables!$B$6,Variables!$B$3),'Rates from Ireland Fedex Priort'!I83)</f>
        <v>81</v>
      </c>
      <c r="J84" s="10" t="str">
        <f>IF(ISNUMBER('Rates from Ireland Fedex Priort'!J83),_xlfn.CEILING.MATH('Rates from Ireland Fedex Priort'!J83,1)+IF($A84="EU",Variables!$B$6,Variables!$B$3),'Rates from Ireland Fedex Priort'!J83)</f>
        <v>No service</v>
      </c>
      <c r="K84" s="10" t="str">
        <f>IF(ISNUMBER('Rates from Ireland Fedex Priort'!K83),_xlfn.CEILING.MATH('Rates from Ireland Fedex Priort'!K83,1)+IF($A84="EU",Variables!$B$6,Variables!$B$3),'Rates from Ireland Fedex Priort'!K83)</f>
        <v>No service</v>
      </c>
      <c r="L84" s="10" t="str">
        <f>IF(ISNUMBER('Rates from Ireland Fedex Priort'!L83),_xlfn.CEILING.MATH('Rates from Ireland Fedex Priort'!L83,1)+IF($A84="EU",Variables!$B$6,Variables!$B$3),'Rates from Ireland Fedex Priort'!L83)</f>
        <v>No service</v>
      </c>
      <c r="M84" s="10" t="str">
        <f>IF(ISNUMBER('Rates from Ireland Fedex Priort'!M83),_xlfn.CEILING.MATH('Rates from Ireland Fedex Priort'!M83,1)+IF($A84="EU",Variables!$B$6,Variables!$B$3),'Rates from Ireland Fedex Priort'!M83)</f>
        <v>No service</v>
      </c>
      <c r="N84" s="10" t="str">
        <f>IF(ISNUMBER('Rates from Ireland Fedex Priort'!N83),_xlfn.CEILING.MATH('Rates from Ireland Fedex Priort'!N83,1)+IF($A84="EU",Variables!$B$6,Variables!$B$3),'Rates from Ireland Fedex Priort'!N83)</f>
        <v>No service</v>
      </c>
      <c r="O84" s="11" t="s">
        <v>29</v>
      </c>
      <c r="P84" s="11" t="s">
        <v>33</v>
      </c>
      <c r="Q84" s="12">
        <v>80</v>
      </c>
      <c r="R84" s="11" t="s">
        <v>25</v>
      </c>
      <c r="S84" s="3" t="s">
        <v>26</v>
      </c>
      <c r="T84" s="38" t="s">
        <v>27</v>
      </c>
    </row>
    <row r="85" spans="1:20" ht="15.75" customHeight="1" x14ac:dyDescent="0.3">
      <c r="A85" s="39" t="str">
        <f>IF('Rates from Ireland Fedex Priort'!A84="","",'Rates from Ireland Fedex Priort'!A84)</f>
        <v>EU</v>
      </c>
      <c r="B85" s="8" t="str">
        <f>IF('Rates from Ireland Fedex Priort'!B84="","",'Rates from Ireland Fedex Priort'!B84)</f>
        <v>Ireland</v>
      </c>
      <c r="C85" s="9" t="str">
        <f>IF('Rates from Ireland Fedex Priort'!C84="","",'Rates from Ireland Fedex Priort'!C84)</f>
        <v>Greece Mainland</v>
      </c>
      <c r="D85" s="10">
        <f>IF(ISNUMBER('Rates from Ireland Fedex Priort'!D84),_xlfn.CEILING.MATH('Rates from Ireland Fedex Priort'!D84,1)+IF($A85="EU",Variables!$B$5,Variables!$B$2),'Rates from Ireland Fedex Priort'!D84)</f>
        <v>62</v>
      </c>
      <c r="E85" s="10">
        <f>IF(ISNUMBER('Rates from Ireland Fedex Priort'!E84),_xlfn.CEILING.MATH('Rates from Ireland Fedex Priort'!E84,1)+IF($A85="EU",Variables!$B$6,Variables!$B$3),'Rates from Ireland Fedex Priort'!E84)</f>
        <v>68</v>
      </c>
      <c r="F85" s="10">
        <f>IF(ISNUMBER('Rates from Ireland Fedex Priort'!F84),_xlfn.CEILING.MATH('Rates from Ireland Fedex Priort'!F84,1)+IF($A85="EU",Variables!$B$6,Variables!$B$3),'Rates from Ireland Fedex Priort'!F84)</f>
        <v>75</v>
      </c>
      <c r="G85" s="10">
        <f>IF(ISNUMBER('Rates from Ireland Fedex Priort'!G84),_xlfn.CEILING.MATH('Rates from Ireland Fedex Priort'!G84,1)+IF($A85="EU",Variables!$B$6,Variables!$B$3),'Rates from Ireland Fedex Priort'!G84)</f>
        <v>78</v>
      </c>
      <c r="H85" s="10">
        <f>IF(ISNUMBER('Rates from Ireland Fedex Priort'!H84),_xlfn.CEILING.MATH('Rates from Ireland Fedex Priort'!H84,1)+IF($A85="EU",Variables!$B$6,Variables!$B$3),'Rates from Ireland Fedex Priort'!H84)</f>
        <v>80</v>
      </c>
      <c r="I85" s="10">
        <f>IF(ISNUMBER('Rates from Ireland Fedex Priort'!I84),_xlfn.CEILING.MATH('Rates from Ireland Fedex Priort'!I84,1)+IF($A85="EU",Variables!$B$6,Variables!$B$3),'Rates from Ireland Fedex Priort'!I84)</f>
        <v>83</v>
      </c>
      <c r="J85" s="10">
        <f>IF(ISNUMBER('Rates from Ireland Fedex Priort'!J84),_xlfn.CEILING.MATH('Rates from Ireland Fedex Priort'!J84,1)+IF($A85="EU",Variables!$B$6,Variables!$B$3),'Rates from Ireland Fedex Priort'!J84)</f>
        <v>89</v>
      </c>
      <c r="K85" s="10">
        <f>IF(ISNUMBER('Rates from Ireland Fedex Priort'!K84),_xlfn.CEILING.MATH('Rates from Ireland Fedex Priort'!K84,1)+IF($A85="EU",Variables!$B$6,Variables!$B$3),'Rates from Ireland Fedex Priort'!K84)</f>
        <v>95</v>
      </c>
      <c r="L85" s="10">
        <f>IF(ISNUMBER('Rates from Ireland Fedex Priort'!L84),_xlfn.CEILING.MATH('Rates from Ireland Fedex Priort'!L84,1)+IF($A85="EU",Variables!$B$6,Variables!$B$3),'Rates from Ireland Fedex Priort'!L84)</f>
        <v>105</v>
      </c>
      <c r="M85" s="10">
        <f>IF(ISNUMBER('Rates from Ireland Fedex Priort'!M84),_xlfn.CEILING.MATH('Rates from Ireland Fedex Priort'!M84,1)+IF($A85="EU",Variables!$B$6,Variables!$B$3),'Rates from Ireland Fedex Priort'!M84)</f>
        <v>153</v>
      </c>
      <c r="N85" s="10">
        <f>IF(ISNUMBER('Rates from Ireland Fedex Priort'!N84),_xlfn.CEILING.MATH('Rates from Ireland Fedex Priort'!N84,1)+IF($A85="EU",Variables!$B$6,Variables!$B$3),'Rates from Ireland Fedex Priort'!N84)</f>
        <v>177</v>
      </c>
      <c r="O85" s="15" t="s">
        <v>61</v>
      </c>
      <c r="P85" s="15" t="s">
        <v>124</v>
      </c>
      <c r="Q85" s="16">
        <v>80</v>
      </c>
      <c r="R85" s="15" t="s">
        <v>25</v>
      </c>
      <c r="S85" s="17" t="s">
        <v>26</v>
      </c>
      <c r="T85" s="40" t="s">
        <v>27</v>
      </c>
    </row>
    <row r="86" spans="1:20" ht="15.75" customHeight="1" x14ac:dyDescent="0.3">
      <c r="A86" s="39" t="str">
        <f>IF('Rates from Ireland Fedex Priort'!A85="","",'Rates from Ireland Fedex Priort'!A85)</f>
        <v>EU</v>
      </c>
      <c r="B86" s="8" t="str">
        <f>IF('Rates from Ireland Fedex Priort'!B85="","",'Rates from Ireland Fedex Priort'!B85)</f>
        <v>Ireland</v>
      </c>
      <c r="C86" s="9" t="str">
        <f>IF('Rates from Ireland Fedex Priort'!C85="","",'Rates from Ireland Fedex Priort'!C85)</f>
        <v>Greece Islands</v>
      </c>
      <c r="D86" s="10">
        <f>IF(ISNUMBER('Rates from Ireland Fedex Priort'!D85),_xlfn.CEILING.MATH('Rates from Ireland Fedex Priort'!D85,1)+IF($A86="EU",Variables!$B$5,Variables!$B$2),'Rates from Ireland Fedex Priort'!D85)</f>
        <v>97</v>
      </c>
      <c r="E86" s="10">
        <f>IF(ISNUMBER('Rates from Ireland Fedex Priort'!E85),_xlfn.CEILING.MATH('Rates from Ireland Fedex Priort'!E85,1)+IF($A86="EU",Variables!$B$6,Variables!$B$3),'Rates from Ireland Fedex Priort'!E85)</f>
        <v>112</v>
      </c>
      <c r="F86" s="10">
        <f>IF(ISNUMBER('Rates from Ireland Fedex Priort'!F85),_xlfn.CEILING.MATH('Rates from Ireland Fedex Priort'!F85,1)+IF($A86="EU",Variables!$B$6,Variables!$B$3),'Rates from Ireland Fedex Priort'!F85)</f>
        <v>112</v>
      </c>
      <c r="G86" s="10">
        <f>IF(ISNUMBER('Rates from Ireland Fedex Priort'!G85),_xlfn.CEILING.MATH('Rates from Ireland Fedex Priort'!G85,1)+IF($A86="EU",Variables!$B$6,Variables!$B$3),'Rates from Ireland Fedex Priort'!G85)</f>
        <v>107</v>
      </c>
      <c r="H86" s="10">
        <f>IF(ISNUMBER('Rates from Ireland Fedex Priort'!H85),_xlfn.CEILING.MATH('Rates from Ireland Fedex Priort'!H85,1)+IF($A86="EU",Variables!$B$6,Variables!$B$3),'Rates from Ireland Fedex Priort'!H85)</f>
        <v>119</v>
      </c>
      <c r="I86" s="10">
        <f>IF(ISNUMBER('Rates from Ireland Fedex Priort'!I85),_xlfn.CEILING.MATH('Rates from Ireland Fedex Priort'!I85,1)+IF($A86="EU",Variables!$B$6,Variables!$B$3),'Rates from Ireland Fedex Priort'!I85)</f>
        <v>128</v>
      </c>
      <c r="J86" s="10">
        <f>IF(ISNUMBER('Rates from Ireland Fedex Priort'!J85),_xlfn.CEILING.MATH('Rates from Ireland Fedex Priort'!J85,1)+IF($A86="EU",Variables!$B$6,Variables!$B$3),'Rates from Ireland Fedex Priort'!J85)</f>
        <v>128</v>
      </c>
      <c r="K86" s="10">
        <f>IF(ISNUMBER('Rates from Ireland Fedex Priort'!K85),_xlfn.CEILING.MATH('Rates from Ireland Fedex Priort'!K85,1)+IF($A86="EU",Variables!$B$6,Variables!$B$3),'Rates from Ireland Fedex Priort'!K85)</f>
        <v>137</v>
      </c>
      <c r="L86" s="10">
        <f>IF(ISNUMBER('Rates from Ireland Fedex Priort'!L85),_xlfn.CEILING.MATH('Rates from Ireland Fedex Priort'!L85,1)+IF($A86="EU",Variables!$B$6,Variables!$B$3),'Rates from Ireland Fedex Priort'!L85)</f>
        <v>144</v>
      </c>
      <c r="M86" s="10">
        <f>IF(ISNUMBER('Rates from Ireland Fedex Priort'!M85),_xlfn.CEILING.MATH('Rates from Ireland Fedex Priort'!M85,1)+IF($A86="EU",Variables!$B$6,Variables!$B$3),'Rates from Ireland Fedex Priort'!M85)</f>
        <v>185</v>
      </c>
      <c r="N86" s="10">
        <f>IF(ISNUMBER('Rates from Ireland Fedex Priort'!N85),_xlfn.CEILING.MATH('Rates from Ireland Fedex Priort'!N85,1)+IF($A86="EU",Variables!$B$6,Variables!$B$3),'Rates from Ireland Fedex Priort'!N85)</f>
        <v>193</v>
      </c>
      <c r="O86" s="15" t="s">
        <v>33</v>
      </c>
      <c r="P86" s="15" t="s">
        <v>126</v>
      </c>
      <c r="Q86" s="16">
        <v>80</v>
      </c>
      <c r="R86" s="15" t="s">
        <v>25</v>
      </c>
      <c r="S86" s="17" t="s">
        <v>26</v>
      </c>
      <c r="T86" s="40" t="s">
        <v>27</v>
      </c>
    </row>
    <row r="87" spans="1:20" ht="15.75" customHeight="1" x14ac:dyDescent="0.3">
      <c r="A87" s="39" t="str">
        <f>IF('Rates from Ireland Fedex Priort'!A86="","",'Rates from Ireland Fedex Priort'!A86)</f>
        <v>EU</v>
      </c>
      <c r="B87" s="8" t="str">
        <f>IF('Rates from Ireland Fedex Priort'!B86="","",'Rates from Ireland Fedex Priort'!B86)</f>
        <v>Ireland</v>
      </c>
      <c r="C87" s="9" t="str">
        <f>IF('Rates from Ireland Fedex Priort'!C86="","",'Rates from Ireland Fedex Priort'!C86)</f>
        <v>Greenland (Denmark)</v>
      </c>
      <c r="D87" s="10">
        <f>IF(ISNUMBER('Rates from Ireland Fedex Priort'!D86),_xlfn.CEILING.MATH('Rates from Ireland Fedex Priort'!D86,1)+IF($A87="EU",Variables!$B$5,Variables!$B$2),'Rates from Ireland Fedex Priort'!D86)</f>
        <v>58</v>
      </c>
      <c r="E87" s="10">
        <f>IF(ISNUMBER('Rates from Ireland Fedex Priort'!E86),_xlfn.CEILING.MATH('Rates from Ireland Fedex Priort'!E86,1)+IF($A87="EU",Variables!$B$6,Variables!$B$3),'Rates from Ireland Fedex Priort'!E86)</f>
        <v>65</v>
      </c>
      <c r="F87" s="10">
        <f>IF(ISNUMBER('Rates from Ireland Fedex Priort'!F86),_xlfn.CEILING.MATH('Rates from Ireland Fedex Priort'!F86,1)+IF($A87="EU",Variables!$B$6,Variables!$B$3),'Rates from Ireland Fedex Priort'!F86)</f>
        <v>65</v>
      </c>
      <c r="G87" s="10">
        <f>IF(ISNUMBER('Rates from Ireland Fedex Priort'!G86),_xlfn.CEILING.MATH('Rates from Ireland Fedex Priort'!G86,1)+IF($A87="EU",Variables!$B$6,Variables!$B$3),'Rates from Ireland Fedex Priort'!G86)</f>
        <v>68</v>
      </c>
      <c r="H87" s="10">
        <f>IF(ISNUMBER('Rates from Ireland Fedex Priort'!H86),_xlfn.CEILING.MATH('Rates from Ireland Fedex Priort'!H86,1)+IF($A87="EU",Variables!$B$6,Variables!$B$3),'Rates from Ireland Fedex Priort'!H86)</f>
        <v>74</v>
      </c>
      <c r="I87" s="10">
        <f>IF(ISNUMBER('Rates from Ireland Fedex Priort'!I86),_xlfn.CEILING.MATH('Rates from Ireland Fedex Priort'!I86,1)+IF($A87="EU",Variables!$B$6,Variables!$B$3),'Rates from Ireland Fedex Priort'!I86)</f>
        <v>81</v>
      </c>
      <c r="J87" s="10">
        <f>IF(ISNUMBER('Rates from Ireland Fedex Priort'!J86),_xlfn.CEILING.MATH('Rates from Ireland Fedex Priort'!J86,1)+IF($A87="EU",Variables!$B$6,Variables!$B$3),'Rates from Ireland Fedex Priort'!J86)</f>
        <v>87</v>
      </c>
      <c r="K87" s="10">
        <f>IF(ISNUMBER('Rates from Ireland Fedex Priort'!K86),_xlfn.CEILING.MATH('Rates from Ireland Fedex Priort'!K86,1)+IF($A87="EU",Variables!$B$6,Variables!$B$3),'Rates from Ireland Fedex Priort'!K86)</f>
        <v>93</v>
      </c>
      <c r="L87" s="10">
        <f>IF(ISNUMBER('Rates from Ireland Fedex Priort'!L86),_xlfn.CEILING.MATH('Rates from Ireland Fedex Priort'!L86,1)+IF($A87="EU",Variables!$B$6,Variables!$B$3),'Rates from Ireland Fedex Priort'!L86)</f>
        <v>99</v>
      </c>
      <c r="M87" s="10">
        <f>IF(ISNUMBER('Rates from Ireland Fedex Priort'!M86),_xlfn.CEILING.MATH('Rates from Ireland Fedex Priort'!M86,1)+IF($A87="EU",Variables!$B$6,Variables!$B$3),'Rates from Ireland Fedex Priort'!M86)</f>
        <v>112</v>
      </c>
      <c r="N87" s="10">
        <f>IF(ISNUMBER('Rates from Ireland Fedex Priort'!N86),_xlfn.CEILING.MATH('Rates from Ireland Fedex Priort'!N86,1)+IF($A87="EU",Variables!$B$6,Variables!$B$3),'Rates from Ireland Fedex Priort'!N86)</f>
        <v>127</v>
      </c>
      <c r="O87" s="15" t="s">
        <v>29</v>
      </c>
      <c r="P87" s="15" t="s">
        <v>33</v>
      </c>
      <c r="Q87" s="16">
        <v>80</v>
      </c>
      <c r="R87" s="15" t="s">
        <v>25</v>
      </c>
      <c r="S87" s="17" t="s">
        <v>26</v>
      </c>
      <c r="T87" s="40" t="s">
        <v>27</v>
      </c>
    </row>
    <row r="88" spans="1:20" ht="15.75" customHeight="1" x14ac:dyDescent="0.3">
      <c r="A88" s="39" t="str">
        <f>IF('Rates from Ireland Fedex Priort'!A87="","",'Rates from Ireland Fedex Priort'!A87)</f>
        <v>EU</v>
      </c>
      <c r="B88" s="8" t="str">
        <f>IF('Rates from Ireland Fedex Priort'!B87="","",'Rates from Ireland Fedex Priort'!B87)</f>
        <v>Ireland</v>
      </c>
      <c r="C88" s="9" t="str">
        <f>IF('Rates from Ireland Fedex Priort'!C87="","",'Rates from Ireland Fedex Priort'!C87)</f>
        <v>Grenada</v>
      </c>
      <c r="D88" s="10">
        <f>IF(ISNUMBER('Rates from Ireland Fedex Priort'!D87),_xlfn.CEILING.MATH('Rates from Ireland Fedex Priort'!D87,1)+IF($A88="EU",Variables!$B$5,Variables!$B$2),'Rates from Ireland Fedex Priort'!D87)</f>
        <v>68</v>
      </c>
      <c r="E88" s="10">
        <f>IF(ISNUMBER('Rates from Ireland Fedex Priort'!E87),_xlfn.CEILING.MATH('Rates from Ireland Fedex Priort'!E87,1)+IF($A88="EU",Variables!$B$6,Variables!$B$3),'Rates from Ireland Fedex Priort'!E87)</f>
        <v>77</v>
      </c>
      <c r="F88" s="10">
        <f>IF(ISNUMBER('Rates from Ireland Fedex Priort'!F87),_xlfn.CEILING.MATH('Rates from Ireland Fedex Priort'!F87,1)+IF($A88="EU",Variables!$B$6,Variables!$B$3),'Rates from Ireland Fedex Priort'!F87)</f>
        <v>81</v>
      </c>
      <c r="G88" s="10">
        <f>IF(ISNUMBER('Rates from Ireland Fedex Priort'!G87),_xlfn.CEILING.MATH('Rates from Ireland Fedex Priort'!G87,1)+IF($A88="EU",Variables!$B$6,Variables!$B$3),'Rates from Ireland Fedex Priort'!G87)</f>
        <v>96</v>
      </c>
      <c r="H88" s="10">
        <f>IF(ISNUMBER('Rates from Ireland Fedex Priort'!H87),_xlfn.CEILING.MATH('Rates from Ireland Fedex Priort'!H87,1)+IF($A88="EU",Variables!$B$6,Variables!$B$3),'Rates from Ireland Fedex Priort'!H87)</f>
        <v>117</v>
      </c>
      <c r="I88" s="10">
        <f>IF(ISNUMBER('Rates from Ireland Fedex Priort'!I87),_xlfn.CEILING.MATH('Rates from Ireland Fedex Priort'!I87,1)+IF($A88="EU",Variables!$B$6,Variables!$B$3),'Rates from Ireland Fedex Priort'!I87)</f>
        <v>219</v>
      </c>
      <c r="J88" s="10" t="str">
        <f>IF(ISNUMBER('Rates from Ireland Fedex Priort'!J87),_xlfn.CEILING.MATH('Rates from Ireland Fedex Priort'!J87,1)+IF($A88="EU",Variables!$B$6,Variables!$B$3),'Rates from Ireland Fedex Priort'!J87)</f>
        <v>No service</v>
      </c>
      <c r="K88" s="10" t="str">
        <f>IF(ISNUMBER('Rates from Ireland Fedex Priort'!K87),_xlfn.CEILING.MATH('Rates from Ireland Fedex Priort'!K87,1)+IF($A88="EU",Variables!$B$6,Variables!$B$3),'Rates from Ireland Fedex Priort'!K87)</f>
        <v>No service</v>
      </c>
      <c r="L88" s="10" t="str">
        <f>IF(ISNUMBER('Rates from Ireland Fedex Priort'!L87),_xlfn.CEILING.MATH('Rates from Ireland Fedex Priort'!L87,1)+IF($A88="EU",Variables!$B$6,Variables!$B$3),'Rates from Ireland Fedex Priort'!L87)</f>
        <v>No service</v>
      </c>
      <c r="M88" s="10" t="str">
        <f>IF(ISNUMBER('Rates from Ireland Fedex Priort'!M87),_xlfn.CEILING.MATH('Rates from Ireland Fedex Priort'!M87,1)+IF($A88="EU",Variables!$B$6,Variables!$B$3),'Rates from Ireland Fedex Priort'!M87)</f>
        <v>No service</v>
      </c>
      <c r="N88" s="10" t="str">
        <f>IF(ISNUMBER('Rates from Ireland Fedex Priort'!N87),_xlfn.CEILING.MATH('Rates from Ireland Fedex Priort'!N87,1)+IF($A88="EU",Variables!$B$6,Variables!$B$3),'Rates from Ireland Fedex Priort'!N87)</f>
        <v>No service</v>
      </c>
      <c r="O88" s="11" t="s">
        <v>41</v>
      </c>
      <c r="P88" s="11" t="s">
        <v>23</v>
      </c>
      <c r="Q88" s="12">
        <v>80</v>
      </c>
      <c r="R88" s="11" t="s">
        <v>25</v>
      </c>
      <c r="S88" s="3" t="s">
        <v>26</v>
      </c>
      <c r="T88" s="38" t="s">
        <v>27</v>
      </c>
    </row>
    <row r="89" spans="1:20" ht="15.75" customHeight="1" x14ac:dyDescent="0.3">
      <c r="A89" s="39" t="str">
        <f>IF('Rates from Ireland Fedex Priort'!A88="","",'Rates from Ireland Fedex Priort'!A88)</f>
        <v>EU</v>
      </c>
      <c r="B89" s="8" t="str">
        <f>IF('Rates from Ireland Fedex Priort'!B88="","",'Rates from Ireland Fedex Priort'!B88)</f>
        <v>Ireland</v>
      </c>
      <c r="C89" s="9" t="str">
        <f>IF('Rates from Ireland Fedex Priort'!C88="","",'Rates from Ireland Fedex Priort'!C88)</f>
        <v>Guadeloupe (France)</v>
      </c>
      <c r="D89" s="10">
        <f>IF(ISNUMBER('Rates from Ireland Fedex Priort'!D88),_xlfn.CEILING.MATH('Rates from Ireland Fedex Priort'!D88,1)+IF($A89="EU",Variables!$B$5,Variables!$B$2),'Rates from Ireland Fedex Priort'!D88)</f>
        <v>68</v>
      </c>
      <c r="E89" s="10">
        <f>IF(ISNUMBER('Rates from Ireland Fedex Priort'!E88),_xlfn.CEILING.MATH('Rates from Ireland Fedex Priort'!E88,1)+IF($A89="EU",Variables!$B$6,Variables!$B$3),'Rates from Ireland Fedex Priort'!E88)</f>
        <v>77</v>
      </c>
      <c r="F89" s="10">
        <f>IF(ISNUMBER('Rates from Ireland Fedex Priort'!F88),_xlfn.CEILING.MATH('Rates from Ireland Fedex Priort'!F88,1)+IF($A89="EU",Variables!$B$6,Variables!$B$3),'Rates from Ireland Fedex Priort'!F88)</f>
        <v>81</v>
      </c>
      <c r="G89" s="10">
        <f>IF(ISNUMBER('Rates from Ireland Fedex Priort'!G88),_xlfn.CEILING.MATH('Rates from Ireland Fedex Priort'!G88,1)+IF($A89="EU",Variables!$B$6,Variables!$B$3),'Rates from Ireland Fedex Priort'!G88)</f>
        <v>96</v>
      </c>
      <c r="H89" s="10">
        <f>IF(ISNUMBER('Rates from Ireland Fedex Priort'!H88),_xlfn.CEILING.MATH('Rates from Ireland Fedex Priort'!H88,1)+IF($A89="EU",Variables!$B$6,Variables!$B$3),'Rates from Ireland Fedex Priort'!H88)</f>
        <v>117</v>
      </c>
      <c r="I89" s="10">
        <f>IF(ISNUMBER('Rates from Ireland Fedex Priort'!I88),_xlfn.CEILING.MATH('Rates from Ireland Fedex Priort'!I88,1)+IF($A89="EU",Variables!$B$6,Variables!$B$3),'Rates from Ireland Fedex Priort'!I88)</f>
        <v>219</v>
      </c>
      <c r="J89" s="10" t="str">
        <f>IF(ISNUMBER('Rates from Ireland Fedex Priort'!J88),_xlfn.CEILING.MATH('Rates from Ireland Fedex Priort'!J88,1)+IF($A89="EU",Variables!$B$6,Variables!$B$3),'Rates from Ireland Fedex Priort'!J88)</f>
        <v>No service</v>
      </c>
      <c r="K89" s="10" t="str">
        <f>IF(ISNUMBER('Rates from Ireland Fedex Priort'!K88),_xlfn.CEILING.MATH('Rates from Ireland Fedex Priort'!K88,1)+IF($A89="EU",Variables!$B$6,Variables!$B$3),'Rates from Ireland Fedex Priort'!K88)</f>
        <v>No service</v>
      </c>
      <c r="L89" s="10" t="str">
        <f>IF(ISNUMBER('Rates from Ireland Fedex Priort'!L88),_xlfn.CEILING.MATH('Rates from Ireland Fedex Priort'!L88,1)+IF($A89="EU",Variables!$B$6,Variables!$B$3),'Rates from Ireland Fedex Priort'!L88)</f>
        <v>No service</v>
      </c>
      <c r="M89" s="10" t="str">
        <f>IF(ISNUMBER('Rates from Ireland Fedex Priort'!M88),_xlfn.CEILING.MATH('Rates from Ireland Fedex Priort'!M88,1)+IF($A89="EU",Variables!$B$6,Variables!$B$3),'Rates from Ireland Fedex Priort'!M88)</f>
        <v>No service</v>
      </c>
      <c r="N89" s="10" t="str">
        <f>IF(ISNUMBER('Rates from Ireland Fedex Priort'!N88),_xlfn.CEILING.MATH('Rates from Ireland Fedex Priort'!N88,1)+IF($A89="EU",Variables!$B$6,Variables!$B$3),'Rates from Ireland Fedex Priort'!N88)</f>
        <v>No service</v>
      </c>
      <c r="O89" s="11" t="s">
        <v>41</v>
      </c>
      <c r="P89" s="11" t="s">
        <v>23</v>
      </c>
      <c r="Q89" s="12">
        <v>80</v>
      </c>
      <c r="R89" s="11" t="s">
        <v>25</v>
      </c>
      <c r="S89" s="3" t="s">
        <v>26</v>
      </c>
      <c r="T89" s="38" t="s">
        <v>27</v>
      </c>
    </row>
    <row r="90" spans="1:20" ht="15.75" customHeight="1" x14ac:dyDescent="0.3">
      <c r="A90" s="39" t="str">
        <f>IF('Rates from Ireland Fedex Priort'!A89="","",'Rates from Ireland Fedex Priort'!A89)</f>
        <v>EU</v>
      </c>
      <c r="B90" s="8" t="str">
        <f>IF('Rates from Ireland Fedex Priort'!B89="","",'Rates from Ireland Fedex Priort'!B89)</f>
        <v>Ireland</v>
      </c>
      <c r="C90" s="9" t="str">
        <f>IF('Rates from Ireland Fedex Priort'!C89="","",'Rates from Ireland Fedex Priort'!C89)</f>
        <v>Guam (US)</v>
      </c>
      <c r="D90" s="10">
        <f>IF(ISNUMBER('Rates from Ireland Fedex Priort'!D89),_xlfn.CEILING.MATH('Rates from Ireland Fedex Priort'!D89,1)+IF($A90="EU",Variables!$B$5,Variables!$B$2),'Rates from Ireland Fedex Priort'!D89)</f>
        <v>72</v>
      </c>
      <c r="E90" s="10">
        <f>IF(ISNUMBER('Rates from Ireland Fedex Priort'!E89),_xlfn.CEILING.MATH('Rates from Ireland Fedex Priort'!E89,1)+IF($A90="EU",Variables!$B$6,Variables!$B$3),'Rates from Ireland Fedex Priort'!E89)</f>
        <v>83</v>
      </c>
      <c r="F90" s="10">
        <f>IF(ISNUMBER('Rates from Ireland Fedex Priort'!F89),_xlfn.CEILING.MATH('Rates from Ireland Fedex Priort'!F89,1)+IF($A90="EU",Variables!$B$6,Variables!$B$3),'Rates from Ireland Fedex Priort'!F89)</f>
        <v>88</v>
      </c>
      <c r="G90" s="10">
        <f>IF(ISNUMBER('Rates from Ireland Fedex Priort'!G89),_xlfn.CEILING.MATH('Rates from Ireland Fedex Priort'!G89,1)+IF($A90="EU",Variables!$B$6,Variables!$B$3),'Rates from Ireland Fedex Priort'!G89)</f>
        <v>106</v>
      </c>
      <c r="H90" s="10">
        <f>IF(ISNUMBER('Rates from Ireland Fedex Priort'!H89),_xlfn.CEILING.MATH('Rates from Ireland Fedex Priort'!H89,1)+IF($A90="EU",Variables!$B$6,Variables!$B$3),'Rates from Ireland Fedex Priort'!H89)</f>
        <v>134</v>
      </c>
      <c r="I90" s="10">
        <f>IF(ISNUMBER('Rates from Ireland Fedex Priort'!I89),_xlfn.CEILING.MATH('Rates from Ireland Fedex Priort'!I89,1)+IF($A90="EU",Variables!$B$6,Variables!$B$3),'Rates from Ireland Fedex Priort'!I89)</f>
        <v>242</v>
      </c>
      <c r="J90" s="10" t="str">
        <f>IF(ISNUMBER('Rates from Ireland Fedex Priort'!J89),_xlfn.CEILING.MATH('Rates from Ireland Fedex Priort'!J89,1)+IF($A90="EU",Variables!$B$6,Variables!$B$3),'Rates from Ireland Fedex Priort'!J89)</f>
        <v>No service</v>
      </c>
      <c r="K90" s="10" t="str">
        <f>IF(ISNUMBER('Rates from Ireland Fedex Priort'!K89),_xlfn.CEILING.MATH('Rates from Ireland Fedex Priort'!K89,1)+IF($A90="EU",Variables!$B$6,Variables!$B$3),'Rates from Ireland Fedex Priort'!K89)</f>
        <v>No service</v>
      </c>
      <c r="L90" s="10" t="str">
        <f>IF(ISNUMBER('Rates from Ireland Fedex Priort'!L89),_xlfn.CEILING.MATH('Rates from Ireland Fedex Priort'!L89,1)+IF($A90="EU",Variables!$B$6,Variables!$B$3),'Rates from Ireland Fedex Priort'!L89)</f>
        <v>No service</v>
      </c>
      <c r="M90" s="10" t="str">
        <f>IF(ISNUMBER('Rates from Ireland Fedex Priort'!M89),_xlfn.CEILING.MATH('Rates from Ireland Fedex Priort'!M89,1)+IF($A90="EU",Variables!$B$6,Variables!$B$3),'Rates from Ireland Fedex Priort'!M89)</f>
        <v>No service</v>
      </c>
      <c r="N90" s="10" t="str">
        <f>IF(ISNUMBER('Rates from Ireland Fedex Priort'!N89),_xlfn.CEILING.MATH('Rates from Ireland Fedex Priort'!N89,1)+IF($A90="EU",Variables!$B$6,Variables!$B$3),'Rates from Ireland Fedex Priort'!N89)</f>
        <v>No service</v>
      </c>
      <c r="O90" s="11" t="s">
        <v>35</v>
      </c>
      <c r="P90" s="11" t="s">
        <v>36</v>
      </c>
      <c r="Q90" s="12">
        <v>80</v>
      </c>
      <c r="R90" s="11" t="s">
        <v>25</v>
      </c>
      <c r="S90" s="3" t="s">
        <v>26</v>
      </c>
      <c r="T90" s="38" t="s">
        <v>27</v>
      </c>
    </row>
    <row r="91" spans="1:20" ht="15.75" customHeight="1" x14ac:dyDescent="0.3">
      <c r="A91" s="39" t="str">
        <f>IF('Rates from Ireland Fedex Priort'!A90="","",'Rates from Ireland Fedex Priort'!A90)</f>
        <v>EU</v>
      </c>
      <c r="B91" s="8" t="str">
        <f>IF('Rates from Ireland Fedex Priort'!B90="","",'Rates from Ireland Fedex Priort'!B90)</f>
        <v>Ireland</v>
      </c>
      <c r="C91" s="9" t="str">
        <f>IF('Rates from Ireland Fedex Priort'!C90="","",'Rates from Ireland Fedex Priort'!C90)</f>
        <v>Guatemala</v>
      </c>
      <c r="D91" s="10">
        <f>IF(ISNUMBER('Rates from Ireland Fedex Priort'!D90),_xlfn.CEILING.MATH('Rates from Ireland Fedex Priort'!D90,1)+IF($A91="EU",Variables!$B$5,Variables!$B$2),'Rates from Ireland Fedex Priort'!D90)</f>
        <v>68</v>
      </c>
      <c r="E91" s="10">
        <f>IF(ISNUMBER('Rates from Ireland Fedex Priort'!E90),_xlfn.CEILING.MATH('Rates from Ireland Fedex Priort'!E90,1)+IF($A91="EU",Variables!$B$6,Variables!$B$3),'Rates from Ireland Fedex Priort'!E90)</f>
        <v>77</v>
      </c>
      <c r="F91" s="10">
        <f>IF(ISNUMBER('Rates from Ireland Fedex Priort'!F90),_xlfn.CEILING.MATH('Rates from Ireland Fedex Priort'!F90,1)+IF($A91="EU",Variables!$B$6,Variables!$B$3),'Rates from Ireland Fedex Priort'!F90)</f>
        <v>81</v>
      </c>
      <c r="G91" s="10">
        <f>IF(ISNUMBER('Rates from Ireland Fedex Priort'!G90),_xlfn.CEILING.MATH('Rates from Ireland Fedex Priort'!G90,1)+IF($A91="EU",Variables!$B$6,Variables!$B$3),'Rates from Ireland Fedex Priort'!G90)</f>
        <v>96</v>
      </c>
      <c r="H91" s="10">
        <f>IF(ISNUMBER('Rates from Ireland Fedex Priort'!H90),_xlfn.CEILING.MATH('Rates from Ireland Fedex Priort'!H90,1)+IF($A91="EU",Variables!$B$6,Variables!$B$3),'Rates from Ireland Fedex Priort'!H90)</f>
        <v>117</v>
      </c>
      <c r="I91" s="10">
        <f>IF(ISNUMBER('Rates from Ireland Fedex Priort'!I90),_xlfn.CEILING.MATH('Rates from Ireland Fedex Priort'!I90,1)+IF($A91="EU",Variables!$B$6,Variables!$B$3),'Rates from Ireland Fedex Priort'!I90)</f>
        <v>219</v>
      </c>
      <c r="J91" s="10" t="str">
        <f>IF(ISNUMBER('Rates from Ireland Fedex Priort'!J90),_xlfn.CEILING.MATH('Rates from Ireland Fedex Priort'!J90,1)+IF($A91="EU",Variables!$B$6,Variables!$B$3),'Rates from Ireland Fedex Priort'!J90)</f>
        <v>No service</v>
      </c>
      <c r="K91" s="10" t="str">
        <f>IF(ISNUMBER('Rates from Ireland Fedex Priort'!K90),_xlfn.CEILING.MATH('Rates from Ireland Fedex Priort'!K90,1)+IF($A91="EU",Variables!$B$6,Variables!$B$3),'Rates from Ireland Fedex Priort'!K90)</f>
        <v>No service</v>
      </c>
      <c r="L91" s="10" t="str">
        <f>IF(ISNUMBER('Rates from Ireland Fedex Priort'!L90),_xlfn.CEILING.MATH('Rates from Ireland Fedex Priort'!L90,1)+IF($A91="EU",Variables!$B$6,Variables!$B$3),'Rates from Ireland Fedex Priort'!L90)</f>
        <v>No service</v>
      </c>
      <c r="M91" s="10" t="str">
        <f>IF(ISNUMBER('Rates from Ireland Fedex Priort'!M90),_xlfn.CEILING.MATH('Rates from Ireland Fedex Priort'!M90,1)+IF($A91="EU",Variables!$B$6,Variables!$B$3),'Rates from Ireland Fedex Priort'!M90)</f>
        <v>No service</v>
      </c>
      <c r="N91" s="10" t="str">
        <f>IF(ISNUMBER('Rates from Ireland Fedex Priort'!N90),_xlfn.CEILING.MATH('Rates from Ireland Fedex Priort'!N90,1)+IF($A91="EU",Variables!$B$6,Variables!$B$3),'Rates from Ireland Fedex Priort'!N90)</f>
        <v>No service</v>
      </c>
      <c r="O91" s="11" t="s">
        <v>41</v>
      </c>
      <c r="P91" s="11" t="s">
        <v>23</v>
      </c>
      <c r="Q91" s="12">
        <v>80</v>
      </c>
      <c r="R91" s="11" t="s">
        <v>25</v>
      </c>
      <c r="S91" s="3" t="s">
        <v>26</v>
      </c>
      <c r="T91" s="38" t="s">
        <v>27</v>
      </c>
    </row>
    <row r="92" spans="1:20" ht="15.75" customHeight="1" x14ac:dyDescent="0.3">
      <c r="A92" s="39" t="str">
        <f>IF('Rates from Ireland Fedex Priort'!A91="","",'Rates from Ireland Fedex Priort'!A91)</f>
        <v>EU</v>
      </c>
      <c r="B92" s="8" t="str">
        <f>IF('Rates from Ireland Fedex Priort'!B91="","",'Rates from Ireland Fedex Priort'!B91)</f>
        <v>Ireland</v>
      </c>
      <c r="C92" s="9" t="str">
        <f>IF('Rates from Ireland Fedex Priort'!C91="","",'Rates from Ireland Fedex Priort'!C91)</f>
        <v>Guernsey</v>
      </c>
      <c r="D92" s="10" t="str">
        <f>IF(ISNUMBER('Rates from Ireland Fedex Priort'!D91),_xlfn.CEILING.MATH('Rates from Ireland Fedex Priort'!D91,1)+IF($A92="EU",Variables!$B$5,Variables!$B$2),'Rates from Ireland Fedex Priort'!D91)</f>
        <v>No service</v>
      </c>
      <c r="E92" s="10" t="str">
        <f>IF(ISNUMBER('Rates from Ireland Fedex Priort'!E91),_xlfn.CEILING.MATH('Rates from Ireland Fedex Priort'!E91,1)+IF($A92="EU",Variables!$B$6,Variables!$B$3),'Rates from Ireland Fedex Priort'!E91)</f>
        <v>No service</v>
      </c>
      <c r="F92" s="10" t="str">
        <f>IF(ISNUMBER('Rates from Ireland Fedex Priort'!F91),_xlfn.CEILING.MATH('Rates from Ireland Fedex Priort'!F91,1)+IF($A92="EU",Variables!$B$6,Variables!$B$3),'Rates from Ireland Fedex Priort'!F91)</f>
        <v>No service</v>
      </c>
      <c r="G92" s="10" t="str">
        <f>IF(ISNUMBER('Rates from Ireland Fedex Priort'!G91),_xlfn.CEILING.MATH('Rates from Ireland Fedex Priort'!G91,1)+IF($A92="EU",Variables!$B$6,Variables!$B$3),'Rates from Ireland Fedex Priort'!G91)</f>
        <v>No service</v>
      </c>
      <c r="H92" s="10" t="str">
        <f>IF(ISNUMBER('Rates from Ireland Fedex Priort'!H91),_xlfn.CEILING.MATH('Rates from Ireland Fedex Priort'!H91,1)+IF($A92="EU",Variables!$B$6,Variables!$B$3),'Rates from Ireland Fedex Priort'!H91)</f>
        <v>No service</v>
      </c>
      <c r="I92" s="10" t="str">
        <f>IF(ISNUMBER('Rates from Ireland Fedex Priort'!I91),_xlfn.CEILING.MATH('Rates from Ireland Fedex Priort'!I91,1)+IF($A92="EU",Variables!$B$6,Variables!$B$3),'Rates from Ireland Fedex Priort'!I91)</f>
        <v>No service</v>
      </c>
      <c r="J92" s="10" t="str">
        <f>IF(ISNUMBER('Rates from Ireland Fedex Priort'!J91),_xlfn.CEILING.MATH('Rates from Ireland Fedex Priort'!J91,1)+IF($A92="EU",Variables!$B$6,Variables!$B$3),'Rates from Ireland Fedex Priort'!J91)</f>
        <v>No service</v>
      </c>
      <c r="K92" s="10" t="str">
        <f>IF(ISNUMBER('Rates from Ireland Fedex Priort'!K91),_xlfn.CEILING.MATH('Rates from Ireland Fedex Priort'!K91,1)+IF($A92="EU",Variables!$B$6,Variables!$B$3),'Rates from Ireland Fedex Priort'!K91)</f>
        <v>No service</v>
      </c>
      <c r="L92" s="10" t="str">
        <f>IF(ISNUMBER('Rates from Ireland Fedex Priort'!L91),_xlfn.CEILING.MATH('Rates from Ireland Fedex Priort'!L91,1)+IF($A92="EU",Variables!$B$6,Variables!$B$3),'Rates from Ireland Fedex Priort'!L91)</f>
        <v>No service</v>
      </c>
      <c r="M92" s="10" t="str">
        <f>IF(ISNUMBER('Rates from Ireland Fedex Priort'!M91),_xlfn.CEILING.MATH('Rates from Ireland Fedex Priort'!M91,1)+IF($A92="EU",Variables!$B$6,Variables!$B$3),'Rates from Ireland Fedex Priort'!M91)</f>
        <v>No service</v>
      </c>
      <c r="N92" s="10" t="str">
        <f>IF(ISNUMBER('Rates from Ireland Fedex Priort'!N91),_xlfn.CEILING.MATH('Rates from Ireland Fedex Priort'!N91,1)+IF($A92="EU",Variables!$B$6,Variables!$B$3),'Rates from Ireland Fedex Priort'!N91)</f>
        <v>No service</v>
      </c>
      <c r="O92" s="11"/>
      <c r="P92" s="11"/>
      <c r="Q92" s="11"/>
      <c r="R92" s="11"/>
      <c r="S92" s="3" t="s">
        <v>26</v>
      </c>
      <c r="T92" s="38" t="s">
        <v>27</v>
      </c>
    </row>
    <row r="93" spans="1:20" ht="15.75" customHeight="1" x14ac:dyDescent="0.3">
      <c r="A93" s="39" t="str">
        <f>IF('Rates from Ireland Fedex Priort'!A92="","",'Rates from Ireland Fedex Priort'!A92)</f>
        <v>EU</v>
      </c>
      <c r="B93" s="8" t="str">
        <f>IF('Rates from Ireland Fedex Priort'!B92="","",'Rates from Ireland Fedex Priort'!B92)</f>
        <v>Ireland</v>
      </c>
      <c r="C93" s="9" t="str">
        <f>IF('Rates from Ireland Fedex Priort'!C92="","",'Rates from Ireland Fedex Priort'!C92)</f>
        <v>Guinea</v>
      </c>
      <c r="D93" s="10">
        <f>IF(ISNUMBER('Rates from Ireland Fedex Priort'!D92),_xlfn.CEILING.MATH('Rates from Ireland Fedex Priort'!D92,1)+IF($A93="EU",Variables!$B$5,Variables!$B$2),'Rates from Ireland Fedex Priort'!D92)</f>
        <v>72</v>
      </c>
      <c r="E93" s="10">
        <f>IF(ISNUMBER('Rates from Ireland Fedex Priort'!E92),_xlfn.CEILING.MATH('Rates from Ireland Fedex Priort'!E92,1)+IF($A93="EU",Variables!$B$6,Variables!$B$3),'Rates from Ireland Fedex Priort'!E92)</f>
        <v>83</v>
      </c>
      <c r="F93" s="10">
        <f>IF(ISNUMBER('Rates from Ireland Fedex Priort'!F92),_xlfn.CEILING.MATH('Rates from Ireland Fedex Priort'!F92,1)+IF($A93="EU",Variables!$B$6,Variables!$B$3),'Rates from Ireland Fedex Priort'!F92)</f>
        <v>88</v>
      </c>
      <c r="G93" s="10">
        <f>IF(ISNUMBER('Rates from Ireland Fedex Priort'!G92),_xlfn.CEILING.MATH('Rates from Ireland Fedex Priort'!G92,1)+IF($A93="EU",Variables!$B$6,Variables!$B$3),'Rates from Ireland Fedex Priort'!G92)</f>
        <v>106</v>
      </c>
      <c r="H93" s="10">
        <f>IF(ISNUMBER('Rates from Ireland Fedex Priort'!H92),_xlfn.CEILING.MATH('Rates from Ireland Fedex Priort'!H92,1)+IF($A93="EU",Variables!$B$6,Variables!$B$3),'Rates from Ireland Fedex Priort'!H92)</f>
        <v>134</v>
      </c>
      <c r="I93" s="10">
        <f>IF(ISNUMBER('Rates from Ireland Fedex Priort'!I92),_xlfn.CEILING.MATH('Rates from Ireland Fedex Priort'!I92,1)+IF($A93="EU",Variables!$B$6,Variables!$B$3),'Rates from Ireland Fedex Priort'!I92)</f>
        <v>242</v>
      </c>
      <c r="J93" s="10" t="str">
        <f>IF(ISNUMBER('Rates from Ireland Fedex Priort'!J92),_xlfn.CEILING.MATH('Rates from Ireland Fedex Priort'!J92,1)+IF($A93="EU",Variables!$B$6,Variables!$B$3),'Rates from Ireland Fedex Priort'!J92)</f>
        <v>No service</v>
      </c>
      <c r="K93" s="10" t="str">
        <f>IF(ISNUMBER('Rates from Ireland Fedex Priort'!K92),_xlfn.CEILING.MATH('Rates from Ireland Fedex Priort'!K92,1)+IF($A93="EU",Variables!$B$6,Variables!$B$3),'Rates from Ireland Fedex Priort'!K92)</f>
        <v>No service</v>
      </c>
      <c r="L93" s="10" t="str">
        <f>IF(ISNUMBER('Rates from Ireland Fedex Priort'!L92),_xlfn.CEILING.MATH('Rates from Ireland Fedex Priort'!L92,1)+IF($A93="EU",Variables!$B$6,Variables!$B$3),'Rates from Ireland Fedex Priort'!L92)</f>
        <v>No service</v>
      </c>
      <c r="M93" s="10" t="str">
        <f>IF(ISNUMBER('Rates from Ireland Fedex Priort'!M92),_xlfn.CEILING.MATH('Rates from Ireland Fedex Priort'!M92,1)+IF($A93="EU",Variables!$B$6,Variables!$B$3),'Rates from Ireland Fedex Priort'!M92)</f>
        <v>No service</v>
      </c>
      <c r="N93" s="10" t="str">
        <f>IF(ISNUMBER('Rates from Ireland Fedex Priort'!N92),_xlfn.CEILING.MATH('Rates from Ireland Fedex Priort'!N92,1)+IF($A93="EU",Variables!$B$6,Variables!$B$3),'Rates from Ireland Fedex Priort'!N92)</f>
        <v>No service</v>
      </c>
      <c r="O93" s="11" t="s">
        <v>35</v>
      </c>
      <c r="P93" s="11" t="s">
        <v>36</v>
      </c>
      <c r="Q93" s="12">
        <v>80</v>
      </c>
      <c r="R93" s="11" t="s">
        <v>25</v>
      </c>
      <c r="S93" s="3" t="s">
        <v>26</v>
      </c>
      <c r="T93" s="38" t="s">
        <v>27</v>
      </c>
    </row>
    <row r="94" spans="1:20" ht="15.75" customHeight="1" x14ac:dyDescent="0.3">
      <c r="A94" s="39" t="str">
        <f>IF('Rates from Ireland Fedex Priort'!A93="","",'Rates from Ireland Fedex Priort'!A93)</f>
        <v>EU</v>
      </c>
      <c r="B94" s="8" t="str">
        <f>IF('Rates from Ireland Fedex Priort'!B93="","",'Rates from Ireland Fedex Priort'!B93)</f>
        <v>Ireland</v>
      </c>
      <c r="C94" s="9" t="str">
        <f>IF('Rates from Ireland Fedex Priort'!C93="","",'Rates from Ireland Fedex Priort'!C93)</f>
        <v>Guinea-Bissau</v>
      </c>
      <c r="D94" s="10" t="str">
        <f>IF(ISNUMBER('Rates from Ireland Fedex Priort'!D93),_xlfn.CEILING.MATH('Rates from Ireland Fedex Priort'!D93,1)+IF($A94="EU",Variables!$B$5,Variables!$B$2),'Rates from Ireland Fedex Priort'!D93)</f>
        <v>No service</v>
      </c>
      <c r="E94" s="10" t="str">
        <f>IF(ISNUMBER('Rates from Ireland Fedex Priort'!E93),_xlfn.CEILING.MATH('Rates from Ireland Fedex Priort'!E93,1)+IF($A94="EU",Variables!$B$6,Variables!$B$3),'Rates from Ireland Fedex Priort'!E93)</f>
        <v>No service</v>
      </c>
      <c r="F94" s="10" t="str">
        <f>IF(ISNUMBER('Rates from Ireland Fedex Priort'!F93),_xlfn.CEILING.MATH('Rates from Ireland Fedex Priort'!F93,1)+IF($A94="EU",Variables!$B$6,Variables!$B$3),'Rates from Ireland Fedex Priort'!F93)</f>
        <v>No service</v>
      </c>
      <c r="G94" s="10" t="str">
        <f>IF(ISNUMBER('Rates from Ireland Fedex Priort'!G93),_xlfn.CEILING.MATH('Rates from Ireland Fedex Priort'!G93,1)+IF($A94="EU",Variables!$B$6,Variables!$B$3),'Rates from Ireland Fedex Priort'!G93)</f>
        <v>No service</v>
      </c>
      <c r="H94" s="10" t="str">
        <f>IF(ISNUMBER('Rates from Ireland Fedex Priort'!H93),_xlfn.CEILING.MATH('Rates from Ireland Fedex Priort'!H93,1)+IF($A94="EU",Variables!$B$6,Variables!$B$3),'Rates from Ireland Fedex Priort'!H93)</f>
        <v>No service</v>
      </c>
      <c r="I94" s="10" t="str">
        <f>IF(ISNUMBER('Rates from Ireland Fedex Priort'!I93),_xlfn.CEILING.MATH('Rates from Ireland Fedex Priort'!I93,1)+IF($A94="EU",Variables!$B$6,Variables!$B$3),'Rates from Ireland Fedex Priort'!I93)</f>
        <v>No service</v>
      </c>
      <c r="J94" s="10" t="str">
        <f>IF(ISNUMBER('Rates from Ireland Fedex Priort'!J93),_xlfn.CEILING.MATH('Rates from Ireland Fedex Priort'!J93,1)+IF($A94="EU",Variables!$B$6,Variables!$B$3),'Rates from Ireland Fedex Priort'!J93)</f>
        <v>No service</v>
      </c>
      <c r="K94" s="10" t="str">
        <f>IF(ISNUMBER('Rates from Ireland Fedex Priort'!K93),_xlfn.CEILING.MATH('Rates from Ireland Fedex Priort'!K93,1)+IF($A94="EU",Variables!$B$6,Variables!$B$3),'Rates from Ireland Fedex Priort'!K93)</f>
        <v>No service</v>
      </c>
      <c r="L94" s="10" t="str">
        <f>IF(ISNUMBER('Rates from Ireland Fedex Priort'!L93),_xlfn.CEILING.MATH('Rates from Ireland Fedex Priort'!L93,1)+IF($A94="EU",Variables!$B$6,Variables!$B$3),'Rates from Ireland Fedex Priort'!L93)</f>
        <v>No service</v>
      </c>
      <c r="M94" s="10" t="str">
        <f>IF(ISNUMBER('Rates from Ireland Fedex Priort'!M93),_xlfn.CEILING.MATH('Rates from Ireland Fedex Priort'!M93,1)+IF($A94="EU",Variables!$B$6,Variables!$B$3),'Rates from Ireland Fedex Priort'!M93)</f>
        <v>No service</v>
      </c>
      <c r="N94" s="10" t="str">
        <f>IF(ISNUMBER('Rates from Ireland Fedex Priort'!N93),_xlfn.CEILING.MATH('Rates from Ireland Fedex Priort'!N93,1)+IF($A94="EU",Variables!$B$6,Variables!$B$3),'Rates from Ireland Fedex Priort'!N93)</f>
        <v>No service</v>
      </c>
      <c r="O94" s="11"/>
      <c r="P94" s="11"/>
      <c r="Q94" s="11"/>
      <c r="R94" s="11"/>
      <c r="S94" s="3" t="s">
        <v>26</v>
      </c>
      <c r="T94" s="38" t="s">
        <v>27</v>
      </c>
    </row>
    <row r="95" spans="1:20" ht="15.75" customHeight="1" x14ac:dyDescent="0.3">
      <c r="A95" s="39" t="str">
        <f>IF('Rates from Ireland Fedex Priort'!A94="","",'Rates from Ireland Fedex Priort'!A94)</f>
        <v>EU</v>
      </c>
      <c r="B95" s="8" t="str">
        <f>IF('Rates from Ireland Fedex Priort'!B94="","",'Rates from Ireland Fedex Priort'!B94)</f>
        <v>Ireland</v>
      </c>
      <c r="C95" s="9" t="str">
        <f>IF('Rates from Ireland Fedex Priort'!C94="","",'Rates from Ireland Fedex Priort'!C94)</f>
        <v>Guyana</v>
      </c>
      <c r="D95" s="10">
        <f>IF(ISNUMBER('Rates from Ireland Fedex Priort'!D94),_xlfn.CEILING.MATH('Rates from Ireland Fedex Priort'!D94,1)+IF($A95="EU",Variables!$B$5,Variables!$B$2),'Rates from Ireland Fedex Priort'!D94)</f>
        <v>68</v>
      </c>
      <c r="E95" s="10">
        <f>IF(ISNUMBER('Rates from Ireland Fedex Priort'!E94),_xlfn.CEILING.MATH('Rates from Ireland Fedex Priort'!E94,1)+IF($A95="EU",Variables!$B$6,Variables!$B$3),'Rates from Ireland Fedex Priort'!E94)</f>
        <v>77</v>
      </c>
      <c r="F95" s="10">
        <f>IF(ISNUMBER('Rates from Ireland Fedex Priort'!F94),_xlfn.CEILING.MATH('Rates from Ireland Fedex Priort'!F94,1)+IF($A95="EU",Variables!$B$6,Variables!$B$3),'Rates from Ireland Fedex Priort'!F94)</f>
        <v>81</v>
      </c>
      <c r="G95" s="10">
        <f>IF(ISNUMBER('Rates from Ireland Fedex Priort'!G94),_xlfn.CEILING.MATH('Rates from Ireland Fedex Priort'!G94,1)+IF($A95="EU",Variables!$B$6,Variables!$B$3),'Rates from Ireland Fedex Priort'!G94)</f>
        <v>96</v>
      </c>
      <c r="H95" s="10">
        <f>IF(ISNUMBER('Rates from Ireland Fedex Priort'!H94),_xlfn.CEILING.MATH('Rates from Ireland Fedex Priort'!H94,1)+IF($A95="EU",Variables!$B$6,Variables!$B$3),'Rates from Ireland Fedex Priort'!H94)</f>
        <v>117</v>
      </c>
      <c r="I95" s="10">
        <f>IF(ISNUMBER('Rates from Ireland Fedex Priort'!I94),_xlfn.CEILING.MATH('Rates from Ireland Fedex Priort'!I94,1)+IF($A95="EU",Variables!$B$6,Variables!$B$3),'Rates from Ireland Fedex Priort'!I94)</f>
        <v>219</v>
      </c>
      <c r="J95" s="10" t="str">
        <f>IF(ISNUMBER('Rates from Ireland Fedex Priort'!J94),_xlfn.CEILING.MATH('Rates from Ireland Fedex Priort'!J94,1)+IF($A95="EU",Variables!$B$6,Variables!$B$3),'Rates from Ireland Fedex Priort'!J94)</f>
        <v>No service</v>
      </c>
      <c r="K95" s="10" t="str">
        <f>IF(ISNUMBER('Rates from Ireland Fedex Priort'!K94),_xlfn.CEILING.MATH('Rates from Ireland Fedex Priort'!K94,1)+IF($A95="EU",Variables!$B$6,Variables!$B$3),'Rates from Ireland Fedex Priort'!K94)</f>
        <v>No service</v>
      </c>
      <c r="L95" s="10" t="str">
        <f>IF(ISNUMBER('Rates from Ireland Fedex Priort'!L94),_xlfn.CEILING.MATH('Rates from Ireland Fedex Priort'!L94,1)+IF($A95="EU",Variables!$B$6,Variables!$B$3),'Rates from Ireland Fedex Priort'!L94)</f>
        <v>No service</v>
      </c>
      <c r="M95" s="10" t="str">
        <f>IF(ISNUMBER('Rates from Ireland Fedex Priort'!M94),_xlfn.CEILING.MATH('Rates from Ireland Fedex Priort'!M94,1)+IF($A95="EU",Variables!$B$6,Variables!$B$3),'Rates from Ireland Fedex Priort'!M94)</f>
        <v>No service</v>
      </c>
      <c r="N95" s="10" t="str">
        <f>IF(ISNUMBER('Rates from Ireland Fedex Priort'!N94),_xlfn.CEILING.MATH('Rates from Ireland Fedex Priort'!N94,1)+IF($A95="EU",Variables!$B$6,Variables!$B$3),'Rates from Ireland Fedex Priort'!N94)</f>
        <v>No service</v>
      </c>
      <c r="O95" s="11" t="s">
        <v>41</v>
      </c>
      <c r="P95" s="11" t="s">
        <v>23</v>
      </c>
      <c r="Q95" s="12">
        <v>80</v>
      </c>
      <c r="R95" s="11" t="s">
        <v>25</v>
      </c>
      <c r="S95" s="3" t="s">
        <v>26</v>
      </c>
      <c r="T95" s="38" t="s">
        <v>27</v>
      </c>
    </row>
    <row r="96" spans="1:20" ht="15.75" customHeight="1" x14ac:dyDescent="0.3">
      <c r="A96" s="39" t="str">
        <f>IF('Rates from Ireland Fedex Priort'!A95="","",'Rates from Ireland Fedex Priort'!A95)</f>
        <v>EU</v>
      </c>
      <c r="B96" s="8" t="str">
        <f>IF('Rates from Ireland Fedex Priort'!B95="","",'Rates from Ireland Fedex Priort'!B95)</f>
        <v>Ireland</v>
      </c>
      <c r="C96" s="9" t="str">
        <f>IF('Rates from Ireland Fedex Priort'!C95="","",'Rates from Ireland Fedex Priort'!C95)</f>
        <v>Haiti</v>
      </c>
      <c r="D96" s="10">
        <f>IF(ISNUMBER('Rates from Ireland Fedex Priort'!D95),_xlfn.CEILING.MATH('Rates from Ireland Fedex Priort'!D95,1)+IF($A96="EU",Variables!$B$5,Variables!$B$2),'Rates from Ireland Fedex Priort'!D95)</f>
        <v>68</v>
      </c>
      <c r="E96" s="10">
        <f>IF(ISNUMBER('Rates from Ireland Fedex Priort'!E95),_xlfn.CEILING.MATH('Rates from Ireland Fedex Priort'!E95,1)+IF($A96="EU",Variables!$B$6,Variables!$B$3),'Rates from Ireland Fedex Priort'!E95)</f>
        <v>77</v>
      </c>
      <c r="F96" s="10">
        <f>IF(ISNUMBER('Rates from Ireland Fedex Priort'!F95),_xlfn.CEILING.MATH('Rates from Ireland Fedex Priort'!F95,1)+IF($A96="EU",Variables!$B$6,Variables!$B$3),'Rates from Ireland Fedex Priort'!F95)</f>
        <v>81</v>
      </c>
      <c r="G96" s="10">
        <f>IF(ISNUMBER('Rates from Ireland Fedex Priort'!G95),_xlfn.CEILING.MATH('Rates from Ireland Fedex Priort'!G95,1)+IF($A96="EU",Variables!$B$6,Variables!$B$3),'Rates from Ireland Fedex Priort'!G95)</f>
        <v>96</v>
      </c>
      <c r="H96" s="10">
        <f>IF(ISNUMBER('Rates from Ireland Fedex Priort'!H95),_xlfn.CEILING.MATH('Rates from Ireland Fedex Priort'!H95,1)+IF($A96="EU",Variables!$B$6,Variables!$B$3),'Rates from Ireland Fedex Priort'!H95)</f>
        <v>117</v>
      </c>
      <c r="I96" s="10">
        <f>IF(ISNUMBER('Rates from Ireland Fedex Priort'!I95),_xlfn.CEILING.MATH('Rates from Ireland Fedex Priort'!I95,1)+IF($A96="EU",Variables!$B$6,Variables!$B$3),'Rates from Ireland Fedex Priort'!I95)</f>
        <v>219</v>
      </c>
      <c r="J96" s="10" t="str">
        <f>IF(ISNUMBER('Rates from Ireland Fedex Priort'!J95),_xlfn.CEILING.MATH('Rates from Ireland Fedex Priort'!J95,1)+IF($A96="EU",Variables!$B$6,Variables!$B$3),'Rates from Ireland Fedex Priort'!J95)</f>
        <v>No service</v>
      </c>
      <c r="K96" s="10" t="str">
        <f>IF(ISNUMBER('Rates from Ireland Fedex Priort'!K95),_xlfn.CEILING.MATH('Rates from Ireland Fedex Priort'!K95,1)+IF($A96="EU",Variables!$B$6,Variables!$B$3),'Rates from Ireland Fedex Priort'!K95)</f>
        <v>No service</v>
      </c>
      <c r="L96" s="10" t="str">
        <f>IF(ISNUMBER('Rates from Ireland Fedex Priort'!L95),_xlfn.CEILING.MATH('Rates from Ireland Fedex Priort'!L95,1)+IF($A96="EU",Variables!$B$6,Variables!$B$3),'Rates from Ireland Fedex Priort'!L95)</f>
        <v>No service</v>
      </c>
      <c r="M96" s="10" t="str">
        <f>IF(ISNUMBER('Rates from Ireland Fedex Priort'!M95),_xlfn.CEILING.MATH('Rates from Ireland Fedex Priort'!M95,1)+IF($A96="EU",Variables!$B$6,Variables!$B$3),'Rates from Ireland Fedex Priort'!M95)</f>
        <v>No service</v>
      </c>
      <c r="N96" s="10" t="str">
        <f>IF(ISNUMBER('Rates from Ireland Fedex Priort'!N95),_xlfn.CEILING.MATH('Rates from Ireland Fedex Priort'!N95,1)+IF($A96="EU",Variables!$B$6,Variables!$B$3),'Rates from Ireland Fedex Priort'!N95)</f>
        <v>No service</v>
      </c>
      <c r="O96" s="11" t="s">
        <v>41</v>
      </c>
      <c r="P96" s="11" t="s">
        <v>23</v>
      </c>
      <c r="Q96" s="12">
        <v>80</v>
      </c>
      <c r="R96" s="11" t="s">
        <v>25</v>
      </c>
      <c r="S96" s="3" t="s">
        <v>26</v>
      </c>
      <c r="T96" s="38" t="s">
        <v>27</v>
      </c>
    </row>
    <row r="97" spans="1:20" ht="15.75" customHeight="1" x14ac:dyDescent="0.3">
      <c r="A97" s="39" t="str">
        <f>IF('Rates from Ireland Fedex Priort'!A96="","",'Rates from Ireland Fedex Priort'!A96)</f>
        <v>EU</v>
      </c>
      <c r="B97" s="8" t="str">
        <f>IF('Rates from Ireland Fedex Priort'!B96="","",'Rates from Ireland Fedex Priort'!B96)</f>
        <v>Ireland</v>
      </c>
      <c r="C97" s="9" t="str">
        <f>IF('Rates from Ireland Fedex Priort'!C96="","",'Rates from Ireland Fedex Priort'!C96)</f>
        <v>Honduras</v>
      </c>
      <c r="D97" s="10">
        <f>IF(ISNUMBER('Rates from Ireland Fedex Priort'!D96),_xlfn.CEILING.MATH('Rates from Ireland Fedex Priort'!D96,1)+IF($A97="EU",Variables!$B$5,Variables!$B$2),'Rates from Ireland Fedex Priort'!D96)</f>
        <v>68</v>
      </c>
      <c r="E97" s="10">
        <f>IF(ISNUMBER('Rates from Ireland Fedex Priort'!E96),_xlfn.CEILING.MATH('Rates from Ireland Fedex Priort'!E96,1)+IF($A97="EU",Variables!$B$6,Variables!$B$3),'Rates from Ireland Fedex Priort'!E96)</f>
        <v>77</v>
      </c>
      <c r="F97" s="10">
        <f>IF(ISNUMBER('Rates from Ireland Fedex Priort'!F96),_xlfn.CEILING.MATH('Rates from Ireland Fedex Priort'!F96,1)+IF($A97="EU",Variables!$B$6,Variables!$B$3),'Rates from Ireland Fedex Priort'!F96)</f>
        <v>81</v>
      </c>
      <c r="G97" s="10">
        <f>IF(ISNUMBER('Rates from Ireland Fedex Priort'!G96),_xlfn.CEILING.MATH('Rates from Ireland Fedex Priort'!G96,1)+IF($A97="EU",Variables!$B$6,Variables!$B$3),'Rates from Ireland Fedex Priort'!G96)</f>
        <v>96</v>
      </c>
      <c r="H97" s="10">
        <f>IF(ISNUMBER('Rates from Ireland Fedex Priort'!H96),_xlfn.CEILING.MATH('Rates from Ireland Fedex Priort'!H96,1)+IF($A97="EU",Variables!$B$6,Variables!$B$3),'Rates from Ireland Fedex Priort'!H96)</f>
        <v>117</v>
      </c>
      <c r="I97" s="10">
        <f>IF(ISNUMBER('Rates from Ireland Fedex Priort'!I96),_xlfn.CEILING.MATH('Rates from Ireland Fedex Priort'!I96,1)+IF($A97="EU",Variables!$B$6,Variables!$B$3),'Rates from Ireland Fedex Priort'!I96)</f>
        <v>219</v>
      </c>
      <c r="J97" s="10" t="str">
        <f>IF(ISNUMBER('Rates from Ireland Fedex Priort'!J96),_xlfn.CEILING.MATH('Rates from Ireland Fedex Priort'!J96,1)+IF($A97="EU",Variables!$B$6,Variables!$B$3),'Rates from Ireland Fedex Priort'!J96)</f>
        <v>No service</v>
      </c>
      <c r="K97" s="10" t="str">
        <f>IF(ISNUMBER('Rates from Ireland Fedex Priort'!K96),_xlfn.CEILING.MATH('Rates from Ireland Fedex Priort'!K96,1)+IF($A97="EU",Variables!$B$6,Variables!$B$3),'Rates from Ireland Fedex Priort'!K96)</f>
        <v>No service</v>
      </c>
      <c r="L97" s="10" t="str">
        <f>IF(ISNUMBER('Rates from Ireland Fedex Priort'!L96),_xlfn.CEILING.MATH('Rates from Ireland Fedex Priort'!L96,1)+IF($A97="EU",Variables!$B$6,Variables!$B$3),'Rates from Ireland Fedex Priort'!L96)</f>
        <v>No service</v>
      </c>
      <c r="M97" s="10" t="str">
        <f>IF(ISNUMBER('Rates from Ireland Fedex Priort'!M96),_xlfn.CEILING.MATH('Rates from Ireland Fedex Priort'!M96,1)+IF($A97="EU",Variables!$B$6,Variables!$B$3),'Rates from Ireland Fedex Priort'!M96)</f>
        <v>No service</v>
      </c>
      <c r="N97" s="10" t="str">
        <f>IF(ISNUMBER('Rates from Ireland Fedex Priort'!N96),_xlfn.CEILING.MATH('Rates from Ireland Fedex Priort'!N96,1)+IF($A97="EU",Variables!$B$6,Variables!$B$3),'Rates from Ireland Fedex Priort'!N96)</f>
        <v>No service</v>
      </c>
      <c r="O97" s="11" t="s">
        <v>41</v>
      </c>
      <c r="P97" s="11" t="s">
        <v>23</v>
      </c>
      <c r="Q97" s="12">
        <v>80</v>
      </c>
      <c r="R97" s="11" t="s">
        <v>25</v>
      </c>
      <c r="S97" s="3" t="s">
        <v>26</v>
      </c>
      <c r="T97" s="38" t="s">
        <v>27</v>
      </c>
    </row>
    <row r="98" spans="1:20" ht="15.75" customHeight="1" x14ac:dyDescent="0.3">
      <c r="A98" s="39" t="str">
        <f>IF('Rates from Ireland Fedex Priort'!A97="","",'Rates from Ireland Fedex Priort'!A97)</f>
        <v>EU</v>
      </c>
      <c r="B98" s="8" t="str">
        <f>IF('Rates from Ireland Fedex Priort'!B97="","",'Rates from Ireland Fedex Priort'!B97)</f>
        <v>Ireland</v>
      </c>
      <c r="C98" s="9" t="str">
        <f>IF('Rates from Ireland Fedex Priort'!C97="","",'Rates from Ireland Fedex Priort'!C97)</f>
        <v>Hong Kong</v>
      </c>
      <c r="D98" s="10">
        <f>IF(ISNUMBER('Rates from Ireland Fedex Priort'!D97),_xlfn.CEILING.MATH('Rates from Ireland Fedex Priort'!D97,1)+IF($A98="EU",Variables!$B$5,Variables!$B$2),'Rates from Ireland Fedex Priort'!D97)</f>
        <v>59</v>
      </c>
      <c r="E98" s="10">
        <f>IF(ISNUMBER('Rates from Ireland Fedex Priort'!E97),_xlfn.CEILING.MATH('Rates from Ireland Fedex Priort'!E97,1)+IF($A98="EU",Variables!$B$6,Variables!$B$3),'Rates from Ireland Fedex Priort'!E97)</f>
        <v>101</v>
      </c>
      <c r="F98" s="10">
        <f>IF(ISNUMBER('Rates from Ireland Fedex Priort'!F97),_xlfn.CEILING.MATH('Rates from Ireland Fedex Priort'!F97,1)+IF($A98="EU",Variables!$B$6,Variables!$B$3),'Rates from Ireland Fedex Priort'!F97)</f>
        <v>104</v>
      </c>
      <c r="G98" s="10">
        <f>IF(ISNUMBER('Rates from Ireland Fedex Priort'!G97),_xlfn.CEILING.MATH('Rates from Ireland Fedex Priort'!G97,1)+IF($A98="EU",Variables!$B$6,Variables!$B$3),'Rates from Ireland Fedex Priort'!G97)</f>
        <v>117</v>
      </c>
      <c r="H98" s="10">
        <f>IF(ISNUMBER('Rates from Ireland Fedex Priort'!H97),_xlfn.CEILING.MATH('Rates from Ireland Fedex Priort'!H97,1)+IF($A98="EU",Variables!$B$6,Variables!$B$3),'Rates from Ireland Fedex Priort'!H97)</f>
        <v>131</v>
      </c>
      <c r="I98" s="10">
        <f>IF(ISNUMBER('Rates from Ireland Fedex Priort'!I97),_xlfn.CEILING.MATH('Rates from Ireland Fedex Priort'!I97,1)+IF($A98="EU",Variables!$B$6,Variables!$B$3),'Rates from Ireland Fedex Priort'!I97)</f>
        <v>196</v>
      </c>
      <c r="J98" s="10" t="str">
        <f>IF(ISNUMBER('Rates from Ireland Fedex Priort'!J97),_xlfn.CEILING.MATH('Rates from Ireland Fedex Priort'!J97,1)+IF($A98="EU",Variables!$B$6,Variables!$B$3),'Rates from Ireland Fedex Priort'!J97)</f>
        <v>No service</v>
      </c>
      <c r="K98" s="10" t="str">
        <f>IF(ISNUMBER('Rates from Ireland Fedex Priort'!K97),_xlfn.CEILING.MATH('Rates from Ireland Fedex Priort'!K97,1)+IF($A98="EU",Variables!$B$6,Variables!$B$3),'Rates from Ireland Fedex Priort'!K97)</f>
        <v>No service</v>
      </c>
      <c r="L98" s="10" t="str">
        <f>IF(ISNUMBER('Rates from Ireland Fedex Priort'!L97),_xlfn.CEILING.MATH('Rates from Ireland Fedex Priort'!L97,1)+IF($A98="EU",Variables!$B$6,Variables!$B$3),'Rates from Ireland Fedex Priort'!L97)</f>
        <v>No service</v>
      </c>
      <c r="M98" s="10" t="str">
        <f>IF(ISNUMBER('Rates from Ireland Fedex Priort'!M97),_xlfn.CEILING.MATH('Rates from Ireland Fedex Priort'!M97,1)+IF($A98="EU",Variables!$B$6,Variables!$B$3),'Rates from Ireland Fedex Priort'!M97)</f>
        <v>No service</v>
      </c>
      <c r="N98" s="10" t="str">
        <f>IF(ISNUMBER('Rates from Ireland Fedex Priort'!N97),_xlfn.CEILING.MATH('Rates from Ireland Fedex Priort'!N97,1)+IF($A98="EU",Variables!$B$6,Variables!$B$3),'Rates from Ireland Fedex Priort'!N97)</f>
        <v>No service</v>
      </c>
      <c r="O98" s="11" t="s">
        <v>30</v>
      </c>
      <c r="P98" s="11" t="s">
        <v>82</v>
      </c>
      <c r="Q98" s="12">
        <v>80</v>
      </c>
      <c r="R98" s="11" t="s">
        <v>25</v>
      </c>
      <c r="S98" s="3" t="s">
        <v>26</v>
      </c>
      <c r="T98" s="38" t="s">
        <v>27</v>
      </c>
    </row>
    <row r="99" spans="1:20" ht="15.75" customHeight="1" x14ac:dyDescent="0.3">
      <c r="A99" s="39" t="str">
        <f>IF('Rates from Ireland Fedex Priort'!A98="","",'Rates from Ireland Fedex Priort'!A98)</f>
        <v>EU</v>
      </c>
      <c r="B99" s="8" t="str">
        <f>IF('Rates from Ireland Fedex Priort'!B98="","",'Rates from Ireland Fedex Priort'!B98)</f>
        <v>Ireland</v>
      </c>
      <c r="C99" s="9" t="str">
        <f>IF('Rates from Ireland Fedex Priort'!C98="","",'Rates from Ireland Fedex Priort'!C98)</f>
        <v>Hungary</v>
      </c>
      <c r="D99" s="10">
        <f>IF(ISNUMBER('Rates from Ireland Fedex Priort'!D98),_xlfn.CEILING.MATH('Rates from Ireland Fedex Priort'!D98,1)+IF($A99="EU",Variables!$B$5,Variables!$B$2),'Rates from Ireland Fedex Priort'!D98)</f>
        <v>67</v>
      </c>
      <c r="E99" s="10">
        <f>IF(ISNUMBER('Rates from Ireland Fedex Priort'!E98),_xlfn.CEILING.MATH('Rates from Ireland Fedex Priort'!E98,1)+IF($A99="EU",Variables!$B$6,Variables!$B$3),'Rates from Ireland Fedex Priort'!E98)</f>
        <v>74</v>
      </c>
      <c r="F99" s="10">
        <f>IF(ISNUMBER('Rates from Ireland Fedex Priort'!F98),_xlfn.CEILING.MATH('Rates from Ireland Fedex Priort'!F98,1)+IF($A99="EU",Variables!$B$6,Variables!$B$3),'Rates from Ireland Fedex Priort'!F98)</f>
        <v>77</v>
      </c>
      <c r="G99" s="10">
        <f>IF(ISNUMBER('Rates from Ireland Fedex Priort'!G98),_xlfn.CEILING.MATH('Rates from Ireland Fedex Priort'!G98,1)+IF($A99="EU",Variables!$B$6,Variables!$B$3),'Rates from Ireland Fedex Priort'!G98)</f>
        <v>79</v>
      </c>
      <c r="H99" s="10">
        <f>IF(ISNUMBER('Rates from Ireland Fedex Priort'!H98),_xlfn.CEILING.MATH('Rates from Ireland Fedex Priort'!H98,1)+IF($A99="EU",Variables!$B$6,Variables!$B$3),'Rates from Ireland Fedex Priort'!H98)</f>
        <v>82</v>
      </c>
      <c r="I99" s="10">
        <f>IF(ISNUMBER('Rates from Ireland Fedex Priort'!I98),_xlfn.CEILING.MATH('Rates from Ireland Fedex Priort'!I98,1)+IF($A99="EU",Variables!$B$6,Variables!$B$3),'Rates from Ireland Fedex Priort'!I98)</f>
        <v>95</v>
      </c>
      <c r="J99" s="10">
        <f>IF(ISNUMBER('Rates from Ireland Fedex Priort'!J98),_xlfn.CEILING.MATH('Rates from Ireland Fedex Priort'!J98,1)+IF($A99="EU",Variables!$B$6,Variables!$B$3),'Rates from Ireland Fedex Priort'!J98)</f>
        <v>103</v>
      </c>
      <c r="K99" s="10">
        <f>IF(ISNUMBER('Rates from Ireland Fedex Priort'!K98),_xlfn.CEILING.MATH('Rates from Ireland Fedex Priort'!K98,1)+IF($A99="EU",Variables!$B$6,Variables!$B$3),'Rates from Ireland Fedex Priort'!K98)</f>
        <v>112</v>
      </c>
      <c r="L99" s="10">
        <f>IF(ISNUMBER('Rates from Ireland Fedex Priort'!L98),_xlfn.CEILING.MATH('Rates from Ireland Fedex Priort'!L98,1)+IF($A99="EU",Variables!$B$6,Variables!$B$3),'Rates from Ireland Fedex Priort'!L98)</f>
        <v>139</v>
      </c>
      <c r="M99" s="10">
        <f>IF(ISNUMBER('Rates from Ireland Fedex Priort'!M98),_xlfn.CEILING.MATH('Rates from Ireland Fedex Priort'!M98,1)+IF($A99="EU",Variables!$B$6,Variables!$B$3),'Rates from Ireland Fedex Priort'!M98)</f>
        <v>147</v>
      </c>
      <c r="N99" s="10">
        <f>IF(ISNUMBER('Rates from Ireland Fedex Priort'!N98),_xlfn.CEILING.MATH('Rates from Ireland Fedex Priort'!N98,1)+IF($A99="EU",Variables!$B$6,Variables!$B$3),'Rates from Ireland Fedex Priort'!N98)</f>
        <v>152</v>
      </c>
      <c r="O99" s="15" t="s">
        <v>29</v>
      </c>
      <c r="P99" s="15" t="s">
        <v>94</v>
      </c>
      <c r="Q99" s="16">
        <v>80</v>
      </c>
      <c r="R99" s="15" t="s">
        <v>25</v>
      </c>
      <c r="S99" s="17" t="s">
        <v>26</v>
      </c>
      <c r="T99" s="40" t="s">
        <v>27</v>
      </c>
    </row>
    <row r="100" spans="1:20" ht="15.75" customHeight="1" x14ac:dyDescent="0.3">
      <c r="A100" s="39" t="str">
        <f>IF('Rates from Ireland Fedex Priort'!A99="","",'Rates from Ireland Fedex Priort'!A99)</f>
        <v>EU</v>
      </c>
      <c r="B100" s="8" t="str">
        <f>IF('Rates from Ireland Fedex Priort'!B99="","",'Rates from Ireland Fedex Priort'!B99)</f>
        <v>Ireland</v>
      </c>
      <c r="C100" s="9" t="str">
        <f>IF('Rates from Ireland Fedex Priort'!C99="","",'Rates from Ireland Fedex Priort'!C99)</f>
        <v>Iceland</v>
      </c>
      <c r="D100" s="10">
        <f>IF(ISNUMBER('Rates from Ireland Fedex Priort'!D99),_xlfn.CEILING.MATH('Rates from Ireland Fedex Priort'!D99,1)+IF($A100="EU",Variables!$B$5,Variables!$B$2),'Rates from Ireland Fedex Priort'!D99)</f>
        <v>76</v>
      </c>
      <c r="E100" s="10">
        <f>IF(ISNUMBER('Rates from Ireland Fedex Priort'!E99),_xlfn.CEILING.MATH('Rates from Ireland Fedex Priort'!E99,1)+IF($A100="EU",Variables!$B$6,Variables!$B$3),'Rates from Ireland Fedex Priort'!E99)</f>
        <v>100</v>
      </c>
      <c r="F100" s="10">
        <f>IF(ISNUMBER('Rates from Ireland Fedex Priort'!F99),_xlfn.CEILING.MATH('Rates from Ireland Fedex Priort'!F99,1)+IF($A100="EU",Variables!$B$6,Variables!$B$3),'Rates from Ireland Fedex Priort'!F99)</f>
        <v>100</v>
      </c>
      <c r="G100" s="10">
        <f>IF(ISNUMBER('Rates from Ireland Fedex Priort'!G99),_xlfn.CEILING.MATH('Rates from Ireland Fedex Priort'!G99,1)+IF($A100="EU",Variables!$B$6,Variables!$B$3),'Rates from Ireland Fedex Priort'!G99)</f>
        <v>105</v>
      </c>
      <c r="H100" s="10">
        <f>IF(ISNUMBER('Rates from Ireland Fedex Priort'!H99),_xlfn.CEILING.MATH('Rates from Ireland Fedex Priort'!H99,1)+IF($A100="EU",Variables!$B$6,Variables!$B$3),'Rates from Ireland Fedex Priort'!H99)</f>
        <v>117</v>
      </c>
      <c r="I100" s="10">
        <f>IF(ISNUMBER('Rates from Ireland Fedex Priort'!I99),_xlfn.CEILING.MATH('Rates from Ireland Fedex Priort'!I99,1)+IF($A100="EU",Variables!$B$6,Variables!$B$3),'Rates from Ireland Fedex Priort'!I99)</f>
        <v>124</v>
      </c>
      <c r="J100" s="10">
        <f>IF(ISNUMBER('Rates from Ireland Fedex Priort'!J99),_xlfn.CEILING.MATH('Rates from Ireland Fedex Priort'!J99,1)+IF($A100="EU",Variables!$B$6,Variables!$B$3),'Rates from Ireland Fedex Priort'!J99)</f>
        <v>133</v>
      </c>
      <c r="K100" s="10">
        <f>IF(ISNUMBER('Rates from Ireland Fedex Priort'!K99),_xlfn.CEILING.MATH('Rates from Ireland Fedex Priort'!K99,1)+IF($A100="EU",Variables!$B$6,Variables!$B$3),'Rates from Ireland Fedex Priort'!K99)</f>
        <v>142</v>
      </c>
      <c r="L100" s="10">
        <f>IF(ISNUMBER('Rates from Ireland Fedex Priort'!L99),_xlfn.CEILING.MATH('Rates from Ireland Fedex Priort'!L99,1)+IF($A100="EU",Variables!$B$6,Variables!$B$3),'Rates from Ireland Fedex Priort'!L99)</f>
        <v>142</v>
      </c>
      <c r="M100" s="10">
        <f>IF(ISNUMBER('Rates from Ireland Fedex Priort'!M99),_xlfn.CEILING.MATH('Rates from Ireland Fedex Priort'!M99,1)+IF($A100="EU",Variables!$B$6,Variables!$B$3),'Rates from Ireland Fedex Priort'!M99)</f>
        <v>158</v>
      </c>
      <c r="N100" s="10">
        <f>IF(ISNUMBER('Rates from Ireland Fedex Priort'!N99),_xlfn.CEILING.MATH('Rates from Ireland Fedex Priort'!N99,1)+IF($A100="EU",Variables!$B$6,Variables!$B$3),'Rates from Ireland Fedex Priort'!N99)</f>
        <v>175</v>
      </c>
      <c r="O100" s="15" t="s">
        <v>61</v>
      </c>
      <c r="P100" s="15" t="s">
        <v>24</v>
      </c>
      <c r="Q100" s="16">
        <v>80</v>
      </c>
      <c r="R100" s="15" t="s">
        <v>25</v>
      </c>
      <c r="S100" s="17" t="s">
        <v>26</v>
      </c>
      <c r="T100" s="40" t="s">
        <v>27</v>
      </c>
    </row>
    <row r="101" spans="1:20" ht="15.75" customHeight="1" x14ac:dyDescent="0.3">
      <c r="A101" s="39" t="str">
        <f>IF('Rates from Ireland Fedex Priort'!A100="","",'Rates from Ireland Fedex Priort'!A100)</f>
        <v>EU</v>
      </c>
      <c r="B101" s="8" t="str">
        <f>IF('Rates from Ireland Fedex Priort'!B100="","",'Rates from Ireland Fedex Priort'!B100)</f>
        <v>Ireland</v>
      </c>
      <c r="C101" s="9" t="str">
        <f>IF('Rates from Ireland Fedex Priort'!C100="","",'Rates from Ireland Fedex Priort'!C100)</f>
        <v>India</v>
      </c>
      <c r="D101" s="10">
        <f>IF(ISNUMBER('Rates from Ireland Fedex Priort'!D100),_xlfn.CEILING.MATH('Rates from Ireland Fedex Priort'!D100,1)+IF($A101="EU",Variables!$B$5,Variables!$B$2),'Rates from Ireland Fedex Priort'!D100)</f>
        <v>62</v>
      </c>
      <c r="E101" s="10">
        <f>IF(ISNUMBER('Rates from Ireland Fedex Priort'!E100),_xlfn.CEILING.MATH('Rates from Ireland Fedex Priort'!E100,1)+IF($A101="EU",Variables!$B$6,Variables!$B$3),'Rates from Ireland Fedex Priort'!E100)</f>
        <v>69</v>
      </c>
      <c r="F101" s="10">
        <f>IF(ISNUMBER('Rates from Ireland Fedex Priort'!F100),_xlfn.CEILING.MATH('Rates from Ireland Fedex Priort'!F100,1)+IF($A101="EU",Variables!$B$6,Variables!$B$3),'Rates from Ireland Fedex Priort'!F100)</f>
        <v>72</v>
      </c>
      <c r="G101" s="10">
        <f>IF(ISNUMBER('Rates from Ireland Fedex Priort'!G100),_xlfn.CEILING.MATH('Rates from Ireland Fedex Priort'!G100,1)+IF($A101="EU",Variables!$B$6,Variables!$B$3),'Rates from Ireland Fedex Priort'!G100)</f>
        <v>86</v>
      </c>
      <c r="H101" s="10">
        <f>IF(ISNUMBER('Rates from Ireland Fedex Priort'!H100),_xlfn.CEILING.MATH('Rates from Ireland Fedex Priort'!H100,1)+IF($A101="EU",Variables!$B$6,Variables!$B$3),'Rates from Ireland Fedex Priort'!H100)</f>
        <v>111</v>
      </c>
      <c r="I101" s="10">
        <f>IF(ISNUMBER('Rates from Ireland Fedex Priort'!I100),_xlfn.CEILING.MATH('Rates from Ireland Fedex Priort'!I100,1)+IF($A101="EU",Variables!$B$6,Variables!$B$3),'Rates from Ireland Fedex Priort'!I100)</f>
        <v>174</v>
      </c>
      <c r="J101" s="10" t="str">
        <f>IF(ISNUMBER('Rates from Ireland Fedex Priort'!J100),_xlfn.CEILING.MATH('Rates from Ireland Fedex Priort'!J100,1)+IF($A101="EU",Variables!$B$6,Variables!$B$3),'Rates from Ireland Fedex Priort'!J100)</f>
        <v>No service</v>
      </c>
      <c r="K101" s="10" t="str">
        <f>IF(ISNUMBER('Rates from Ireland Fedex Priort'!K100),_xlfn.CEILING.MATH('Rates from Ireland Fedex Priort'!K100,1)+IF($A101="EU",Variables!$B$6,Variables!$B$3),'Rates from Ireland Fedex Priort'!K100)</f>
        <v>No service</v>
      </c>
      <c r="L101" s="10" t="str">
        <f>IF(ISNUMBER('Rates from Ireland Fedex Priort'!L100),_xlfn.CEILING.MATH('Rates from Ireland Fedex Priort'!L100,1)+IF($A101="EU",Variables!$B$6,Variables!$B$3),'Rates from Ireland Fedex Priort'!L100)</f>
        <v>No service</v>
      </c>
      <c r="M101" s="10" t="str">
        <f>IF(ISNUMBER('Rates from Ireland Fedex Priort'!M100),_xlfn.CEILING.MATH('Rates from Ireland Fedex Priort'!M100,1)+IF($A101="EU",Variables!$B$6,Variables!$B$3),'Rates from Ireland Fedex Priort'!M100)</f>
        <v>No service</v>
      </c>
      <c r="N101" s="10" t="str">
        <f>IF(ISNUMBER('Rates from Ireland Fedex Priort'!N100),_xlfn.CEILING.MATH('Rates from Ireland Fedex Priort'!N100,1)+IF($A101="EU",Variables!$B$6,Variables!$B$3),'Rates from Ireland Fedex Priort'!N100)</f>
        <v>No service</v>
      </c>
      <c r="O101" s="11" t="s">
        <v>61</v>
      </c>
      <c r="P101" s="11" t="s">
        <v>94</v>
      </c>
      <c r="Q101" s="12">
        <v>80</v>
      </c>
      <c r="R101" s="11" t="s">
        <v>25</v>
      </c>
      <c r="S101" s="3" t="s">
        <v>26</v>
      </c>
      <c r="T101" s="38" t="s">
        <v>27</v>
      </c>
    </row>
    <row r="102" spans="1:20" ht="15.75" customHeight="1" x14ac:dyDescent="0.3">
      <c r="A102" s="39" t="str">
        <f>IF('Rates from Ireland Fedex Priort'!A101="","",'Rates from Ireland Fedex Priort'!A101)</f>
        <v>EU</v>
      </c>
      <c r="B102" s="8" t="str">
        <f>IF('Rates from Ireland Fedex Priort'!B101="","",'Rates from Ireland Fedex Priort'!B101)</f>
        <v>Ireland</v>
      </c>
      <c r="C102" s="9" t="str">
        <f>IF('Rates from Ireland Fedex Priort'!C101="","",'Rates from Ireland Fedex Priort'!C101)</f>
        <v>Indonesia</v>
      </c>
      <c r="D102" s="10">
        <f>IF(ISNUMBER('Rates from Ireland Fedex Priort'!D101),_xlfn.CEILING.MATH('Rates from Ireland Fedex Priort'!D101,1)+IF($A102="EU",Variables!$B$5,Variables!$B$2),'Rates from Ireland Fedex Priort'!D101)</f>
        <v>69</v>
      </c>
      <c r="E102" s="10">
        <f>IF(ISNUMBER('Rates from Ireland Fedex Priort'!E101),_xlfn.CEILING.MATH('Rates from Ireland Fedex Priort'!E101,1)+IF($A102="EU",Variables!$B$6,Variables!$B$3),'Rates from Ireland Fedex Priort'!E101)</f>
        <v>74</v>
      </c>
      <c r="F102" s="10">
        <f>IF(ISNUMBER('Rates from Ireland Fedex Priort'!F101),_xlfn.CEILING.MATH('Rates from Ireland Fedex Priort'!F101,1)+IF($A102="EU",Variables!$B$6,Variables!$B$3),'Rates from Ireland Fedex Priort'!F101)</f>
        <v>79</v>
      </c>
      <c r="G102" s="10">
        <f>IF(ISNUMBER('Rates from Ireland Fedex Priort'!G101),_xlfn.CEILING.MATH('Rates from Ireland Fedex Priort'!G101,1)+IF($A102="EU",Variables!$B$6,Variables!$B$3),'Rates from Ireland Fedex Priort'!G101)</f>
        <v>95</v>
      </c>
      <c r="H102" s="10">
        <f>IF(ISNUMBER('Rates from Ireland Fedex Priort'!H101),_xlfn.CEILING.MATH('Rates from Ireland Fedex Priort'!H101,1)+IF($A102="EU",Variables!$B$6,Variables!$B$3),'Rates from Ireland Fedex Priort'!H101)</f>
        <v>119</v>
      </c>
      <c r="I102" s="10">
        <f>IF(ISNUMBER('Rates from Ireland Fedex Priort'!I101),_xlfn.CEILING.MATH('Rates from Ireland Fedex Priort'!I101,1)+IF($A102="EU",Variables!$B$6,Variables!$B$3),'Rates from Ireland Fedex Priort'!I101)</f>
        <v>179</v>
      </c>
      <c r="J102" s="10" t="str">
        <f>IF(ISNUMBER('Rates from Ireland Fedex Priort'!J101),_xlfn.CEILING.MATH('Rates from Ireland Fedex Priort'!J101,1)+IF($A102="EU",Variables!$B$6,Variables!$B$3),'Rates from Ireland Fedex Priort'!J101)</f>
        <v>No service</v>
      </c>
      <c r="K102" s="10" t="str">
        <f>IF(ISNUMBER('Rates from Ireland Fedex Priort'!K101),_xlfn.CEILING.MATH('Rates from Ireland Fedex Priort'!K101,1)+IF($A102="EU",Variables!$B$6,Variables!$B$3),'Rates from Ireland Fedex Priort'!K101)</f>
        <v>No service</v>
      </c>
      <c r="L102" s="10" t="str">
        <f>IF(ISNUMBER('Rates from Ireland Fedex Priort'!L101),_xlfn.CEILING.MATH('Rates from Ireland Fedex Priort'!L101,1)+IF($A102="EU",Variables!$B$6,Variables!$B$3),'Rates from Ireland Fedex Priort'!L101)</f>
        <v>No service</v>
      </c>
      <c r="M102" s="10" t="str">
        <f>IF(ISNUMBER('Rates from Ireland Fedex Priort'!M101),_xlfn.CEILING.MATH('Rates from Ireland Fedex Priort'!M101,1)+IF($A102="EU",Variables!$B$6,Variables!$B$3),'Rates from Ireland Fedex Priort'!M101)</f>
        <v>No service</v>
      </c>
      <c r="N102" s="10" t="str">
        <f>IF(ISNUMBER('Rates from Ireland Fedex Priort'!N101),_xlfn.CEILING.MATH('Rates from Ireland Fedex Priort'!N101,1)+IF($A102="EU",Variables!$B$6,Variables!$B$3),'Rates from Ireland Fedex Priort'!N101)</f>
        <v>No service</v>
      </c>
      <c r="O102" s="11" t="s">
        <v>41</v>
      </c>
      <c r="P102" s="11" t="s">
        <v>143</v>
      </c>
      <c r="Q102" s="12">
        <v>80</v>
      </c>
      <c r="R102" s="11" t="s">
        <v>25</v>
      </c>
      <c r="S102" s="3" t="s">
        <v>26</v>
      </c>
      <c r="T102" s="38" t="s">
        <v>27</v>
      </c>
    </row>
    <row r="103" spans="1:20" ht="15.75" customHeight="1" x14ac:dyDescent="0.3">
      <c r="A103" s="39" t="str">
        <f>IF('Rates from Ireland Fedex Priort'!A102="","",'Rates from Ireland Fedex Priort'!A102)</f>
        <v>EU</v>
      </c>
      <c r="B103" s="8" t="str">
        <f>IF('Rates from Ireland Fedex Priort'!B102="","",'Rates from Ireland Fedex Priort'!B102)</f>
        <v>Ireland</v>
      </c>
      <c r="C103" s="9" t="str">
        <f>IF('Rates from Ireland Fedex Priort'!C102="","",'Rates from Ireland Fedex Priort'!C102)</f>
        <v>Iran</v>
      </c>
      <c r="D103" s="10" t="str">
        <f>IF(ISNUMBER('Rates from Ireland Fedex Priort'!D102),_xlfn.CEILING.MATH('Rates from Ireland Fedex Priort'!D102,1)+IF($A103="EU",Variables!$B$5,Variables!$B$2),'Rates from Ireland Fedex Priort'!D102)</f>
        <v>No service</v>
      </c>
      <c r="E103" s="10" t="str">
        <f>IF(ISNUMBER('Rates from Ireland Fedex Priort'!E102),_xlfn.CEILING.MATH('Rates from Ireland Fedex Priort'!E102,1)+IF($A103="EU",Variables!$B$6,Variables!$B$3),'Rates from Ireland Fedex Priort'!E102)</f>
        <v>No service</v>
      </c>
      <c r="F103" s="10" t="str">
        <f>IF(ISNUMBER('Rates from Ireland Fedex Priort'!F102),_xlfn.CEILING.MATH('Rates from Ireland Fedex Priort'!F102,1)+IF($A103="EU",Variables!$B$6,Variables!$B$3),'Rates from Ireland Fedex Priort'!F102)</f>
        <v>No service</v>
      </c>
      <c r="G103" s="10" t="str">
        <f>IF(ISNUMBER('Rates from Ireland Fedex Priort'!G102),_xlfn.CEILING.MATH('Rates from Ireland Fedex Priort'!G102,1)+IF($A103="EU",Variables!$B$6,Variables!$B$3),'Rates from Ireland Fedex Priort'!G102)</f>
        <v>No service</v>
      </c>
      <c r="H103" s="10" t="str">
        <f>IF(ISNUMBER('Rates from Ireland Fedex Priort'!H102),_xlfn.CEILING.MATH('Rates from Ireland Fedex Priort'!H102,1)+IF($A103="EU",Variables!$B$6,Variables!$B$3),'Rates from Ireland Fedex Priort'!H102)</f>
        <v>No service</v>
      </c>
      <c r="I103" s="10" t="str">
        <f>IF(ISNUMBER('Rates from Ireland Fedex Priort'!I102),_xlfn.CEILING.MATH('Rates from Ireland Fedex Priort'!I102,1)+IF($A103="EU",Variables!$B$6,Variables!$B$3),'Rates from Ireland Fedex Priort'!I102)</f>
        <v>No service</v>
      </c>
      <c r="J103" s="10" t="str">
        <f>IF(ISNUMBER('Rates from Ireland Fedex Priort'!J102),_xlfn.CEILING.MATH('Rates from Ireland Fedex Priort'!J102,1)+IF($A103="EU",Variables!$B$6,Variables!$B$3),'Rates from Ireland Fedex Priort'!J102)</f>
        <v>No service</v>
      </c>
      <c r="K103" s="10" t="str">
        <f>IF(ISNUMBER('Rates from Ireland Fedex Priort'!K102),_xlfn.CEILING.MATH('Rates from Ireland Fedex Priort'!K102,1)+IF($A103="EU",Variables!$B$6,Variables!$B$3),'Rates from Ireland Fedex Priort'!K102)</f>
        <v>No service</v>
      </c>
      <c r="L103" s="10" t="str">
        <f>IF(ISNUMBER('Rates from Ireland Fedex Priort'!L102),_xlfn.CEILING.MATH('Rates from Ireland Fedex Priort'!L102,1)+IF($A103="EU",Variables!$B$6,Variables!$B$3),'Rates from Ireland Fedex Priort'!L102)</f>
        <v>No service</v>
      </c>
      <c r="M103" s="10" t="str">
        <f>IF(ISNUMBER('Rates from Ireland Fedex Priort'!M102),_xlfn.CEILING.MATH('Rates from Ireland Fedex Priort'!M102,1)+IF($A103="EU",Variables!$B$6,Variables!$B$3),'Rates from Ireland Fedex Priort'!M102)</f>
        <v>No service</v>
      </c>
      <c r="N103" s="10" t="str">
        <f>IF(ISNUMBER('Rates from Ireland Fedex Priort'!N102),_xlfn.CEILING.MATH('Rates from Ireland Fedex Priort'!N102,1)+IF($A103="EU",Variables!$B$6,Variables!$B$3),'Rates from Ireland Fedex Priort'!N102)</f>
        <v>No service</v>
      </c>
      <c r="O103" s="11"/>
      <c r="P103" s="11"/>
      <c r="Q103" s="11"/>
      <c r="R103" s="11"/>
      <c r="S103" s="3" t="s">
        <v>26</v>
      </c>
      <c r="T103" s="38" t="s">
        <v>27</v>
      </c>
    </row>
    <row r="104" spans="1:20" ht="15.75" customHeight="1" x14ac:dyDescent="0.3">
      <c r="A104" s="39" t="str">
        <f>IF('Rates from Ireland Fedex Priort'!A103="","",'Rates from Ireland Fedex Priort'!A103)</f>
        <v>N/A</v>
      </c>
      <c r="B104" s="8" t="str">
        <f>IF('Rates from Ireland Fedex Priort'!B103="","",'Rates from Ireland Fedex Priort'!B103)</f>
        <v>Ireland</v>
      </c>
      <c r="C104" s="9" t="str">
        <f>IF('Rates from Ireland Fedex Priort'!C103="","",'Rates from Ireland Fedex Priort'!C103)</f>
        <v>Ireland</v>
      </c>
      <c r="D104" s="10">
        <f>IF(ISNUMBER('Rates from Ireland Fedex Priort'!D103),_xlfn.CEILING.MATH('Rates from Ireland Fedex Priort'!D103,1)+IF($A104="EU",Variables!$B$5,Variables!$B$2),'Rates from Ireland Fedex Priort'!D103)</f>
        <v>73</v>
      </c>
      <c r="E104" s="10">
        <f>IF(ISNUMBER('Rates from Ireland Fedex Priort'!E103),_xlfn.CEILING.MATH('Rates from Ireland Fedex Priort'!E103,1)+IF($A104="EU",Variables!$B$6,Variables!$B$3),'Rates from Ireland Fedex Priort'!E103)</f>
        <v>70</v>
      </c>
      <c r="F104" s="10">
        <f>IF(ISNUMBER('Rates from Ireland Fedex Priort'!F103),_xlfn.CEILING.MATH('Rates from Ireland Fedex Priort'!F103,1)+IF($A104="EU",Variables!$B$6,Variables!$B$3),'Rates from Ireland Fedex Priort'!F103)</f>
        <v>70</v>
      </c>
      <c r="G104" s="10">
        <f>IF(ISNUMBER('Rates from Ireland Fedex Priort'!G103),_xlfn.CEILING.MATH('Rates from Ireland Fedex Priort'!G103,1)+IF($A104="EU",Variables!$B$6,Variables!$B$3),'Rates from Ireland Fedex Priort'!G103)</f>
        <v>70</v>
      </c>
      <c r="H104" s="10">
        <f>IF(ISNUMBER('Rates from Ireland Fedex Priort'!H103),_xlfn.CEILING.MATH('Rates from Ireland Fedex Priort'!H103,1)+IF($A104="EU",Variables!$B$6,Variables!$B$3),'Rates from Ireland Fedex Priort'!H103)</f>
        <v>70</v>
      </c>
      <c r="I104" s="10">
        <f>IF(ISNUMBER('Rates from Ireland Fedex Priort'!I103),_xlfn.CEILING.MATH('Rates from Ireland Fedex Priort'!I103,1)+IF($A104="EU",Variables!$B$6,Variables!$B$3),'Rates from Ireland Fedex Priort'!I103)</f>
        <v>70</v>
      </c>
      <c r="J104" s="10" t="str">
        <f>IF(ISNUMBER('Rates from Ireland Fedex Priort'!J103),_xlfn.CEILING.MATH('Rates from Ireland Fedex Priort'!J103,1)+IF($A104="EU",Variables!$B$6,Variables!$B$3),'Rates from Ireland Fedex Priort'!J103)</f>
        <v>No service</v>
      </c>
      <c r="K104" s="10" t="str">
        <f>IF(ISNUMBER('Rates from Ireland Fedex Priort'!K103),_xlfn.CEILING.MATH('Rates from Ireland Fedex Priort'!K103,1)+IF($A104="EU",Variables!$B$6,Variables!$B$3),'Rates from Ireland Fedex Priort'!K103)</f>
        <v>No service</v>
      </c>
      <c r="L104" s="10" t="str">
        <f>IF(ISNUMBER('Rates from Ireland Fedex Priort'!L103),_xlfn.CEILING.MATH('Rates from Ireland Fedex Priort'!L103,1)+IF($A104="EU",Variables!$B$6,Variables!$B$3),'Rates from Ireland Fedex Priort'!L103)</f>
        <v>No service</v>
      </c>
      <c r="M104" s="10" t="str">
        <f>IF(ISNUMBER('Rates from Ireland Fedex Priort'!M103),_xlfn.CEILING.MATH('Rates from Ireland Fedex Priort'!M103,1)+IF($A104="EU",Variables!$B$6,Variables!$B$3),'Rates from Ireland Fedex Priort'!M103)</f>
        <v>No service</v>
      </c>
      <c r="N104" s="10" t="str">
        <f>IF(ISNUMBER('Rates from Ireland Fedex Priort'!N103),_xlfn.CEILING.MATH('Rates from Ireland Fedex Priort'!N103,1)+IF($A104="EU",Variables!$B$6,Variables!$B$3),'Rates from Ireland Fedex Priort'!N103)</f>
        <v>No service</v>
      </c>
      <c r="O104" s="21" t="s">
        <v>145</v>
      </c>
      <c r="P104" s="21" t="s">
        <v>145</v>
      </c>
      <c r="Q104" s="22">
        <v>80</v>
      </c>
      <c r="R104" s="21" t="s">
        <v>25</v>
      </c>
      <c r="S104" s="23" t="s">
        <v>26</v>
      </c>
      <c r="T104" s="41" t="s">
        <v>27</v>
      </c>
    </row>
    <row r="105" spans="1:20" ht="15.75" customHeight="1" x14ac:dyDescent="0.3">
      <c r="A105" s="39" t="str">
        <f>IF('Rates from Ireland Fedex Priort'!A104="","",'Rates from Ireland Fedex Priort'!A104)</f>
        <v>EU</v>
      </c>
      <c r="B105" s="8" t="str">
        <f>IF('Rates from Ireland Fedex Priort'!B104="","",'Rates from Ireland Fedex Priort'!B104)</f>
        <v>Ireland</v>
      </c>
      <c r="C105" s="9" t="str">
        <f>IF('Rates from Ireland Fedex Priort'!C104="","",'Rates from Ireland Fedex Priort'!C104)</f>
        <v>Iraq</v>
      </c>
      <c r="D105" s="10">
        <f>IF(ISNUMBER('Rates from Ireland Fedex Priort'!D104),_xlfn.CEILING.MATH('Rates from Ireland Fedex Priort'!D104,1)+IF($A105="EU",Variables!$B$5,Variables!$B$2),'Rates from Ireland Fedex Priort'!D104)</f>
        <v>72</v>
      </c>
      <c r="E105" s="10">
        <f>IF(ISNUMBER('Rates from Ireland Fedex Priort'!E104),_xlfn.CEILING.MATH('Rates from Ireland Fedex Priort'!E104,1)+IF($A105="EU",Variables!$B$6,Variables!$B$3),'Rates from Ireland Fedex Priort'!E104)</f>
        <v>83</v>
      </c>
      <c r="F105" s="10">
        <f>IF(ISNUMBER('Rates from Ireland Fedex Priort'!F104),_xlfn.CEILING.MATH('Rates from Ireland Fedex Priort'!F104,1)+IF($A105="EU",Variables!$B$6,Variables!$B$3),'Rates from Ireland Fedex Priort'!F104)</f>
        <v>88</v>
      </c>
      <c r="G105" s="10">
        <f>IF(ISNUMBER('Rates from Ireland Fedex Priort'!G104),_xlfn.CEILING.MATH('Rates from Ireland Fedex Priort'!G104,1)+IF($A105="EU",Variables!$B$6,Variables!$B$3),'Rates from Ireland Fedex Priort'!G104)</f>
        <v>106</v>
      </c>
      <c r="H105" s="10">
        <f>IF(ISNUMBER('Rates from Ireland Fedex Priort'!H104),_xlfn.CEILING.MATH('Rates from Ireland Fedex Priort'!H104,1)+IF($A105="EU",Variables!$B$6,Variables!$B$3),'Rates from Ireland Fedex Priort'!H104)</f>
        <v>134</v>
      </c>
      <c r="I105" s="10">
        <f>IF(ISNUMBER('Rates from Ireland Fedex Priort'!I104),_xlfn.CEILING.MATH('Rates from Ireland Fedex Priort'!I104,1)+IF($A105="EU",Variables!$B$6,Variables!$B$3),'Rates from Ireland Fedex Priort'!I104)</f>
        <v>242</v>
      </c>
      <c r="J105" s="10" t="str">
        <f>IF(ISNUMBER('Rates from Ireland Fedex Priort'!J104),_xlfn.CEILING.MATH('Rates from Ireland Fedex Priort'!J104,1)+IF($A105="EU",Variables!$B$6,Variables!$B$3),'Rates from Ireland Fedex Priort'!J104)</f>
        <v>No service</v>
      </c>
      <c r="K105" s="10" t="str">
        <f>IF(ISNUMBER('Rates from Ireland Fedex Priort'!K104),_xlfn.CEILING.MATH('Rates from Ireland Fedex Priort'!K104,1)+IF($A105="EU",Variables!$B$6,Variables!$B$3),'Rates from Ireland Fedex Priort'!K104)</f>
        <v>No service</v>
      </c>
      <c r="L105" s="10" t="str">
        <f>IF(ISNUMBER('Rates from Ireland Fedex Priort'!L104),_xlfn.CEILING.MATH('Rates from Ireland Fedex Priort'!L104,1)+IF($A105="EU",Variables!$B$6,Variables!$B$3),'Rates from Ireland Fedex Priort'!L104)</f>
        <v>No service</v>
      </c>
      <c r="M105" s="10" t="str">
        <f>IF(ISNUMBER('Rates from Ireland Fedex Priort'!M104),_xlfn.CEILING.MATH('Rates from Ireland Fedex Priort'!M104,1)+IF($A105="EU",Variables!$B$6,Variables!$B$3),'Rates from Ireland Fedex Priort'!M104)</f>
        <v>No service</v>
      </c>
      <c r="N105" s="10" t="str">
        <f>IF(ISNUMBER('Rates from Ireland Fedex Priort'!N104),_xlfn.CEILING.MATH('Rates from Ireland Fedex Priort'!N104,1)+IF($A105="EU",Variables!$B$6,Variables!$B$3),'Rates from Ireland Fedex Priort'!N104)</f>
        <v>No service</v>
      </c>
      <c r="O105" s="11" t="s">
        <v>35</v>
      </c>
      <c r="P105" s="11" t="s">
        <v>36</v>
      </c>
      <c r="Q105" s="12">
        <v>80</v>
      </c>
      <c r="R105" s="11" t="s">
        <v>25</v>
      </c>
      <c r="S105" s="3" t="s">
        <v>26</v>
      </c>
      <c r="T105" s="38" t="s">
        <v>27</v>
      </c>
    </row>
    <row r="106" spans="1:20" ht="15.75" customHeight="1" x14ac:dyDescent="0.3">
      <c r="A106" s="39" t="str">
        <f>IF('Rates from Ireland Fedex Priort'!A105="","",'Rates from Ireland Fedex Priort'!A105)</f>
        <v>EU</v>
      </c>
      <c r="B106" s="8" t="str">
        <f>IF('Rates from Ireland Fedex Priort'!B105="","",'Rates from Ireland Fedex Priort'!B105)</f>
        <v>Ireland</v>
      </c>
      <c r="C106" s="9" t="str">
        <f>IF('Rates from Ireland Fedex Priort'!C105="","",'Rates from Ireland Fedex Priort'!C105)</f>
        <v>Isle of Man</v>
      </c>
      <c r="D106" s="10" t="str">
        <f>IF(ISNUMBER('Rates from Ireland Fedex Priort'!D105),_xlfn.CEILING.MATH('Rates from Ireland Fedex Priort'!D105,1)+IF($A106="EU",Variables!$B$5,Variables!$B$2),'Rates from Ireland Fedex Priort'!D105)</f>
        <v>No service</v>
      </c>
      <c r="E106" s="10" t="str">
        <f>IF(ISNUMBER('Rates from Ireland Fedex Priort'!E105),_xlfn.CEILING.MATH('Rates from Ireland Fedex Priort'!E105,1)+IF($A106="EU",Variables!$B$6,Variables!$B$3),'Rates from Ireland Fedex Priort'!E105)</f>
        <v>No service</v>
      </c>
      <c r="F106" s="10" t="str">
        <f>IF(ISNUMBER('Rates from Ireland Fedex Priort'!F105),_xlfn.CEILING.MATH('Rates from Ireland Fedex Priort'!F105,1)+IF($A106="EU",Variables!$B$6,Variables!$B$3),'Rates from Ireland Fedex Priort'!F105)</f>
        <v>No service</v>
      </c>
      <c r="G106" s="10" t="str">
        <f>IF(ISNUMBER('Rates from Ireland Fedex Priort'!G105),_xlfn.CEILING.MATH('Rates from Ireland Fedex Priort'!G105,1)+IF($A106="EU",Variables!$B$6,Variables!$B$3),'Rates from Ireland Fedex Priort'!G105)</f>
        <v>No service</v>
      </c>
      <c r="H106" s="10" t="str">
        <f>IF(ISNUMBER('Rates from Ireland Fedex Priort'!H105),_xlfn.CEILING.MATH('Rates from Ireland Fedex Priort'!H105,1)+IF($A106="EU",Variables!$B$6,Variables!$B$3),'Rates from Ireland Fedex Priort'!H105)</f>
        <v>No service</v>
      </c>
      <c r="I106" s="10" t="str">
        <f>IF(ISNUMBER('Rates from Ireland Fedex Priort'!I105),_xlfn.CEILING.MATH('Rates from Ireland Fedex Priort'!I105,1)+IF($A106="EU",Variables!$B$6,Variables!$B$3),'Rates from Ireland Fedex Priort'!I105)</f>
        <v>No service</v>
      </c>
      <c r="J106" s="10" t="str">
        <f>IF(ISNUMBER('Rates from Ireland Fedex Priort'!J105),_xlfn.CEILING.MATH('Rates from Ireland Fedex Priort'!J105,1)+IF($A106="EU",Variables!$B$6,Variables!$B$3),'Rates from Ireland Fedex Priort'!J105)</f>
        <v>No service</v>
      </c>
      <c r="K106" s="10" t="str">
        <f>IF(ISNUMBER('Rates from Ireland Fedex Priort'!K105),_xlfn.CEILING.MATH('Rates from Ireland Fedex Priort'!K105,1)+IF($A106="EU",Variables!$B$6,Variables!$B$3),'Rates from Ireland Fedex Priort'!K105)</f>
        <v>No service</v>
      </c>
      <c r="L106" s="10" t="str">
        <f>IF(ISNUMBER('Rates from Ireland Fedex Priort'!L105),_xlfn.CEILING.MATH('Rates from Ireland Fedex Priort'!L105,1)+IF($A106="EU",Variables!$B$6,Variables!$B$3),'Rates from Ireland Fedex Priort'!L105)</f>
        <v>No service</v>
      </c>
      <c r="M106" s="10" t="str">
        <f>IF(ISNUMBER('Rates from Ireland Fedex Priort'!M105),_xlfn.CEILING.MATH('Rates from Ireland Fedex Priort'!M105,1)+IF($A106="EU",Variables!$B$6,Variables!$B$3),'Rates from Ireland Fedex Priort'!M105)</f>
        <v>No service</v>
      </c>
      <c r="N106" s="10" t="str">
        <f>IF(ISNUMBER('Rates from Ireland Fedex Priort'!N105),_xlfn.CEILING.MATH('Rates from Ireland Fedex Priort'!N105,1)+IF($A106="EU",Variables!$B$6,Variables!$B$3),'Rates from Ireland Fedex Priort'!N105)</f>
        <v>No service</v>
      </c>
      <c r="O106" s="11"/>
      <c r="P106" s="11"/>
      <c r="Q106" s="11"/>
      <c r="R106" s="11" t="s">
        <v>25</v>
      </c>
      <c r="S106" s="3" t="s">
        <v>26</v>
      </c>
      <c r="T106" s="38" t="s">
        <v>27</v>
      </c>
    </row>
    <row r="107" spans="1:20" ht="15.75" customHeight="1" x14ac:dyDescent="0.3">
      <c r="A107" s="39" t="str">
        <f>IF('Rates from Ireland Fedex Priort'!A106="","",'Rates from Ireland Fedex Priort'!A106)</f>
        <v>EU</v>
      </c>
      <c r="B107" s="8" t="str">
        <f>IF('Rates from Ireland Fedex Priort'!B106="","",'Rates from Ireland Fedex Priort'!B106)</f>
        <v>Ireland</v>
      </c>
      <c r="C107" s="9" t="str">
        <f>IF('Rates from Ireland Fedex Priort'!C106="","",'Rates from Ireland Fedex Priort'!C106)</f>
        <v>Israel</v>
      </c>
      <c r="D107" s="10">
        <f>IF(ISNUMBER('Rates from Ireland Fedex Priort'!D106),_xlfn.CEILING.MATH('Rates from Ireland Fedex Priort'!D106,1)+IF($A107="EU",Variables!$B$5,Variables!$B$2),'Rates from Ireland Fedex Priort'!D106)</f>
        <v>62</v>
      </c>
      <c r="E107" s="10">
        <f>IF(ISNUMBER('Rates from Ireland Fedex Priort'!E106),_xlfn.CEILING.MATH('Rates from Ireland Fedex Priort'!E106,1)+IF($A107="EU",Variables!$B$6,Variables!$B$3),'Rates from Ireland Fedex Priort'!E106)</f>
        <v>69</v>
      </c>
      <c r="F107" s="10">
        <f>IF(ISNUMBER('Rates from Ireland Fedex Priort'!F106),_xlfn.CEILING.MATH('Rates from Ireland Fedex Priort'!F106,1)+IF($A107="EU",Variables!$B$6,Variables!$B$3),'Rates from Ireland Fedex Priort'!F106)</f>
        <v>72</v>
      </c>
      <c r="G107" s="10">
        <f>IF(ISNUMBER('Rates from Ireland Fedex Priort'!G106),_xlfn.CEILING.MATH('Rates from Ireland Fedex Priort'!G106,1)+IF($A107="EU",Variables!$B$6,Variables!$B$3),'Rates from Ireland Fedex Priort'!G106)</f>
        <v>86</v>
      </c>
      <c r="H107" s="10">
        <f>IF(ISNUMBER('Rates from Ireland Fedex Priort'!H106),_xlfn.CEILING.MATH('Rates from Ireland Fedex Priort'!H106,1)+IF($A107="EU",Variables!$B$6,Variables!$B$3),'Rates from Ireland Fedex Priort'!H106)</f>
        <v>111</v>
      </c>
      <c r="I107" s="10">
        <f>IF(ISNUMBER('Rates from Ireland Fedex Priort'!I106),_xlfn.CEILING.MATH('Rates from Ireland Fedex Priort'!I106,1)+IF($A107="EU",Variables!$B$6,Variables!$B$3),'Rates from Ireland Fedex Priort'!I106)</f>
        <v>174</v>
      </c>
      <c r="J107" s="10" t="str">
        <f>IF(ISNUMBER('Rates from Ireland Fedex Priort'!J106),_xlfn.CEILING.MATH('Rates from Ireland Fedex Priort'!J106,1)+IF($A107="EU",Variables!$B$6,Variables!$B$3),'Rates from Ireland Fedex Priort'!J106)</f>
        <v>No service</v>
      </c>
      <c r="K107" s="10" t="str">
        <f>IF(ISNUMBER('Rates from Ireland Fedex Priort'!K106),_xlfn.CEILING.MATH('Rates from Ireland Fedex Priort'!K106,1)+IF($A107="EU",Variables!$B$6,Variables!$B$3),'Rates from Ireland Fedex Priort'!K106)</f>
        <v>No service</v>
      </c>
      <c r="L107" s="10" t="str">
        <f>IF(ISNUMBER('Rates from Ireland Fedex Priort'!L106),_xlfn.CEILING.MATH('Rates from Ireland Fedex Priort'!L106,1)+IF($A107="EU",Variables!$B$6,Variables!$B$3),'Rates from Ireland Fedex Priort'!L106)</f>
        <v>No service</v>
      </c>
      <c r="M107" s="10" t="str">
        <f>IF(ISNUMBER('Rates from Ireland Fedex Priort'!M106),_xlfn.CEILING.MATH('Rates from Ireland Fedex Priort'!M106,1)+IF($A107="EU",Variables!$B$6,Variables!$B$3),'Rates from Ireland Fedex Priort'!M106)</f>
        <v>No service</v>
      </c>
      <c r="N107" s="10" t="str">
        <f>IF(ISNUMBER('Rates from Ireland Fedex Priort'!N106),_xlfn.CEILING.MATH('Rates from Ireland Fedex Priort'!N106,1)+IF($A107="EU",Variables!$B$6,Variables!$B$3),'Rates from Ireland Fedex Priort'!N106)</f>
        <v>No service</v>
      </c>
      <c r="O107" s="11" t="s">
        <v>29</v>
      </c>
      <c r="P107" s="11" t="s">
        <v>30</v>
      </c>
      <c r="Q107" s="12">
        <v>80</v>
      </c>
      <c r="R107" s="11" t="s">
        <v>25</v>
      </c>
      <c r="S107" s="3" t="s">
        <v>26</v>
      </c>
      <c r="T107" s="38" t="s">
        <v>27</v>
      </c>
    </row>
    <row r="108" spans="1:20" ht="15.75" customHeight="1" x14ac:dyDescent="0.3">
      <c r="A108" s="39" t="str">
        <f>IF('Rates from Ireland Fedex Priort'!A107="","",'Rates from Ireland Fedex Priort'!A107)</f>
        <v>EU</v>
      </c>
      <c r="B108" s="8" t="str">
        <f>IF('Rates from Ireland Fedex Priort'!B107="","",'Rates from Ireland Fedex Priort'!B107)</f>
        <v>Ireland</v>
      </c>
      <c r="C108" s="9" t="str">
        <f>IF('Rates from Ireland Fedex Priort'!C107="","",'Rates from Ireland Fedex Priort'!C107)</f>
        <v>Italy</v>
      </c>
      <c r="D108" s="10">
        <f>IF(ISNUMBER('Rates from Ireland Fedex Priort'!D107),_xlfn.CEILING.MATH('Rates from Ireland Fedex Priort'!D107,1)+IF($A108="EU",Variables!$B$5,Variables!$B$2),'Rates from Ireland Fedex Priort'!D107)</f>
        <v>63</v>
      </c>
      <c r="E108" s="10">
        <f>IF(ISNUMBER('Rates from Ireland Fedex Priort'!E107),_xlfn.CEILING.MATH('Rates from Ireland Fedex Priort'!E107,1)+IF($A108="EU",Variables!$B$6,Variables!$B$3),'Rates from Ireland Fedex Priort'!E107)</f>
        <v>65</v>
      </c>
      <c r="F108" s="10">
        <f>IF(ISNUMBER('Rates from Ireland Fedex Priort'!F107),_xlfn.CEILING.MATH('Rates from Ireland Fedex Priort'!F107,1)+IF($A108="EU",Variables!$B$6,Variables!$B$3),'Rates from Ireland Fedex Priort'!F107)</f>
        <v>65</v>
      </c>
      <c r="G108" s="10">
        <f>IF(ISNUMBER('Rates from Ireland Fedex Priort'!G107),_xlfn.CEILING.MATH('Rates from Ireland Fedex Priort'!G107,1)+IF($A108="EU",Variables!$B$6,Variables!$B$3),'Rates from Ireland Fedex Priort'!G107)</f>
        <v>68</v>
      </c>
      <c r="H108" s="10">
        <f>IF(ISNUMBER('Rates from Ireland Fedex Priort'!H107),_xlfn.CEILING.MATH('Rates from Ireland Fedex Priort'!H107,1)+IF($A108="EU",Variables!$B$6,Variables!$B$3),'Rates from Ireland Fedex Priort'!H107)</f>
        <v>74</v>
      </c>
      <c r="I108" s="10">
        <f>IF(ISNUMBER('Rates from Ireland Fedex Priort'!I107),_xlfn.CEILING.MATH('Rates from Ireland Fedex Priort'!I107,1)+IF($A108="EU",Variables!$B$6,Variables!$B$3),'Rates from Ireland Fedex Priort'!I107)</f>
        <v>81</v>
      </c>
      <c r="J108" s="10">
        <f>IF(ISNUMBER('Rates from Ireland Fedex Priort'!J107),_xlfn.CEILING.MATH('Rates from Ireland Fedex Priort'!J107,1)+IF($A108="EU",Variables!$B$6,Variables!$B$3),'Rates from Ireland Fedex Priort'!J107)</f>
        <v>87</v>
      </c>
      <c r="K108" s="10">
        <f>IF(ISNUMBER('Rates from Ireland Fedex Priort'!K107),_xlfn.CEILING.MATH('Rates from Ireland Fedex Priort'!K107,1)+IF($A108="EU",Variables!$B$6,Variables!$B$3),'Rates from Ireland Fedex Priort'!K107)</f>
        <v>93</v>
      </c>
      <c r="L108" s="10">
        <f>IF(ISNUMBER('Rates from Ireland Fedex Priort'!L107),_xlfn.CEILING.MATH('Rates from Ireland Fedex Priort'!L107,1)+IF($A108="EU",Variables!$B$6,Variables!$B$3),'Rates from Ireland Fedex Priort'!L107)</f>
        <v>99</v>
      </c>
      <c r="M108" s="10">
        <f>IF(ISNUMBER('Rates from Ireland Fedex Priort'!M107),_xlfn.CEILING.MATH('Rates from Ireland Fedex Priort'!M107,1)+IF($A108="EU",Variables!$B$6,Variables!$B$3),'Rates from Ireland Fedex Priort'!M107)</f>
        <v>112</v>
      </c>
      <c r="N108" s="10">
        <f>IF(ISNUMBER('Rates from Ireland Fedex Priort'!N107),_xlfn.CEILING.MATH('Rates from Ireland Fedex Priort'!N107,1)+IF($A108="EU",Variables!$B$6,Variables!$B$3),'Rates from Ireland Fedex Priort'!N107)</f>
        <v>127</v>
      </c>
      <c r="O108" s="15" t="s">
        <v>29</v>
      </c>
      <c r="P108" s="15" t="s">
        <v>38</v>
      </c>
      <c r="Q108" s="16">
        <v>80</v>
      </c>
      <c r="R108" s="15" t="s">
        <v>25</v>
      </c>
      <c r="S108" s="17" t="s">
        <v>26</v>
      </c>
      <c r="T108" s="40" t="s">
        <v>27</v>
      </c>
    </row>
    <row r="109" spans="1:20" ht="15.75" customHeight="1" x14ac:dyDescent="0.3">
      <c r="A109" s="39" t="str">
        <f>IF('Rates from Ireland Fedex Priort'!A108="","",'Rates from Ireland Fedex Priort'!A108)</f>
        <v>EU</v>
      </c>
      <c r="B109" s="8" t="str">
        <f>IF('Rates from Ireland Fedex Priort'!B108="","",'Rates from Ireland Fedex Priort'!B108)</f>
        <v>Ireland</v>
      </c>
      <c r="C109" s="9" t="str">
        <f>IF('Rates from Ireland Fedex Priort'!C108="","",'Rates from Ireland Fedex Priort'!C108)</f>
        <v>Italy Island</v>
      </c>
      <c r="D109" s="10">
        <f>IF(ISNUMBER('Rates from Ireland Fedex Priort'!D108),_xlfn.CEILING.MATH('Rates from Ireland Fedex Priort'!D108,1)+IF($A109="EU",Variables!$B$5,Variables!$B$2),'Rates from Ireland Fedex Priort'!D108)</f>
        <v>80</v>
      </c>
      <c r="E109" s="10">
        <f>IF(ISNUMBER('Rates from Ireland Fedex Priort'!E108),_xlfn.CEILING.MATH('Rates from Ireland Fedex Priort'!E108,1)+IF($A109="EU",Variables!$B$6,Variables!$B$3),'Rates from Ireland Fedex Priort'!E108)</f>
        <v>104</v>
      </c>
      <c r="F109" s="10">
        <f>IF(ISNUMBER('Rates from Ireland Fedex Priort'!F108),_xlfn.CEILING.MATH('Rates from Ireland Fedex Priort'!F108,1)+IF($A109="EU",Variables!$B$6,Variables!$B$3),'Rates from Ireland Fedex Priort'!F108)</f>
        <v>105</v>
      </c>
      <c r="G109" s="10">
        <f>IF(ISNUMBER('Rates from Ireland Fedex Priort'!G108),_xlfn.CEILING.MATH('Rates from Ireland Fedex Priort'!G108,1)+IF($A109="EU",Variables!$B$6,Variables!$B$3),'Rates from Ireland Fedex Priort'!G108)</f>
        <v>112</v>
      </c>
      <c r="H109" s="10">
        <f>IF(ISNUMBER('Rates from Ireland Fedex Priort'!H108),_xlfn.CEILING.MATH('Rates from Ireland Fedex Priort'!H108,1)+IF($A109="EU",Variables!$B$6,Variables!$B$3),'Rates from Ireland Fedex Priort'!H108)</f>
        <v>118</v>
      </c>
      <c r="I109" s="10">
        <f>IF(ISNUMBER('Rates from Ireland Fedex Priort'!I108),_xlfn.CEILING.MATH('Rates from Ireland Fedex Priort'!I108,1)+IF($A109="EU",Variables!$B$6,Variables!$B$3),'Rates from Ireland Fedex Priort'!I108)</f>
        <v>122</v>
      </c>
      <c r="J109" s="10">
        <f>IF(ISNUMBER('Rates from Ireland Fedex Priort'!J108),_xlfn.CEILING.MATH('Rates from Ireland Fedex Priort'!J108,1)+IF($A109="EU",Variables!$B$6,Variables!$B$3),'Rates from Ireland Fedex Priort'!J108)</f>
        <v>129</v>
      </c>
      <c r="K109" s="10">
        <f>IF(ISNUMBER('Rates from Ireland Fedex Priort'!K108),_xlfn.CEILING.MATH('Rates from Ireland Fedex Priort'!K108,1)+IF($A109="EU",Variables!$B$6,Variables!$B$3),'Rates from Ireland Fedex Priort'!K108)</f>
        <v>144</v>
      </c>
      <c r="L109" s="10">
        <f>IF(ISNUMBER('Rates from Ireland Fedex Priort'!L108),_xlfn.CEILING.MATH('Rates from Ireland Fedex Priort'!L108,1)+IF($A109="EU",Variables!$B$6,Variables!$B$3),'Rates from Ireland Fedex Priort'!L108)</f>
        <v>143</v>
      </c>
      <c r="M109" s="10">
        <f>IF(ISNUMBER('Rates from Ireland Fedex Priort'!M108),_xlfn.CEILING.MATH('Rates from Ireland Fedex Priort'!M108,1)+IF($A109="EU",Variables!$B$6,Variables!$B$3),'Rates from Ireland Fedex Priort'!M108)</f>
        <v>154</v>
      </c>
      <c r="N109" s="10">
        <f>IF(ISNUMBER('Rates from Ireland Fedex Priort'!N108),_xlfn.CEILING.MATH('Rates from Ireland Fedex Priort'!N108,1)+IF($A109="EU",Variables!$B$6,Variables!$B$3),'Rates from Ireland Fedex Priort'!N108)</f>
        <v>170</v>
      </c>
      <c r="O109" s="15" t="s">
        <v>23</v>
      </c>
      <c r="P109" s="15" t="s">
        <v>39</v>
      </c>
      <c r="Q109" s="16">
        <v>80</v>
      </c>
      <c r="R109" s="15" t="s">
        <v>25</v>
      </c>
      <c r="S109" s="17" t="s">
        <v>26</v>
      </c>
      <c r="T109" s="40" t="s">
        <v>27</v>
      </c>
    </row>
    <row r="110" spans="1:20" ht="15.75" customHeight="1" x14ac:dyDescent="0.3">
      <c r="A110" s="39" t="str">
        <f>IF('Rates from Ireland Fedex Priort'!A109="","",'Rates from Ireland Fedex Priort'!A109)</f>
        <v>EU</v>
      </c>
      <c r="B110" s="8" t="str">
        <f>IF('Rates from Ireland Fedex Priort'!B109="","",'Rates from Ireland Fedex Priort'!B109)</f>
        <v>Ireland</v>
      </c>
      <c r="C110" s="9" t="str">
        <f>IF('Rates from Ireland Fedex Priort'!C109="","",'Rates from Ireland Fedex Priort'!C109)</f>
        <v>Ivory Coast</v>
      </c>
      <c r="D110" s="10">
        <f>IF(ISNUMBER('Rates from Ireland Fedex Priort'!D109),_xlfn.CEILING.MATH('Rates from Ireland Fedex Priort'!D109,1)+IF($A110="EU",Variables!$B$5,Variables!$B$2),'Rates from Ireland Fedex Priort'!D109)</f>
        <v>72</v>
      </c>
      <c r="E110" s="10">
        <f>IF(ISNUMBER('Rates from Ireland Fedex Priort'!E109),_xlfn.CEILING.MATH('Rates from Ireland Fedex Priort'!E109,1)+IF($A110="EU",Variables!$B$6,Variables!$B$3),'Rates from Ireland Fedex Priort'!E109)</f>
        <v>83</v>
      </c>
      <c r="F110" s="10">
        <f>IF(ISNUMBER('Rates from Ireland Fedex Priort'!F109),_xlfn.CEILING.MATH('Rates from Ireland Fedex Priort'!F109,1)+IF($A110="EU",Variables!$B$6,Variables!$B$3),'Rates from Ireland Fedex Priort'!F109)</f>
        <v>88</v>
      </c>
      <c r="G110" s="10">
        <f>IF(ISNUMBER('Rates from Ireland Fedex Priort'!G109),_xlfn.CEILING.MATH('Rates from Ireland Fedex Priort'!G109,1)+IF($A110="EU",Variables!$B$6,Variables!$B$3),'Rates from Ireland Fedex Priort'!G109)</f>
        <v>106</v>
      </c>
      <c r="H110" s="10">
        <f>IF(ISNUMBER('Rates from Ireland Fedex Priort'!H109),_xlfn.CEILING.MATH('Rates from Ireland Fedex Priort'!H109,1)+IF($A110="EU",Variables!$B$6,Variables!$B$3),'Rates from Ireland Fedex Priort'!H109)</f>
        <v>134</v>
      </c>
      <c r="I110" s="10">
        <f>IF(ISNUMBER('Rates from Ireland Fedex Priort'!I109),_xlfn.CEILING.MATH('Rates from Ireland Fedex Priort'!I109,1)+IF($A110="EU",Variables!$B$6,Variables!$B$3),'Rates from Ireland Fedex Priort'!I109)</f>
        <v>242</v>
      </c>
      <c r="J110" s="10" t="str">
        <f>IF(ISNUMBER('Rates from Ireland Fedex Priort'!J109),_xlfn.CEILING.MATH('Rates from Ireland Fedex Priort'!J109,1)+IF($A110="EU",Variables!$B$6,Variables!$B$3),'Rates from Ireland Fedex Priort'!J109)</f>
        <v>No service</v>
      </c>
      <c r="K110" s="10" t="str">
        <f>IF(ISNUMBER('Rates from Ireland Fedex Priort'!K109),_xlfn.CEILING.MATH('Rates from Ireland Fedex Priort'!K109,1)+IF($A110="EU",Variables!$B$6,Variables!$B$3),'Rates from Ireland Fedex Priort'!K109)</f>
        <v>No service</v>
      </c>
      <c r="L110" s="10" t="str">
        <f>IF(ISNUMBER('Rates from Ireland Fedex Priort'!L109),_xlfn.CEILING.MATH('Rates from Ireland Fedex Priort'!L109,1)+IF($A110="EU",Variables!$B$6,Variables!$B$3),'Rates from Ireland Fedex Priort'!L109)</f>
        <v>No service</v>
      </c>
      <c r="M110" s="10" t="str">
        <f>IF(ISNUMBER('Rates from Ireland Fedex Priort'!M109),_xlfn.CEILING.MATH('Rates from Ireland Fedex Priort'!M109,1)+IF($A110="EU",Variables!$B$6,Variables!$B$3),'Rates from Ireland Fedex Priort'!M109)</f>
        <v>No service</v>
      </c>
      <c r="N110" s="10" t="str">
        <f>IF(ISNUMBER('Rates from Ireland Fedex Priort'!N109),_xlfn.CEILING.MATH('Rates from Ireland Fedex Priort'!N109,1)+IF($A110="EU",Variables!$B$6,Variables!$B$3),'Rates from Ireland Fedex Priort'!N109)</f>
        <v>No service</v>
      </c>
      <c r="O110" s="11" t="s">
        <v>35</v>
      </c>
      <c r="P110" s="11" t="s">
        <v>36</v>
      </c>
      <c r="Q110" s="12">
        <v>80</v>
      </c>
      <c r="R110" s="11" t="s">
        <v>25</v>
      </c>
      <c r="S110" s="3" t="s">
        <v>26</v>
      </c>
      <c r="T110" s="38" t="s">
        <v>27</v>
      </c>
    </row>
    <row r="111" spans="1:20" ht="15.75" customHeight="1" x14ac:dyDescent="0.3">
      <c r="A111" s="39" t="str">
        <f>IF('Rates from Ireland Fedex Priort'!A110="","",'Rates from Ireland Fedex Priort'!A110)</f>
        <v>EU</v>
      </c>
      <c r="B111" s="8" t="str">
        <f>IF('Rates from Ireland Fedex Priort'!B110="","",'Rates from Ireland Fedex Priort'!B110)</f>
        <v>Ireland</v>
      </c>
      <c r="C111" s="9" t="str">
        <f>IF('Rates from Ireland Fedex Priort'!C110="","",'Rates from Ireland Fedex Priort'!C110)</f>
        <v>Jamaica</v>
      </c>
      <c r="D111" s="10">
        <f>IF(ISNUMBER('Rates from Ireland Fedex Priort'!D110),_xlfn.CEILING.MATH('Rates from Ireland Fedex Priort'!D110,1)+IF($A111="EU",Variables!$B$5,Variables!$B$2),'Rates from Ireland Fedex Priort'!D110)</f>
        <v>68</v>
      </c>
      <c r="E111" s="10">
        <f>IF(ISNUMBER('Rates from Ireland Fedex Priort'!E110),_xlfn.CEILING.MATH('Rates from Ireland Fedex Priort'!E110,1)+IF($A111="EU",Variables!$B$6,Variables!$B$3),'Rates from Ireland Fedex Priort'!E110)</f>
        <v>77</v>
      </c>
      <c r="F111" s="10">
        <f>IF(ISNUMBER('Rates from Ireland Fedex Priort'!F110),_xlfn.CEILING.MATH('Rates from Ireland Fedex Priort'!F110,1)+IF($A111="EU",Variables!$B$6,Variables!$B$3),'Rates from Ireland Fedex Priort'!F110)</f>
        <v>81</v>
      </c>
      <c r="G111" s="10">
        <f>IF(ISNUMBER('Rates from Ireland Fedex Priort'!G110),_xlfn.CEILING.MATH('Rates from Ireland Fedex Priort'!G110,1)+IF($A111="EU",Variables!$B$6,Variables!$B$3),'Rates from Ireland Fedex Priort'!G110)</f>
        <v>96</v>
      </c>
      <c r="H111" s="10">
        <f>IF(ISNUMBER('Rates from Ireland Fedex Priort'!H110),_xlfn.CEILING.MATH('Rates from Ireland Fedex Priort'!H110,1)+IF($A111="EU",Variables!$B$6,Variables!$B$3),'Rates from Ireland Fedex Priort'!H110)</f>
        <v>117</v>
      </c>
      <c r="I111" s="10">
        <f>IF(ISNUMBER('Rates from Ireland Fedex Priort'!I110),_xlfn.CEILING.MATH('Rates from Ireland Fedex Priort'!I110,1)+IF($A111="EU",Variables!$B$6,Variables!$B$3),'Rates from Ireland Fedex Priort'!I110)</f>
        <v>219</v>
      </c>
      <c r="J111" s="10" t="str">
        <f>IF(ISNUMBER('Rates from Ireland Fedex Priort'!J110),_xlfn.CEILING.MATH('Rates from Ireland Fedex Priort'!J110,1)+IF($A111="EU",Variables!$B$6,Variables!$B$3),'Rates from Ireland Fedex Priort'!J110)</f>
        <v>No service</v>
      </c>
      <c r="K111" s="10" t="str">
        <f>IF(ISNUMBER('Rates from Ireland Fedex Priort'!K110),_xlfn.CEILING.MATH('Rates from Ireland Fedex Priort'!K110,1)+IF($A111="EU",Variables!$B$6,Variables!$B$3),'Rates from Ireland Fedex Priort'!K110)</f>
        <v>No service</v>
      </c>
      <c r="L111" s="10" t="str">
        <f>IF(ISNUMBER('Rates from Ireland Fedex Priort'!L110),_xlfn.CEILING.MATH('Rates from Ireland Fedex Priort'!L110,1)+IF($A111="EU",Variables!$B$6,Variables!$B$3),'Rates from Ireland Fedex Priort'!L110)</f>
        <v>No service</v>
      </c>
      <c r="M111" s="10" t="str">
        <f>IF(ISNUMBER('Rates from Ireland Fedex Priort'!M110),_xlfn.CEILING.MATH('Rates from Ireland Fedex Priort'!M110,1)+IF($A111="EU",Variables!$B$6,Variables!$B$3),'Rates from Ireland Fedex Priort'!M110)</f>
        <v>No service</v>
      </c>
      <c r="N111" s="10" t="str">
        <f>IF(ISNUMBER('Rates from Ireland Fedex Priort'!N110),_xlfn.CEILING.MATH('Rates from Ireland Fedex Priort'!N110,1)+IF($A111="EU",Variables!$B$6,Variables!$B$3),'Rates from Ireland Fedex Priort'!N110)</f>
        <v>No service</v>
      </c>
      <c r="O111" s="11" t="s">
        <v>41</v>
      </c>
      <c r="P111" s="11" t="s">
        <v>23</v>
      </c>
      <c r="Q111" s="12">
        <v>80</v>
      </c>
      <c r="R111" s="11" t="s">
        <v>25</v>
      </c>
      <c r="S111" s="3" t="s">
        <v>26</v>
      </c>
      <c r="T111" s="38" t="s">
        <v>27</v>
      </c>
    </row>
    <row r="112" spans="1:20" ht="15.75" customHeight="1" x14ac:dyDescent="0.3">
      <c r="A112" s="39" t="str">
        <f>IF('Rates from Ireland Fedex Priort'!A111="","",'Rates from Ireland Fedex Priort'!A111)</f>
        <v>EU</v>
      </c>
      <c r="B112" s="8" t="str">
        <f>IF('Rates from Ireland Fedex Priort'!B111="","",'Rates from Ireland Fedex Priort'!B111)</f>
        <v>Ireland</v>
      </c>
      <c r="C112" s="9" t="str">
        <f>IF('Rates from Ireland Fedex Priort'!C111="","",'Rates from Ireland Fedex Priort'!C111)</f>
        <v>Japan</v>
      </c>
      <c r="D112" s="10">
        <f>IF(ISNUMBER('Rates from Ireland Fedex Priort'!D111),_xlfn.CEILING.MATH('Rates from Ireland Fedex Priort'!D111,1)+IF($A112="EU",Variables!$B$5,Variables!$B$2),'Rates from Ireland Fedex Priort'!D111)</f>
        <v>65</v>
      </c>
      <c r="E112" s="10">
        <f>IF(ISNUMBER('Rates from Ireland Fedex Priort'!E111),_xlfn.CEILING.MATH('Rates from Ireland Fedex Priort'!E111,1)+IF($A112="EU",Variables!$B$6,Variables!$B$3),'Rates from Ireland Fedex Priort'!E111)</f>
        <v>109</v>
      </c>
      <c r="F112" s="10">
        <f>IF(ISNUMBER('Rates from Ireland Fedex Priort'!F111),_xlfn.CEILING.MATH('Rates from Ireland Fedex Priort'!F111,1)+IF($A112="EU",Variables!$B$6,Variables!$B$3),'Rates from Ireland Fedex Priort'!F111)</f>
        <v>114</v>
      </c>
      <c r="G112" s="10">
        <f>IF(ISNUMBER('Rates from Ireland Fedex Priort'!G111),_xlfn.CEILING.MATH('Rates from Ireland Fedex Priort'!G111,1)+IF($A112="EU",Variables!$B$6,Variables!$B$3),'Rates from Ireland Fedex Priort'!G111)</f>
        <v>131</v>
      </c>
      <c r="H112" s="10">
        <f>IF(ISNUMBER('Rates from Ireland Fedex Priort'!H111),_xlfn.CEILING.MATH('Rates from Ireland Fedex Priort'!H111,1)+IF($A112="EU",Variables!$B$6,Variables!$B$3),'Rates from Ireland Fedex Priort'!H111)</f>
        <v>154</v>
      </c>
      <c r="I112" s="10">
        <f>IF(ISNUMBER('Rates from Ireland Fedex Priort'!I111),_xlfn.CEILING.MATH('Rates from Ireland Fedex Priort'!I111,1)+IF($A112="EU",Variables!$B$6,Variables!$B$3),'Rates from Ireland Fedex Priort'!I111)</f>
        <v>214</v>
      </c>
      <c r="J112" s="10" t="str">
        <f>IF(ISNUMBER('Rates from Ireland Fedex Priort'!J111),_xlfn.CEILING.MATH('Rates from Ireland Fedex Priort'!J111,1)+IF($A112="EU",Variables!$B$6,Variables!$B$3),'Rates from Ireland Fedex Priort'!J111)</f>
        <v>No service</v>
      </c>
      <c r="K112" s="10" t="str">
        <f>IF(ISNUMBER('Rates from Ireland Fedex Priort'!K111),_xlfn.CEILING.MATH('Rates from Ireland Fedex Priort'!K111,1)+IF($A112="EU",Variables!$B$6,Variables!$B$3),'Rates from Ireland Fedex Priort'!K111)</f>
        <v>No service</v>
      </c>
      <c r="L112" s="10" t="str">
        <f>IF(ISNUMBER('Rates from Ireland Fedex Priort'!L111),_xlfn.CEILING.MATH('Rates from Ireland Fedex Priort'!L111,1)+IF($A112="EU",Variables!$B$6,Variables!$B$3),'Rates from Ireland Fedex Priort'!L111)</f>
        <v>No service</v>
      </c>
      <c r="M112" s="10" t="str">
        <f>IF(ISNUMBER('Rates from Ireland Fedex Priort'!M111),_xlfn.CEILING.MATH('Rates from Ireland Fedex Priort'!M111,1)+IF($A112="EU",Variables!$B$6,Variables!$B$3),'Rates from Ireland Fedex Priort'!M111)</f>
        <v>No service</v>
      </c>
      <c r="N112" s="10" t="str">
        <f>IF(ISNUMBER('Rates from Ireland Fedex Priort'!N111),_xlfn.CEILING.MATH('Rates from Ireland Fedex Priort'!N111,1)+IF($A112="EU",Variables!$B$6,Variables!$B$3),'Rates from Ireland Fedex Priort'!N111)</f>
        <v>No service</v>
      </c>
      <c r="O112" s="11" t="s">
        <v>24</v>
      </c>
      <c r="P112" s="11" t="s">
        <v>69</v>
      </c>
      <c r="Q112" s="12">
        <v>80</v>
      </c>
      <c r="R112" s="11" t="s">
        <v>25</v>
      </c>
      <c r="S112" s="3" t="s">
        <v>26</v>
      </c>
      <c r="T112" s="38" t="s">
        <v>27</v>
      </c>
    </row>
    <row r="113" spans="1:20" ht="15.75" customHeight="1" x14ac:dyDescent="0.3">
      <c r="A113" s="39" t="str">
        <f>IF('Rates from Ireland Fedex Priort'!A112="","",'Rates from Ireland Fedex Priort'!A112)</f>
        <v>EU</v>
      </c>
      <c r="B113" s="8" t="str">
        <f>IF('Rates from Ireland Fedex Priort'!B112="","",'Rates from Ireland Fedex Priort'!B112)</f>
        <v>Ireland</v>
      </c>
      <c r="C113" s="9" t="str">
        <f>IF('Rates from Ireland Fedex Priort'!C112="","",'Rates from Ireland Fedex Priort'!C112)</f>
        <v xml:space="preserve">Jersey </v>
      </c>
      <c r="D113" s="10">
        <f>IF(ISNUMBER('Rates from Ireland Fedex Priort'!D112),_xlfn.CEILING.MATH('Rates from Ireland Fedex Priort'!D112,1)+IF($A113="EU",Variables!$B$5,Variables!$B$2),'Rates from Ireland Fedex Priort'!D112)</f>
        <v>62</v>
      </c>
      <c r="E113" s="10">
        <f>IF(ISNUMBER('Rates from Ireland Fedex Priort'!E112),_xlfn.CEILING.MATH('Rates from Ireland Fedex Priort'!E112,1)+IF($A113="EU",Variables!$B$6,Variables!$B$3),'Rates from Ireland Fedex Priort'!E112)</f>
        <v>69</v>
      </c>
      <c r="F113" s="10">
        <f>IF(ISNUMBER('Rates from Ireland Fedex Priort'!F112),_xlfn.CEILING.MATH('Rates from Ireland Fedex Priort'!F112,1)+IF($A113="EU",Variables!$B$6,Variables!$B$3),'Rates from Ireland Fedex Priort'!F112)</f>
        <v>72</v>
      </c>
      <c r="G113" s="10">
        <f>IF(ISNUMBER('Rates from Ireland Fedex Priort'!G112),_xlfn.CEILING.MATH('Rates from Ireland Fedex Priort'!G112,1)+IF($A113="EU",Variables!$B$6,Variables!$B$3),'Rates from Ireland Fedex Priort'!G112)</f>
        <v>86</v>
      </c>
      <c r="H113" s="10">
        <f>IF(ISNUMBER('Rates from Ireland Fedex Priort'!H112),_xlfn.CEILING.MATH('Rates from Ireland Fedex Priort'!H112,1)+IF($A113="EU",Variables!$B$6,Variables!$B$3),'Rates from Ireland Fedex Priort'!H112)</f>
        <v>111</v>
      </c>
      <c r="I113" s="10">
        <f>IF(ISNUMBER('Rates from Ireland Fedex Priort'!I112),_xlfn.CEILING.MATH('Rates from Ireland Fedex Priort'!I112,1)+IF($A113="EU",Variables!$B$6,Variables!$B$3),'Rates from Ireland Fedex Priort'!I112)</f>
        <v>174</v>
      </c>
      <c r="J113" s="10" t="str">
        <f>IF(ISNUMBER('Rates from Ireland Fedex Priort'!J112),_xlfn.CEILING.MATH('Rates from Ireland Fedex Priort'!J112,1)+IF($A113="EU",Variables!$B$6,Variables!$B$3),'Rates from Ireland Fedex Priort'!J112)</f>
        <v>No service</v>
      </c>
      <c r="K113" s="10" t="str">
        <f>IF(ISNUMBER('Rates from Ireland Fedex Priort'!K112),_xlfn.CEILING.MATH('Rates from Ireland Fedex Priort'!K112,1)+IF($A113="EU",Variables!$B$6,Variables!$B$3),'Rates from Ireland Fedex Priort'!K112)</f>
        <v>No service</v>
      </c>
      <c r="L113" s="10" t="str">
        <f>IF(ISNUMBER('Rates from Ireland Fedex Priort'!L112),_xlfn.CEILING.MATH('Rates from Ireland Fedex Priort'!L112,1)+IF($A113="EU",Variables!$B$6,Variables!$B$3),'Rates from Ireland Fedex Priort'!L112)</f>
        <v>No service</v>
      </c>
      <c r="M113" s="10" t="str">
        <f>IF(ISNUMBER('Rates from Ireland Fedex Priort'!M112),_xlfn.CEILING.MATH('Rates from Ireland Fedex Priort'!M112,1)+IF($A113="EU",Variables!$B$6,Variables!$B$3),'Rates from Ireland Fedex Priort'!M112)</f>
        <v>No service</v>
      </c>
      <c r="N113" s="10" t="str">
        <f>IF(ISNUMBER('Rates from Ireland Fedex Priort'!N112),_xlfn.CEILING.MATH('Rates from Ireland Fedex Priort'!N112,1)+IF($A113="EU",Variables!$B$6,Variables!$B$3),'Rates from Ireland Fedex Priort'!N112)</f>
        <v>No service</v>
      </c>
      <c r="O113" s="11" t="s">
        <v>29</v>
      </c>
      <c r="P113" s="11" t="s">
        <v>33</v>
      </c>
      <c r="Q113" s="12">
        <v>80</v>
      </c>
      <c r="R113" s="11" t="s">
        <v>25</v>
      </c>
      <c r="S113" s="3" t="s">
        <v>26</v>
      </c>
      <c r="T113" s="38" t="s">
        <v>27</v>
      </c>
    </row>
    <row r="114" spans="1:20" ht="15.75" customHeight="1" x14ac:dyDescent="0.3">
      <c r="A114" s="39" t="str">
        <f>IF('Rates from Ireland Fedex Priort'!A113="","",'Rates from Ireland Fedex Priort'!A113)</f>
        <v>EU</v>
      </c>
      <c r="B114" s="8" t="str">
        <f>IF('Rates from Ireland Fedex Priort'!B113="","",'Rates from Ireland Fedex Priort'!B113)</f>
        <v>Ireland</v>
      </c>
      <c r="C114" s="9" t="str">
        <f>IF('Rates from Ireland Fedex Priort'!C113="","",'Rates from Ireland Fedex Priort'!C113)</f>
        <v>Jordan</v>
      </c>
      <c r="D114" s="10">
        <f>IF(ISNUMBER('Rates from Ireland Fedex Priort'!D113),_xlfn.CEILING.MATH('Rates from Ireland Fedex Priort'!D113,1)+IF($A114="EU",Variables!$B$5,Variables!$B$2),'Rates from Ireland Fedex Priort'!D113)</f>
        <v>62</v>
      </c>
      <c r="E114" s="10">
        <f>IF(ISNUMBER('Rates from Ireland Fedex Priort'!E113),_xlfn.CEILING.MATH('Rates from Ireland Fedex Priort'!E113,1)+IF($A114="EU",Variables!$B$6,Variables!$B$3),'Rates from Ireland Fedex Priort'!E113)</f>
        <v>69</v>
      </c>
      <c r="F114" s="10">
        <f>IF(ISNUMBER('Rates from Ireland Fedex Priort'!F113),_xlfn.CEILING.MATH('Rates from Ireland Fedex Priort'!F113,1)+IF($A114="EU",Variables!$B$6,Variables!$B$3),'Rates from Ireland Fedex Priort'!F113)</f>
        <v>72</v>
      </c>
      <c r="G114" s="10">
        <f>IF(ISNUMBER('Rates from Ireland Fedex Priort'!G113),_xlfn.CEILING.MATH('Rates from Ireland Fedex Priort'!G113,1)+IF($A114="EU",Variables!$B$6,Variables!$B$3),'Rates from Ireland Fedex Priort'!G113)</f>
        <v>86</v>
      </c>
      <c r="H114" s="10">
        <f>IF(ISNUMBER('Rates from Ireland Fedex Priort'!H113),_xlfn.CEILING.MATH('Rates from Ireland Fedex Priort'!H113,1)+IF($A114="EU",Variables!$B$6,Variables!$B$3),'Rates from Ireland Fedex Priort'!H113)</f>
        <v>111</v>
      </c>
      <c r="I114" s="10">
        <f>IF(ISNUMBER('Rates from Ireland Fedex Priort'!I113),_xlfn.CEILING.MATH('Rates from Ireland Fedex Priort'!I113,1)+IF($A114="EU",Variables!$B$6,Variables!$B$3),'Rates from Ireland Fedex Priort'!I113)</f>
        <v>174</v>
      </c>
      <c r="J114" s="10" t="str">
        <f>IF(ISNUMBER('Rates from Ireland Fedex Priort'!J113),_xlfn.CEILING.MATH('Rates from Ireland Fedex Priort'!J113,1)+IF($A114="EU",Variables!$B$6,Variables!$B$3),'Rates from Ireland Fedex Priort'!J113)</f>
        <v>No service</v>
      </c>
      <c r="K114" s="10" t="str">
        <f>IF(ISNUMBER('Rates from Ireland Fedex Priort'!K113),_xlfn.CEILING.MATH('Rates from Ireland Fedex Priort'!K113,1)+IF($A114="EU",Variables!$B$6,Variables!$B$3),'Rates from Ireland Fedex Priort'!K113)</f>
        <v>No service</v>
      </c>
      <c r="L114" s="10" t="str">
        <f>IF(ISNUMBER('Rates from Ireland Fedex Priort'!L113),_xlfn.CEILING.MATH('Rates from Ireland Fedex Priort'!L113,1)+IF($A114="EU",Variables!$B$6,Variables!$B$3),'Rates from Ireland Fedex Priort'!L113)</f>
        <v>No service</v>
      </c>
      <c r="M114" s="10" t="str">
        <f>IF(ISNUMBER('Rates from Ireland Fedex Priort'!M113),_xlfn.CEILING.MATH('Rates from Ireland Fedex Priort'!M113,1)+IF($A114="EU",Variables!$B$6,Variables!$B$3),'Rates from Ireland Fedex Priort'!M113)</f>
        <v>No service</v>
      </c>
      <c r="N114" s="10" t="str">
        <f>IF(ISNUMBER('Rates from Ireland Fedex Priort'!N113),_xlfn.CEILING.MATH('Rates from Ireland Fedex Priort'!N113,1)+IF($A114="EU",Variables!$B$6,Variables!$B$3),'Rates from Ireland Fedex Priort'!N113)</f>
        <v>No service</v>
      </c>
      <c r="O114" s="11" t="s">
        <v>29</v>
      </c>
      <c r="P114" s="11" t="s">
        <v>30</v>
      </c>
      <c r="Q114" s="12">
        <v>80</v>
      </c>
      <c r="R114" s="11" t="s">
        <v>25</v>
      </c>
      <c r="S114" s="3" t="s">
        <v>26</v>
      </c>
      <c r="T114" s="38" t="s">
        <v>27</v>
      </c>
    </row>
    <row r="115" spans="1:20" ht="15.75" customHeight="1" x14ac:dyDescent="0.3">
      <c r="A115" s="39" t="str">
        <f>IF('Rates from Ireland Fedex Priort'!A114="","",'Rates from Ireland Fedex Priort'!A114)</f>
        <v>EU</v>
      </c>
      <c r="B115" s="8" t="str">
        <f>IF('Rates from Ireland Fedex Priort'!B114="","",'Rates from Ireland Fedex Priort'!B114)</f>
        <v>Ireland</v>
      </c>
      <c r="C115" s="9" t="str">
        <f>IF('Rates from Ireland Fedex Priort'!C114="","",'Rates from Ireland Fedex Priort'!C114)</f>
        <v>Kazakhstan</v>
      </c>
      <c r="D115" s="10">
        <f>IF(ISNUMBER('Rates from Ireland Fedex Priort'!D114),_xlfn.CEILING.MATH('Rates from Ireland Fedex Priort'!D114,1)+IF($A115="EU",Variables!$B$5,Variables!$B$2),'Rates from Ireland Fedex Priort'!D114)</f>
        <v>72</v>
      </c>
      <c r="E115" s="10">
        <f>IF(ISNUMBER('Rates from Ireland Fedex Priort'!E114),_xlfn.CEILING.MATH('Rates from Ireland Fedex Priort'!E114,1)+IF($A115="EU",Variables!$B$6,Variables!$B$3),'Rates from Ireland Fedex Priort'!E114)</f>
        <v>83</v>
      </c>
      <c r="F115" s="10">
        <f>IF(ISNUMBER('Rates from Ireland Fedex Priort'!F114),_xlfn.CEILING.MATH('Rates from Ireland Fedex Priort'!F114,1)+IF($A115="EU",Variables!$B$6,Variables!$B$3),'Rates from Ireland Fedex Priort'!F114)</f>
        <v>88</v>
      </c>
      <c r="G115" s="10">
        <f>IF(ISNUMBER('Rates from Ireland Fedex Priort'!G114),_xlfn.CEILING.MATH('Rates from Ireland Fedex Priort'!G114,1)+IF($A115="EU",Variables!$B$6,Variables!$B$3),'Rates from Ireland Fedex Priort'!G114)</f>
        <v>106</v>
      </c>
      <c r="H115" s="10">
        <f>IF(ISNUMBER('Rates from Ireland Fedex Priort'!H114),_xlfn.CEILING.MATH('Rates from Ireland Fedex Priort'!H114,1)+IF($A115="EU",Variables!$B$6,Variables!$B$3),'Rates from Ireland Fedex Priort'!H114)</f>
        <v>134</v>
      </c>
      <c r="I115" s="10">
        <f>IF(ISNUMBER('Rates from Ireland Fedex Priort'!I114),_xlfn.CEILING.MATH('Rates from Ireland Fedex Priort'!I114,1)+IF($A115="EU",Variables!$B$6,Variables!$B$3),'Rates from Ireland Fedex Priort'!I114)</f>
        <v>242</v>
      </c>
      <c r="J115" s="10" t="str">
        <f>IF(ISNUMBER('Rates from Ireland Fedex Priort'!J114),_xlfn.CEILING.MATH('Rates from Ireland Fedex Priort'!J114,1)+IF($A115="EU",Variables!$B$6,Variables!$B$3),'Rates from Ireland Fedex Priort'!J114)</f>
        <v>No service</v>
      </c>
      <c r="K115" s="10" t="str">
        <f>IF(ISNUMBER('Rates from Ireland Fedex Priort'!K114),_xlfn.CEILING.MATH('Rates from Ireland Fedex Priort'!K114,1)+IF($A115="EU",Variables!$B$6,Variables!$B$3),'Rates from Ireland Fedex Priort'!K114)</f>
        <v>No service</v>
      </c>
      <c r="L115" s="10" t="str">
        <f>IF(ISNUMBER('Rates from Ireland Fedex Priort'!L114),_xlfn.CEILING.MATH('Rates from Ireland Fedex Priort'!L114,1)+IF($A115="EU",Variables!$B$6,Variables!$B$3),'Rates from Ireland Fedex Priort'!L114)</f>
        <v>No service</v>
      </c>
      <c r="M115" s="10" t="str">
        <f>IF(ISNUMBER('Rates from Ireland Fedex Priort'!M114),_xlfn.CEILING.MATH('Rates from Ireland Fedex Priort'!M114,1)+IF($A115="EU",Variables!$B$6,Variables!$B$3),'Rates from Ireland Fedex Priort'!M114)</f>
        <v>No service</v>
      </c>
      <c r="N115" s="10" t="str">
        <f>IF(ISNUMBER('Rates from Ireland Fedex Priort'!N114),_xlfn.CEILING.MATH('Rates from Ireland Fedex Priort'!N114,1)+IF($A115="EU",Variables!$B$6,Variables!$B$3),'Rates from Ireland Fedex Priort'!N114)</f>
        <v>No service</v>
      </c>
      <c r="O115" s="11" t="s">
        <v>35</v>
      </c>
      <c r="P115" s="11" t="s">
        <v>36</v>
      </c>
      <c r="Q115" s="12">
        <v>80</v>
      </c>
      <c r="R115" s="11" t="s">
        <v>25</v>
      </c>
      <c r="S115" s="3" t="s">
        <v>26</v>
      </c>
      <c r="T115" s="38" t="s">
        <v>27</v>
      </c>
    </row>
    <row r="116" spans="1:20" ht="15.75" customHeight="1" x14ac:dyDescent="0.3">
      <c r="A116" s="39" t="str">
        <f>IF('Rates from Ireland Fedex Priort'!A115="","",'Rates from Ireland Fedex Priort'!A115)</f>
        <v>EU</v>
      </c>
      <c r="B116" s="8" t="str">
        <f>IF('Rates from Ireland Fedex Priort'!B115="","",'Rates from Ireland Fedex Priort'!B115)</f>
        <v>Ireland</v>
      </c>
      <c r="C116" s="9" t="str">
        <f>IF('Rates from Ireland Fedex Priort'!C115="","",'Rates from Ireland Fedex Priort'!C115)</f>
        <v>Kenya</v>
      </c>
      <c r="D116" s="10">
        <f>IF(ISNUMBER('Rates from Ireland Fedex Priort'!D115),_xlfn.CEILING.MATH('Rates from Ireland Fedex Priort'!D115,1)+IF($A116="EU",Variables!$B$5,Variables!$B$2),'Rates from Ireland Fedex Priort'!D115)</f>
        <v>72</v>
      </c>
      <c r="E116" s="10">
        <f>IF(ISNUMBER('Rates from Ireland Fedex Priort'!E115),_xlfn.CEILING.MATH('Rates from Ireland Fedex Priort'!E115,1)+IF($A116="EU",Variables!$B$6,Variables!$B$3),'Rates from Ireland Fedex Priort'!E115)</f>
        <v>83</v>
      </c>
      <c r="F116" s="10">
        <f>IF(ISNUMBER('Rates from Ireland Fedex Priort'!F115),_xlfn.CEILING.MATH('Rates from Ireland Fedex Priort'!F115,1)+IF($A116="EU",Variables!$B$6,Variables!$B$3),'Rates from Ireland Fedex Priort'!F115)</f>
        <v>88</v>
      </c>
      <c r="G116" s="10">
        <f>IF(ISNUMBER('Rates from Ireland Fedex Priort'!G115),_xlfn.CEILING.MATH('Rates from Ireland Fedex Priort'!G115,1)+IF($A116="EU",Variables!$B$6,Variables!$B$3),'Rates from Ireland Fedex Priort'!G115)</f>
        <v>106</v>
      </c>
      <c r="H116" s="10">
        <f>IF(ISNUMBER('Rates from Ireland Fedex Priort'!H115),_xlfn.CEILING.MATH('Rates from Ireland Fedex Priort'!H115,1)+IF($A116="EU",Variables!$B$6,Variables!$B$3),'Rates from Ireland Fedex Priort'!H115)</f>
        <v>134</v>
      </c>
      <c r="I116" s="10">
        <f>IF(ISNUMBER('Rates from Ireland Fedex Priort'!I115),_xlfn.CEILING.MATH('Rates from Ireland Fedex Priort'!I115,1)+IF($A116="EU",Variables!$B$6,Variables!$B$3),'Rates from Ireland Fedex Priort'!I115)</f>
        <v>242</v>
      </c>
      <c r="J116" s="10" t="str">
        <f>IF(ISNUMBER('Rates from Ireland Fedex Priort'!J115),_xlfn.CEILING.MATH('Rates from Ireland Fedex Priort'!J115,1)+IF($A116="EU",Variables!$B$6,Variables!$B$3),'Rates from Ireland Fedex Priort'!J115)</f>
        <v>No service</v>
      </c>
      <c r="K116" s="10" t="str">
        <f>IF(ISNUMBER('Rates from Ireland Fedex Priort'!K115),_xlfn.CEILING.MATH('Rates from Ireland Fedex Priort'!K115,1)+IF($A116="EU",Variables!$B$6,Variables!$B$3),'Rates from Ireland Fedex Priort'!K115)</f>
        <v>No service</v>
      </c>
      <c r="L116" s="10" t="str">
        <f>IF(ISNUMBER('Rates from Ireland Fedex Priort'!L115),_xlfn.CEILING.MATH('Rates from Ireland Fedex Priort'!L115,1)+IF($A116="EU",Variables!$B$6,Variables!$B$3),'Rates from Ireland Fedex Priort'!L115)</f>
        <v>No service</v>
      </c>
      <c r="M116" s="10" t="str">
        <f>IF(ISNUMBER('Rates from Ireland Fedex Priort'!M115),_xlfn.CEILING.MATH('Rates from Ireland Fedex Priort'!M115,1)+IF($A116="EU",Variables!$B$6,Variables!$B$3),'Rates from Ireland Fedex Priort'!M115)</f>
        <v>No service</v>
      </c>
      <c r="N116" s="10" t="str">
        <f>IF(ISNUMBER('Rates from Ireland Fedex Priort'!N115),_xlfn.CEILING.MATH('Rates from Ireland Fedex Priort'!N115,1)+IF($A116="EU",Variables!$B$6,Variables!$B$3),'Rates from Ireland Fedex Priort'!N115)</f>
        <v>No service</v>
      </c>
      <c r="O116" s="11" t="s">
        <v>35</v>
      </c>
      <c r="P116" s="11" t="s">
        <v>36</v>
      </c>
      <c r="Q116" s="12">
        <v>80</v>
      </c>
      <c r="R116" s="11" t="s">
        <v>25</v>
      </c>
      <c r="S116" s="3" t="s">
        <v>26</v>
      </c>
      <c r="T116" s="38" t="s">
        <v>27</v>
      </c>
    </row>
    <row r="117" spans="1:20" ht="15.75" customHeight="1" x14ac:dyDescent="0.3">
      <c r="A117" s="39" t="str">
        <f>IF('Rates from Ireland Fedex Priort'!A116="","",'Rates from Ireland Fedex Priort'!A116)</f>
        <v>EU</v>
      </c>
      <c r="B117" s="8" t="str">
        <f>IF('Rates from Ireland Fedex Priort'!B116="","",'Rates from Ireland Fedex Priort'!B116)</f>
        <v>Ireland</v>
      </c>
      <c r="C117" s="9" t="str">
        <f>IF('Rates from Ireland Fedex Priort'!C116="","",'Rates from Ireland Fedex Priort'!C116)</f>
        <v>Kiribati</v>
      </c>
      <c r="D117" s="10" t="str">
        <f>IF(ISNUMBER('Rates from Ireland Fedex Priort'!D116),_xlfn.CEILING.MATH('Rates from Ireland Fedex Priort'!D116,1)+IF($A117="EU",Variables!$B$5,Variables!$B$2),'Rates from Ireland Fedex Priort'!D116)</f>
        <v>No service</v>
      </c>
      <c r="E117" s="10" t="str">
        <f>IF(ISNUMBER('Rates from Ireland Fedex Priort'!E116),_xlfn.CEILING.MATH('Rates from Ireland Fedex Priort'!E116,1)+IF($A117="EU",Variables!$B$6,Variables!$B$3),'Rates from Ireland Fedex Priort'!E116)</f>
        <v>No service</v>
      </c>
      <c r="F117" s="10" t="str">
        <f>IF(ISNUMBER('Rates from Ireland Fedex Priort'!F116),_xlfn.CEILING.MATH('Rates from Ireland Fedex Priort'!F116,1)+IF($A117="EU",Variables!$B$6,Variables!$B$3),'Rates from Ireland Fedex Priort'!F116)</f>
        <v>No service</v>
      </c>
      <c r="G117" s="10" t="str">
        <f>IF(ISNUMBER('Rates from Ireland Fedex Priort'!G116),_xlfn.CEILING.MATH('Rates from Ireland Fedex Priort'!G116,1)+IF($A117="EU",Variables!$B$6,Variables!$B$3),'Rates from Ireland Fedex Priort'!G116)</f>
        <v>No service</v>
      </c>
      <c r="H117" s="10" t="str">
        <f>IF(ISNUMBER('Rates from Ireland Fedex Priort'!H116),_xlfn.CEILING.MATH('Rates from Ireland Fedex Priort'!H116,1)+IF($A117="EU",Variables!$B$6,Variables!$B$3),'Rates from Ireland Fedex Priort'!H116)</f>
        <v>No service</v>
      </c>
      <c r="I117" s="10" t="str">
        <f>IF(ISNUMBER('Rates from Ireland Fedex Priort'!I116),_xlfn.CEILING.MATH('Rates from Ireland Fedex Priort'!I116,1)+IF($A117="EU",Variables!$B$6,Variables!$B$3),'Rates from Ireland Fedex Priort'!I116)</f>
        <v>No service</v>
      </c>
      <c r="J117" s="10" t="str">
        <f>IF(ISNUMBER('Rates from Ireland Fedex Priort'!J116),_xlfn.CEILING.MATH('Rates from Ireland Fedex Priort'!J116,1)+IF($A117="EU",Variables!$B$6,Variables!$B$3),'Rates from Ireland Fedex Priort'!J116)</f>
        <v>No service</v>
      </c>
      <c r="K117" s="10" t="str">
        <f>IF(ISNUMBER('Rates from Ireland Fedex Priort'!K116),_xlfn.CEILING.MATH('Rates from Ireland Fedex Priort'!K116,1)+IF($A117="EU",Variables!$B$6,Variables!$B$3),'Rates from Ireland Fedex Priort'!K116)</f>
        <v>No service</v>
      </c>
      <c r="L117" s="10" t="str">
        <f>IF(ISNUMBER('Rates from Ireland Fedex Priort'!L116),_xlfn.CEILING.MATH('Rates from Ireland Fedex Priort'!L116,1)+IF($A117="EU",Variables!$B$6,Variables!$B$3),'Rates from Ireland Fedex Priort'!L116)</f>
        <v>No service</v>
      </c>
      <c r="M117" s="10" t="str">
        <f>IF(ISNUMBER('Rates from Ireland Fedex Priort'!M116),_xlfn.CEILING.MATH('Rates from Ireland Fedex Priort'!M116,1)+IF($A117="EU",Variables!$B$6,Variables!$B$3),'Rates from Ireland Fedex Priort'!M116)</f>
        <v>No service</v>
      </c>
      <c r="N117" s="10" t="str">
        <f>IF(ISNUMBER('Rates from Ireland Fedex Priort'!N116),_xlfn.CEILING.MATH('Rates from Ireland Fedex Priort'!N116,1)+IF($A117="EU",Variables!$B$6,Variables!$B$3),'Rates from Ireland Fedex Priort'!N116)</f>
        <v>No service</v>
      </c>
      <c r="O117" s="11"/>
      <c r="P117" s="11"/>
      <c r="Q117" s="11"/>
      <c r="R117" s="11"/>
      <c r="S117" s="3" t="s">
        <v>26</v>
      </c>
      <c r="T117" s="38" t="s">
        <v>27</v>
      </c>
    </row>
    <row r="118" spans="1:20" ht="15.75" customHeight="1" x14ac:dyDescent="0.3">
      <c r="A118" s="39" t="str">
        <f>IF('Rates from Ireland Fedex Priort'!A117="","",'Rates from Ireland Fedex Priort'!A117)</f>
        <v>EU</v>
      </c>
      <c r="B118" s="8" t="str">
        <f>IF('Rates from Ireland Fedex Priort'!B117="","",'Rates from Ireland Fedex Priort'!B117)</f>
        <v>Ireland</v>
      </c>
      <c r="C118" s="9" t="str">
        <f>IF('Rates from Ireland Fedex Priort'!C117="","",'Rates from Ireland Fedex Priort'!C117)</f>
        <v>Kosovo</v>
      </c>
      <c r="D118" s="10" t="str">
        <f>IF(ISNUMBER('Rates from Ireland Fedex Priort'!D117),_xlfn.CEILING.MATH('Rates from Ireland Fedex Priort'!D117,1)+IF($A118="EU",Variables!$B$5,Variables!$B$2),'Rates from Ireland Fedex Priort'!D117)</f>
        <v>No service</v>
      </c>
      <c r="E118" s="10" t="str">
        <f>IF(ISNUMBER('Rates from Ireland Fedex Priort'!E117),_xlfn.CEILING.MATH('Rates from Ireland Fedex Priort'!E117,1)+IF($A118="EU",Variables!$B$6,Variables!$B$3),'Rates from Ireland Fedex Priort'!E117)</f>
        <v>No service</v>
      </c>
      <c r="F118" s="10" t="str">
        <f>IF(ISNUMBER('Rates from Ireland Fedex Priort'!F117),_xlfn.CEILING.MATH('Rates from Ireland Fedex Priort'!F117,1)+IF($A118="EU",Variables!$B$6,Variables!$B$3),'Rates from Ireland Fedex Priort'!F117)</f>
        <v>No service</v>
      </c>
      <c r="G118" s="10" t="str">
        <f>IF(ISNUMBER('Rates from Ireland Fedex Priort'!G117),_xlfn.CEILING.MATH('Rates from Ireland Fedex Priort'!G117,1)+IF($A118="EU",Variables!$B$6,Variables!$B$3),'Rates from Ireland Fedex Priort'!G117)</f>
        <v>No service</v>
      </c>
      <c r="H118" s="10" t="str">
        <f>IF(ISNUMBER('Rates from Ireland Fedex Priort'!H117),_xlfn.CEILING.MATH('Rates from Ireland Fedex Priort'!H117,1)+IF($A118="EU",Variables!$B$6,Variables!$B$3),'Rates from Ireland Fedex Priort'!H117)</f>
        <v>No service</v>
      </c>
      <c r="I118" s="10" t="str">
        <f>IF(ISNUMBER('Rates from Ireland Fedex Priort'!I117),_xlfn.CEILING.MATH('Rates from Ireland Fedex Priort'!I117,1)+IF($A118="EU",Variables!$B$6,Variables!$B$3),'Rates from Ireland Fedex Priort'!I117)</f>
        <v>No service</v>
      </c>
      <c r="J118" s="10" t="str">
        <f>IF(ISNUMBER('Rates from Ireland Fedex Priort'!J117),_xlfn.CEILING.MATH('Rates from Ireland Fedex Priort'!J117,1)+IF($A118="EU",Variables!$B$6,Variables!$B$3),'Rates from Ireland Fedex Priort'!J117)</f>
        <v>No service</v>
      </c>
      <c r="K118" s="10" t="str">
        <f>IF(ISNUMBER('Rates from Ireland Fedex Priort'!K117),_xlfn.CEILING.MATH('Rates from Ireland Fedex Priort'!K117,1)+IF($A118="EU",Variables!$B$6,Variables!$B$3),'Rates from Ireland Fedex Priort'!K117)</f>
        <v>No service</v>
      </c>
      <c r="L118" s="10" t="str">
        <f>IF(ISNUMBER('Rates from Ireland Fedex Priort'!L117),_xlfn.CEILING.MATH('Rates from Ireland Fedex Priort'!L117,1)+IF($A118="EU",Variables!$B$6,Variables!$B$3),'Rates from Ireland Fedex Priort'!L117)</f>
        <v>No service</v>
      </c>
      <c r="M118" s="10" t="str">
        <f>IF(ISNUMBER('Rates from Ireland Fedex Priort'!M117),_xlfn.CEILING.MATH('Rates from Ireland Fedex Priort'!M117,1)+IF($A118="EU",Variables!$B$6,Variables!$B$3),'Rates from Ireland Fedex Priort'!M117)</f>
        <v>No service</v>
      </c>
      <c r="N118" s="10" t="str">
        <f>IF(ISNUMBER('Rates from Ireland Fedex Priort'!N117),_xlfn.CEILING.MATH('Rates from Ireland Fedex Priort'!N117,1)+IF($A118="EU",Variables!$B$6,Variables!$B$3),'Rates from Ireland Fedex Priort'!N117)</f>
        <v>No service</v>
      </c>
      <c r="O118" s="11"/>
      <c r="P118" s="11"/>
      <c r="Q118" s="11"/>
      <c r="R118" s="11"/>
      <c r="S118" s="3" t="s">
        <v>26</v>
      </c>
      <c r="T118" s="38" t="s">
        <v>27</v>
      </c>
    </row>
    <row r="119" spans="1:20" ht="15.75" customHeight="1" x14ac:dyDescent="0.3">
      <c r="A119" s="39" t="str">
        <f>IF('Rates from Ireland Fedex Priort'!A118="","",'Rates from Ireland Fedex Priort'!A118)</f>
        <v>EU</v>
      </c>
      <c r="B119" s="8" t="str">
        <f>IF('Rates from Ireland Fedex Priort'!B118="","",'Rates from Ireland Fedex Priort'!B118)</f>
        <v>Ireland</v>
      </c>
      <c r="C119" s="9" t="str">
        <f>IF('Rates from Ireland Fedex Priort'!C118="","",'Rates from Ireland Fedex Priort'!C118)</f>
        <v>Kuwait</v>
      </c>
      <c r="D119" s="10">
        <f>IF(ISNUMBER('Rates from Ireland Fedex Priort'!D118),_xlfn.CEILING.MATH('Rates from Ireland Fedex Priort'!D118,1)+IF($A119="EU",Variables!$B$5,Variables!$B$2),'Rates from Ireland Fedex Priort'!D118)</f>
        <v>62</v>
      </c>
      <c r="E119" s="10">
        <f>IF(ISNUMBER('Rates from Ireland Fedex Priort'!E118),_xlfn.CEILING.MATH('Rates from Ireland Fedex Priort'!E118,1)+IF($A119="EU",Variables!$B$6,Variables!$B$3),'Rates from Ireland Fedex Priort'!E118)</f>
        <v>69</v>
      </c>
      <c r="F119" s="10">
        <f>IF(ISNUMBER('Rates from Ireland Fedex Priort'!F118),_xlfn.CEILING.MATH('Rates from Ireland Fedex Priort'!F118,1)+IF($A119="EU",Variables!$B$6,Variables!$B$3),'Rates from Ireland Fedex Priort'!F118)</f>
        <v>72</v>
      </c>
      <c r="G119" s="10">
        <f>IF(ISNUMBER('Rates from Ireland Fedex Priort'!G118),_xlfn.CEILING.MATH('Rates from Ireland Fedex Priort'!G118,1)+IF($A119="EU",Variables!$B$6,Variables!$B$3),'Rates from Ireland Fedex Priort'!G118)</f>
        <v>86</v>
      </c>
      <c r="H119" s="10">
        <f>IF(ISNUMBER('Rates from Ireland Fedex Priort'!H118),_xlfn.CEILING.MATH('Rates from Ireland Fedex Priort'!H118,1)+IF($A119="EU",Variables!$B$6,Variables!$B$3),'Rates from Ireland Fedex Priort'!H118)</f>
        <v>111</v>
      </c>
      <c r="I119" s="10">
        <f>IF(ISNUMBER('Rates from Ireland Fedex Priort'!I118),_xlfn.CEILING.MATH('Rates from Ireland Fedex Priort'!I118,1)+IF($A119="EU",Variables!$B$6,Variables!$B$3),'Rates from Ireland Fedex Priort'!I118)</f>
        <v>174</v>
      </c>
      <c r="J119" s="10" t="str">
        <f>IF(ISNUMBER('Rates from Ireland Fedex Priort'!J118),_xlfn.CEILING.MATH('Rates from Ireland Fedex Priort'!J118,1)+IF($A119="EU",Variables!$B$6,Variables!$B$3),'Rates from Ireland Fedex Priort'!J118)</f>
        <v>No service</v>
      </c>
      <c r="K119" s="10" t="str">
        <f>IF(ISNUMBER('Rates from Ireland Fedex Priort'!K118),_xlfn.CEILING.MATH('Rates from Ireland Fedex Priort'!K118,1)+IF($A119="EU",Variables!$B$6,Variables!$B$3),'Rates from Ireland Fedex Priort'!K118)</f>
        <v>No service</v>
      </c>
      <c r="L119" s="10" t="str">
        <f>IF(ISNUMBER('Rates from Ireland Fedex Priort'!L118),_xlfn.CEILING.MATH('Rates from Ireland Fedex Priort'!L118,1)+IF($A119="EU",Variables!$B$6,Variables!$B$3),'Rates from Ireland Fedex Priort'!L118)</f>
        <v>No service</v>
      </c>
      <c r="M119" s="10" t="str">
        <f>IF(ISNUMBER('Rates from Ireland Fedex Priort'!M118),_xlfn.CEILING.MATH('Rates from Ireland Fedex Priort'!M118,1)+IF($A119="EU",Variables!$B$6,Variables!$B$3),'Rates from Ireland Fedex Priort'!M118)</f>
        <v>No service</v>
      </c>
      <c r="N119" s="10" t="str">
        <f>IF(ISNUMBER('Rates from Ireland Fedex Priort'!N118),_xlfn.CEILING.MATH('Rates from Ireland Fedex Priort'!N118,1)+IF($A119="EU",Variables!$B$6,Variables!$B$3),'Rates from Ireland Fedex Priort'!N118)</f>
        <v>No service</v>
      </c>
      <c r="O119" s="11" t="s">
        <v>29</v>
      </c>
      <c r="P119" s="11" t="s">
        <v>30</v>
      </c>
      <c r="Q119" s="12">
        <v>80</v>
      </c>
      <c r="R119" s="11" t="s">
        <v>25</v>
      </c>
      <c r="S119" s="3" t="s">
        <v>26</v>
      </c>
      <c r="T119" s="38" t="s">
        <v>27</v>
      </c>
    </row>
    <row r="120" spans="1:20" ht="15.75" customHeight="1" x14ac:dyDescent="0.3">
      <c r="A120" s="39" t="str">
        <f>IF('Rates from Ireland Fedex Priort'!A119="","",'Rates from Ireland Fedex Priort'!A119)</f>
        <v>EU</v>
      </c>
      <c r="B120" s="8" t="str">
        <f>IF('Rates from Ireland Fedex Priort'!B119="","",'Rates from Ireland Fedex Priort'!B119)</f>
        <v>Ireland</v>
      </c>
      <c r="C120" s="9" t="str">
        <f>IF('Rates from Ireland Fedex Priort'!C119="","",'Rates from Ireland Fedex Priort'!C119)</f>
        <v>Kyrgyzstan</v>
      </c>
      <c r="D120" s="10">
        <f>IF(ISNUMBER('Rates from Ireland Fedex Priort'!D119),_xlfn.CEILING.MATH('Rates from Ireland Fedex Priort'!D119,1)+IF($A120="EU",Variables!$B$5,Variables!$B$2),'Rates from Ireland Fedex Priort'!D119)</f>
        <v>72</v>
      </c>
      <c r="E120" s="10">
        <f>IF(ISNUMBER('Rates from Ireland Fedex Priort'!E119),_xlfn.CEILING.MATH('Rates from Ireland Fedex Priort'!E119,1)+IF($A120="EU",Variables!$B$6,Variables!$B$3),'Rates from Ireland Fedex Priort'!E119)</f>
        <v>83</v>
      </c>
      <c r="F120" s="10">
        <f>IF(ISNUMBER('Rates from Ireland Fedex Priort'!F119),_xlfn.CEILING.MATH('Rates from Ireland Fedex Priort'!F119,1)+IF($A120="EU",Variables!$B$6,Variables!$B$3),'Rates from Ireland Fedex Priort'!F119)</f>
        <v>88</v>
      </c>
      <c r="G120" s="10">
        <f>IF(ISNUMBER('Rates from Ireland Fedex Priort'!G119),_xlfn.CEILING.MATH('Rates from Ireland Fedex Priort'!G119,1)+IF($A120="EU",Variables!$B$6,Variables!$B$3),'Rates from Ireland Fedex Priort'!G119)</f>
        <v>106</v>
      </c>
      <c r="H120" s="10">
        <f>IF(ISNUMBER('Rates from Ireland Fedex Priort'!H119),_xlfn.CEILING.MATH('Rates from Ireland Fedex Priort'!H119,1)+IF($A120="EU",Variables!$B$6,Variables!$B$3),'Rates from Ireland Fedex Priort'!H119)</f>
        <v>134</v>
      </c>
      <c r="I120" s="10">
        <f>IF(ISNUMBER('Rates from Ireland Fedex Priort'!I119),_xlfn.CEILING.MATH('Rates from Ireland Fedex Priort'!I119,1)+IF($A120="EU",Variables!$B$6,Variables!$B$3),'Rates from Ireland Fedex Priort'!I119)</f>
        <v>242</v>
      </c>
      <c r="J120" s="10" t="str">
        <f>IF(ISNUMBER('Rates from Ireland Fedex Priort'!J119),_xlfn.CEILING.MATH('Rates from Ireland Fedex Priort'!J119,1)+IF($A120="EU",Variables!$B$6,Variables!$B$3),'Rates from Ireland Fedex Priort'!J119)</f>
        <v>No service</v>
      </c>
      <c r="K120" s="10" t="str">
        <f>IF(ISNUMBER('Rates from Ireland Fedex Priort'!K119),_xlfn.CEILING.MATH('Rates from Ireland Fedex Priort'!K119,1)+IF($A120="EU",Variables!$B$6,Variables!$B$3),'Rates from Ireland Fedex Priort'!K119)</f>
        <v>No service</v>
      </c>
      <c r="L120" s="10" t="str">
        <f>IF(ISNUMBER('Rates from Ireland Fedex Priort'!L119),_xlfn.CEILING.MATH('Rates from Ireland Fedex Priort'!L119,1)+IF($A120="EU",Variables!$B$6,Variables!$B$3),'Rates from Ireland Fedex Priort'!L119)</f>
        <v>No service</v>
      </c>
      <c r="M120" s="10" t="str">
        <f>IF(ISNUMBER('Rates from Ireland Fedex Priort'!M119),_xlfn.CEILING.MATH('Rates from Ireland Fedex Priort'!M119,1)+IF($A120="EU",Variables!$B$6,Variables!$B$3),'Rates from Ireland Fedex Priort'!M119)</f>
        <v>No service</v>
      </c>
      <c r="N120" s="10" t="str">
        <f>IF(ISNUMBER('Rates from Ireland Fedex Priort'!N119),_xlfn.CEILING.MATH('Rates from Ireland Fedex Priort'!N119,1)+IF($A120="EU",Variables!$B$6,Variables!$B$3),'Rates from Ireland Fedex Priort'!N119)</f>
        <v>No service</v>
      </c>
      <c r="O120" s="11" t="s">
        <v>35</v>
      </c>
      <c r="P120" s="11" t="s">
        <v>36</v>
      </c>
      <c r="Q120" s="12">
        <v>80</v>
      </c>
      <c r="R120" s="11" t="s">
        <v>25</v>
      </c>
      <c r="S120" s="3" t="s">
        <v>26</v>
      </c>
      <c r="T120" s="38" t="s">
        <v>27</v>
      </c>
    </row>
    <row r="121" spans="1:20" ht="15.75" customHeight="1" x14ac:dyDescent="0.3">
      <c r="A121" s="39" t="str">
        <f>IF('Rates from Ireland Fedex Priort'!A120="","",'Rates from Ireland Fedex Priort'!A120)</f>
        <v>EU</v>
      </c>
      <c r="B121" s="8" t="str">
        <f>IF('Rates from Ireland Fedex Priort'!B120="","",'Rates from Ireland Fedex Priort'!B120)</f>
        <v>Ireland</v>
      </c>
      <c r="C121" s="9" t="str">
        <f>IF('Rates from Ireland Fedex Priort'!C120="","",'Rates from Ireland Fedex Priort'!C120)</f>
        <v>Laos</v>
      </c>
      <c r="D121" s="10">
        <f>IF(ISNUMBER('Rates from Ireland Fedex Priort'!D120),_xlfn.CEILING.MATH('Rates from Ireland Fedex Priort'!D120,1)+IF($A121="EU",Variables!$B$5,Variables!$B$2),'Rates from Ireland Fedex Priort'!D120)</f>
        <v>69</v>
      </c>
      <c r="E121" s="10">
        <f>IF(ISNUMBER('Rates from Ireland Fedex Priort'!E120),_xlfn.CEILING.MATH('Rates from Ireland Fedex Priort'!E120,1)+IF($A121="EU",Variables!$B$6,Variables!$B$3),'Rates from Ireland Fedex Priort'!E120)</f>
        <v>74</v>
      </c>
      <c r="F121" s="10">
        <f>IF(ISNUMBER('Rates from Ireland Fedex Priort'!F120),_xlfn.CEILING.MATH('Rates from Ireland Fedex Priort'!F120,1)+IF($A121="EU",Variables!$B$6,Variables!$B$3),'Rates from Ireland Fedex Priort'!F120)</f>
        <v>79</v>
      </c>
      <c r="G121" s="10">
        <f>IF(ISNUMBER('Rates from Ireland Fedex Priort'!G120),_xlfn.CEILING.MATH('Rates from Ireland Fedex Priort'!G120,1)+IF($A121="EU",Variables!$B$6,Variables!$B$3),'Rates from Ireland Fedex Priort'!G120)</f>
        <v>95</v>
      </c>
      <c r="H121" s="10">
        <f>IF(ISNUMBER('Rates from Ireland Fedex Priort'!H120),_xlfn.CEILING.MATH('Rates from Ireland Fedex Priort'!H120,1)+IF($A121="EU",Variables!$B$6,Variables!$B$3),'Rates from Ireland Fedex Priort'!H120)</f>
        <v>119</v>
      </c>
      <c r="I121" s="10">
        <f>IF(ISNUMBER('Rates from Ireland Fedex Priort'!I120),_xlfn.CEILING.MATH('Rates from Ireland Fedex Priort'!I120,1)+IF($A121="EU",Variables!$B$6,Variables!$B$3),'Rates from Ireland Fedex Priort'!I120)</f>
        <v>179</v>
      </c>
      <c r="J121" s="10" t="str">
        <f>IF(ISNUMBER('Rates from Ireland Fedex Priort'!J120),_xlfn.CEILING.MATH('Rates from Ireland Fedex Priort'!J120,1)+IF($A121="EU",Variables!$B$6,Variables!$B$3),'Rates from Ireland Fedex Priort'!J120)</f>
        <v>No service</v>
      </c>
      <c r="K121" s="10" t="str">
        <f>IF(ISNUMBER('Rates from Ireland Fedex Priort'!K120),_xlfn.CEILING.MATH('Rates from Ireland Fedex Priort'!K120,1)+IF($A121="EU",Variables!$B$6,Variables!$B$3),'Rates from Ireland Fedex Priort'!K120)</f>
        <v>No service</v>
      </c>
      <c r="L121" s="10" t="str">
        <f>IF(ISNUMBER('Rates from Ireland Fedex Priort'!L120),_xlfn.CEILING.MATH('Rates from Ireland Fedex Priort'!L120,1)+IF($A121="EU",Variables!$B$6,Variables!$B$3),'Rates from Ireland Fedex Priort'!L120)</f>
        <v>No service</v>
      </c>
      <c r="M121" s="10" t="str">
        <f>IF(ISNUMBER('Rates from Ireland Fedex Priort'!M120),_xlfn.CEILING.MATH('Rates from Ireland Fedex Priort'!M120,1)+IF($A121="EU",Variables!$B$6,Variables!$B$3),'Rates from Ireland Fedex Priort'!M120)</f>
        <v>No service</v>
      </c>
      <c r="N121" s="10" t="str">
        <f>IF(ISNUMBER('Rates from Ireland Fedex Priort'!N120),_xlfn.CEILING.MATH('Rates from Ireland Fedex Priort'!N120,1)+IF($A121="EU",Variables!$B$6,Variables!$B$3),'Rates from Ireland Fedex Priort'!N120)</f>
        <v>No service</v>
      </c>
      <c r="O121" s="11" t="s">
        <v>41</v>
      </c>
      <c r="P121" s="11" t="s">
        <v>143</v>
      </c>
      <c r="Q121" s="12">
        <v>80</v>
      </c>
      <c r="R121" s="11" t="s">
        <v>25</v>
      </c>
      <c r="S121" s="3" t="s">
        <v>26</v>
      </c>
      <c r="T121" s="38" t="s">
        <v>27</v>
      </c>
    </row>
    <row r="122" spans="1:20" ht="15.75" customHeight="1" x14ac:dyDescent="0.3">
      <c r="A122" s="39" t="str">
        <f>IF('Rates from Ireland Fedex Priort'!A121="","",'Rates from Ireland Fedex Priort'!A121)</f>
        <v>EU</v>
      </c>
      <c r="B122" s="8" t="str">
        <f>IF('Rates from Ireland Fedex Priort'!B121="","",'Rates from Ireland Fedex Priort'!B121)</f>
        <v>Ireland</v>
      </c>
      <c r="C122" s="9" t="str">
        <f>IF('Rates from Ireland Fedex Priort'!C121="","",'Rates from Ireland Fedex Priort'!C121)</f>
        <v>Latvia</v>
      </c>
      <c r="D122" s="10">
        <f>IF(ISNUMBER('Rates from Ireland Fedex Priort'!D121),_xlfn.CEILING.MATH('Rates from Ireland Fedex Priort'!D121,1)+IF($A122="EU",Variables!$B$5,Variables!$B$2),'Rates from Ireland Fedex Priort'!D121)</f>
        <v>68</v>
      </c>
      <c r="E122" s="10">
        <f>IF(ISNUMBER('Rates from Ireland Fedex Priort'!E121),_xlfn.CEILING.MATH('Rates from Ireland Fedex Priort'!E121,1)+IF($A122="EU",Variables!$B$6,Variables!$B$3),'Rates from Ireland Fedex Priort'!E121)</f>
        <v>74</v>
      </c>
      <c r="F122" s="10">
        <f>IF(ISNUMBER('Rates from Ireland Fedex Priort'!F121),_xlfn.CEILING.MATH('Rates from Ireland Fedex Priort'!F121,1)+IF($A122="EU",Variables!$B$6,Variables!$B$3),'Rates from Ireland Fedex Priort'!F121)</f>
        <v>77</v>
      </c>
      <c r="G122" s="10">
        <f>IF(ISNUMBER('Rates from Ireland Fedex Priort'!G121),_xlfn.CEILING.MATH('Rates from Ireland Fedex Priort'!G121,1)+IF($A122="EU",Variables!$B$6,Variables!$B$3),'Rates from Ireland Fedex Priort'!G121)</f>
        <v>79</v>
      </c>
      <c r="H122" s="10">
        <f>IF(ISNUMBER('Rates from Ireland Fedex Priort'!H121),_xlfn.CEILING.MATH('Rates from Ireland Fedex Priort'!H121,1)+IF($A122="EU",Variables!$B$6,Variables!$B$3),'Rates from Ireland Fedex Priort'!H121)</f>
        <v>82</v>
      </c>
      <c r="I122" s="10">
        <f>IF(ISNUMBER('Rates from Ireland Fedex Priort'!I121),_xlfn.CEILING.MATH('Rates from Ireland Fedex Priort'!I121,1)+IF($A122="EU",Variables!$B$6,Variables!$B$3),'Rates from Ireland Fedex Priort'!I121)</f>
        <v>95</v>
      </c>
      <c r="J122" s="10">
        <f>IF(ISNUMBER('Rates from Ireland Fedex Priort'!J121),_xlfn.CEILING.MATH('Rates from Ireland Fedex Priort'!J121,1)+IF($A122="EU",Variables!$B$6,Variables!$B$3),'Rates from Ireland Fedex Priort'!J121)</f>
        <v>103</v>
      </c>
      <c r="K122" s="10">
        <f>IF(ISNUMBER('Rates from Ireland Fedex Priort'!K121),_xlfn.CEILING.MATH('Rates from Ireland Fedex Priort'!K121,1)+IF($A122="EU",Variables!$B$6,Variables!$B$3),'Rates from Ireland Fedex Priort'!K121)</f>
        <v>112</v>
      </c>
      <c r="L122" s="10">
        <f>IF(ISNUMBER('Rates from Ireland Fedex Priort'!L121),_xlfn.CEILING.MATH('Rates from Ireland Fedex Priort'!L121,1)+IF($A122="EU",Variables!$B$6,Variables!$B$3),'Rates from Ireland Fedex Priort'!L121)</f>
        <v>139</v>
      </c>
      <c r="M122" s="10">
        <f>IF(ISNUMBER('Rates from Ireland Fedex Priort'!M121),_xlfn.CEILING.MATH('Rates from Ireland Fedex Priort'!M121,1)+IF($A122="EU",Variables!$B$6,Variables!$B$3),'Rates from Ireland Fedex Priort'!M121)</f>
        <v>148</v>
      </c>
      <c r="N122" s="10">
        <f>IF(ISNUMBER('Rates from Ireland Fedex Priort'!N121),_xlfn.CEILING.MATH('Rates from Ireland Fedex Priort'!N121,1)+IF($A122="EU",Variables!$B$6,Variables!$B$3),'Rates from Ireland Fedex Priort'!N121)</f>
        <v>152</v>
      </c>
      <c r="O122" s="15" t="s">
        <v>61</v>
      </c>
      <c r="P122" s="15" t="s">
        <v>23</v>
      </c>
      <c r="Q122" s="16">
        <v>80</v>
      </c>
      <c r="R122" s="15" t="s">
        <v>25</v>
      </c>
      <c r="S122" s="17" t="s">
        <v>26</v>
      </c>
      <c r="T122" s="40" t="s">
        <v>27</v>
      </c>
    </row>
    <row r="123" spans="1:20" ht="15.75" customHeight="1" x14ac:dyDescent="0.3">
      <c r="A123" s="39" t="str">
        <f>IF('Rates from Ireland Fedex Priort'!A122="","",'Rates from Ireland Fedex Priort'!A122)</f>
        <v>EU</v>
      </c>
      <c r="B123" s="8" t="str">
        <f>IF('Rates from Ireland Fedex Priort'!B122="","",'Rates from Ireland Fedex Priort'!B122)</f>
        <v>Ireland</v>
      </c>
      <c r="C123" s="9" t="str">
        <f>IF('Rates from Ireland Fedex Priort'!C122="","",'Rates from Ireland Fedex Priort'!C122)</f>
        <v>Lebanon</v>
      </c>
      <c r="D123" s="10">
        <f>IF(ISNUMBER('Rates from Ireland Fedex Priort'!D122),_xlfn.CEILING.MATH('Rates from Ireland Fedex Priort'!D122,1)+IF($A123="EU",Variables!$B$5,Variables!$B$2),'Rates from Ireland Fedex Priort'!D122)</f>
        <v>62</v>
      </c>
      <c r="E123" s="10">
        <f>IF(ISNUMBER('Rates from Ireland Fedex Priort'!E122),_xlfn.CEILING.MATH('Rates from Ireland Fedex Priort'!E122,1)+IF($A123="EU",Variables!$B$6,Variables!$B$3),'Rates from Ireland Fedex Priort'!E122)</f>
        <v>69</v>
      </c>
      <c r="F123" s="10">
        <f>IF(ISNUMBER('Rates from Ireland Fedex Priort'!F122),_xlfn.CEILING.MATH('Rates from Ireland Fedex Priort'!F122,1)+IF($A123="EU",Variables!$B$6,Variables!$B$3),'Rates from Ireland Fedex Priort'!F122)</f>
        <v>72</v>
      </c>
      <c r="G123" s="10">
        <f>IF(ISNUMBER('Rates from Ireland Fedex Priort'!G122),_xlfn.CEILING.MATH('Rates from Ireland Fedex Priort'!G122,1)+IF($A123="EU",Variables!$B$6,Variables!$B$3),'Rates from Ireland Fedex Priort'!G122)</f>
        <v>86</v>
      </c>
      <c r="H123" s="10">
        <f>IF(ISNUMBER('Rates from Ireland Fedex Priort'!H122),_xlfn.CEILING.MATH('Rates from Ireland Fedex Priort'!H122,1)+IF($A123="EU",Variables!$B$6,Variables!$B$3),'Rates from Ireland Fedex Priort'!H122)</f>
        <v>111</v>
      </c>
      <c r="I123" s="10">
        <f>IF(ISNUMBER('Rates from Ireland Fedex Priort'!I122),_xlfn.CEILING.MATH('Rates from Ireland Fedex Priort'!I122,1)+IF($A123="EU",Variables!$B$6,Variables!$B$3),'Rates from Ireland Fedex Priort'!I122)</f>
        <v>174</v>
      </c>
      <c r="J123" s="10" t="str">
        <f>IF(ISNUMBER('Rates from Ireland Fedex Priort'!J122),_xlfn.CEILING.MATH('Rates from Ireland Fedex Priort'!J122,1)+IF($A123="EU",Variables!$B$6,Variables!$B$3),'Rates from Ireland Fedex Priort'!J122)</f>
        <v>No service</v>
      </c>
      <c r="K123" s="10" t="str">
        <f>IF(ISNUMBER('Rates from Ireland Fedex Priort'!K122),_xlfn.CEILING.MATH('Rates from Ireland Fedex Priort'!K122,1)+IF($A123="EU",Variables!$B$6,Variables!$B$3),'Rates from Ireland Fedex Priort'!K122)</f>
        <v>No service</v>
      </c>
      <c r="L123" s="10" t="str">
        <f>IF(ISNUMBER('Rates from Ireland Fedex Priort'!L122),_xlfn.CEILING.MATH('Rates from Ireland Fedex Priort'!L122,1)+IF($A123="EU",Variables!$B$6,Variables!$B$3),'Rates from Ireland Fedex Priort'!L122)</f>
        <v>No service</v>
      </c>
      <c r="M123" s="10" t="str">
        <f>IF(ISNUMBER('Rates from Ireland Fedex Priort'!M122),_xlfn.CEILING.MATH('Rates from Ireland Fedex Priort'!M122,1)+IF($A123="EU",Variables!$B$6,Variables!$B$3),'Rates from Ireland Fedex Priort'!M122)</f>
        <v>No service</v>
      </c>
      <c r="N123" s="10" t="str">
        <f>IF(ISNUMBER('Rates from Ireland Fedex Priort'!N122),_xlfn.CEILING.MATH('Rates from Ireland Fedex Priort'!N122,1)+IF($A123="EU",Variables!$B$6,Variables!$B$3),'Rates from Ireland Fedex Priort'!N122)</f>
        <v>No service</v>
      </c>
      <c r="O123" s="11" t="s">
        <v>29</v>
      </c>
      <c r="P123" s="11" t="s">
        <v>30</v>
      </c>
      <c r="Q123" s="12">
        <v>80</v>
      </c>
      <c r="R123" s="11" t="s">
        <v>25</v>
      </c>
      <c r="S123" s="3" t="s">
        <v>26</v>
      </c>
      <c r="T123" s="38" t="s">
        <v>27</v>
      </c>
    </row>
    <row r="124" spans="1:20" ht="15.75" customHeight="1" x14ac:dyDescent="0.3">
      <c r="A124" s="39" t="str">
        <f>IF('Rates from Ireland Fedex Priort'!A123="","",'Rates from Ireland Fedex Priort'!A123)</f>
        <v>EU</v>
      </c>
      <c r="B124" s="8" t="str">
        <f>IF('Rates from Ireland Fedex Priort'!B123="","",'Rates from Ireland Fedex Priort'!B123)</f>
        <v>Ireland</v>
      </c>
      <c r="C124" s="9" t="str">
        <f>IF('Rates from Ireland Fedex Priort'!C123="","",'Rates from Ireland Fedex Priort'!C123)</f>
        <v>Lesotho</v>
      </c>
      <c r="D124" s="10">
        <f>IF(ISNUMBER('Rates from Ireland Fedex Priort'!D123),_xlfn.CEILING.MATH('Rates from Ireland Fedex Priort'!D123,1)+IF($A124="EU",Variables!$B$5,Variables!$B$2),'Rates from Ireland Fedex Priort'!D123)</f>
        <v>72</v>
      </c>
      <c r="E124" s="10">
        <f>IF(ISNUMBER('Rates from Ireland Fedex Priort'!E123),_xlfn.CEILING.MATH('Rates from Ireland Fedex Priort'!E123,1)+IF($A124="EU",Variables!$B$6,Variables!$B$3),'Rates from Ireland Fedex Priort'!E123)</f>
        <v>83</v>
      </c>
      <c r="F124" s="10">
        <f>IF(ISNUMBER('Rates from Ireland Fedex Priort'!F123),_xlfn.CEILING.MATH('Rates from Ireland Fedex Priort'!F123,1)+IF($A124="EU",Variables!$B$6,Variables!$B$3),'Rates from Ireland Fedex Priort'!F123)</f>
        <v>88</v>
      </c>
      <c r="G124" s="10">
        <f>IF(ISNUMBER('Rates from Ireland Fedex Priort'!G123),_xlfn.CEILING.MATH('Rates from Ireland Fedex Priort'!G123,1)+IF($A124="EU",Variables!$B$6,Variables!$B$3),'Rates from Ireland Fedex Priort'!G123)</f>
        <v>106</v>
      </c>
      <c r="H124" s="10">
        <f>IF(ISNUMBER('Rates from Ireland Fedex Priort'!H123),_xlfn.CEILING.MATH('Rates from Ireland Fedex Priort'!H123,1)+IF($A124="EU",Variables!$B$6,Variables!$B$3),'Rates from Ireland Fedex Priort'!H123)</f>
        <v>134</v>
      </c>
      <c r="I124" s="10">
        <f>IF(ISNUMBER('Rates from Ireland Fedex Priort'!I123),_xlfn.CEILING.MATH('Rates from Ireland Fedex Priort'!I123,1)+IF($A124="EU",Variables!$B$6,Variables!$B$3),'Rates from Ireland Fedex Priort'!I123)</f>
        <v>242</v>
      </c>
      <c r="J124" s="10" t="str">
        <f>IF(ISNUMBER('Rates from Ireland Fedex Priort'!J123),_xlfn.CEILING.MATH('Rates from Ireland Fedex Priort'!J123,1)+IF($A124="EU",Variables!$B$6,Variables!$B$3),'Rates from Ireland Fedex Priort'!J123)</f>
        <v>No service</v>
      </c>
      <c r="K124" s="10" t="str">
        <f>IF(ISNUMBER('Rates from Ireland Fedex Priort'!K123),_xlfn.CEILING.MATH('Rates from Ireland Fedex Priort'!K123,1)+IF($A124="EU",Variables!$B$6,Variables!$B$3),'Rates from Ireland Fedex Priort'!K123)</f>
        <v>No service</v>
      </c>
      <c r="L124" s="10" t="str">
        <f>IF(ISNUMBER('Rates from Ireland Fedex Priort'!L123),_xlfn.CEILING.MATH('Rates from Ireland Fedex Priort'!L123,1)+IF($A124="EU",Variables!$B$6,Variables!$B$3),'Rates from Ireland Fedex Priort'!L123)</f>
        <v>No service</v>
      </c>
      <c r="M124" s="10" t="str">
        <f>IF(ISNUMBER('Rates from Ireland Fedex Priort'!M123),_xlfn.CEILING.MATH('Rates from Ireland Fedex Priort'!M123,1)+IF($A124="EU",Variables!$B$6,Variables!$B$3),'Rates from Ireland Fedex Priort'!M123)</f>
        <v>No service</v>
      </c>
      <c r="N124" s="10" t="str">
        <f>IF(ISNUMBER('Rates from Ireland Fedex Priort'!N123),_xlfn.CEILING.MATH('Rates from Ireland Fedex Priort'!N123,1)+IF($A124="EU",Variables!$B$6,Variables!$B$3),'Rates from Ireland Fedex Priort'!N123)</f>
        <v>No service</v>
      </c>
      <c r="O124" s="11" t="s">
        <v>35</v>
      </c>
      <c r="P124" s="11" t="s">
        <v>36</v>
      </c>
      <c r="Q124" s="12">
        <v>80</v>
      </c>
      <c r="R124" s="11" t="s">
        <v>25</v>
      </c>
      <c r="S124" s="3" t="s">
        <v>26</v>
      </c>
      <c r="T124" s="38" t="s">
        <v>27</v>
      </c>
    </row>
    <row r="125" spans="1:20" ht="15.75" customHeight="1" x14ac:dyDescent="0.3">
      <c r="A125" s="39" t="str">
        <f>IF('Rates from Ireland Fedex Priort'!A124="","",'Rates from Ireland Fedex Priort'!A124)</f>
        <v>EU</v>
      </c>
      <c r="B125" s="8" t="str">
        <f>IF('Rates from Ireland Fedex Priort'!B124="","",'Rates from Ireland Fedex Priort'!B124)</f>
        <v>Ireland</v>
      </c>
      <c r="C125" s="9" t="str">
        <f>IF('Rates from Ireland Fedex Priort'!C124="","",'Rates from Ireland Fedex Priort'!C124)</f>
        <v>Liberia</v>
      </c>
      <c r="D125" s="10">
        <f>IF(ISNUMBER('Rates from Ireland Fedex Priort'!D124),_xlfn.CEILING.MATH('Rates from Ireland Fedex Priort'!D124,1)+IF($A125="EU",Variables!$B$5,Variables!$B$2),'Rates from Ireland Fedex Priort'!D124)</f>
        <v>72</v>
      </c>
      <c r="E125" s="10">
        <f>IF(ISNUMBER('Rates from Ireland Fedex Priort'!E124),_xlfn.CEILING.MATH('Rates from Ireland Fedex Priort'!E124,1)+IF($A125="EU",Variables!$B$6,Variables!$B$3),'Rates from Ireland Fedex Priort'!E124)</f>
        <v>83</v>
      </c>
      <c r="F125" s="10">
        <f>IF(ISNUMBER('Rates from Ireland Fedex Priort'!F124),_xlfn.CEILING.MATH('Rates from Ireland Fedex Priort'!F124,1)+IF($A125="EU",Variables!$B$6,Variables!$B$3),'Rates from Ireland Fedex Priort'!F124)</f>
        <v>88</v>
      </c>
      <c r="G125" s="10">
        <f>IF(ISNUMBER('Rates from Ireland Fedex Priort'!G124),_xlfn.CEILING.MATH('Rates from Ireland Fedex Priort'!G124,1)+IF($A125="EU",Variables!$B$6,Variables!$B$3),'Rates from Ireland Fedex Priort'!G124)</f>
        <v>106</v>
      </c>
      <c r="H125" s="10">
        <f>IF(ISNUMBER('Rates from Ireland Fedex Priort'!H124),_xlfn.CEILING.MATH('Rates from Ireland Fedex Priort'!H124,1)+IF($A125="EU",Variables!$B$6,Variables!$B$3),'Rates from Ireland Fedex Priort'!H124)</f>
        <v>134</v>
      </c>
      <c r="I125" s="10">
        <f>IF(ISNUMBER('Rates from Ireland Fedex Priort'!I124),_xlfn.CEILING.MATH('Rates from Ireland Fedex Priort'!I124,1)+IF($A125="EU",Variables!$B$6,Variables!$B$3),'Rates from Ireland Fedex Priort'!I124)</f>
        <v>242</v>
      </c>
      <c r="J125" s="10" t="str">
        <f>IF(ISNUMBER('Rates from Ireland Fedex Priort'!J124),_xlfn.CEILING.MATH('Rates from Ireland Fedex Priort'!J124,1)+IF($A125="EU",Variables!$B$6,Variables!$B$3),'Rates from Ireland Fedex Priort'!J124)</f>
        <v>No service</v>
      </c>
      <c r="K125" s="10" t="str">
        <f>IF(ISNUMBER('Rates from Ireland Fedex Priort'!K124),_xlfn.CEILING.MATH('Rates from Ireland Fedex Priort'!K124,1)+IF($A125="EU",Variables!$B$6,Variables!$B$3),'Rates from Ireland Fedex Priort'!K124)</f>
        <v>No service</v>
      </c>
      <c r="L125" s="10" t="str">
        <f>IF(ISNUMBER('Rates from Ireland Fedex Priort'!L124),_xlfn.CEILING.MATH('Rates from Ireland Fedex Priort'!L124,1)+IF($A125="EU",Variables!$B$6,Variables!$B$3),'Rates from Ireland Fedex Priort'!L124)</f>
        <v>No service</v>
      </c>
      <c r="M125" s="10" t="str">
        <f>IF(ISNUMBER('Rates from Ireland Fedex Priort'!M124),_xlfn.CEILING.MATH('Rates from Ireland Fedex Priort'!M124,1)+IF($A125="EU",Variables!$B$6,Variables!$B$3),'Rates from Ireland Fedex Priort'!M124)</f>
        <v>No service</v>
      </c>
      <c r="N125" s="10" t="str">
        <f>IF(ISNUMBER('Rates from Ireland Fedex Priort'!N124),_xlfn.CEILING.MATH('Rates from Ireland Fedex Priort'!N124,1)+IF($A125="EU",Variables!$B$6,Variables!$B$3),'Rates from Ireland Fedex Priort'!N124)</f>
        <v>No service</v>
      </c>
      <c r="O125" s="11" t="s">
        <v>35</v>
      </c>
      <c r="P125" s="11" t="s">
        <v>36</v>
      </c>
      <c r="Q125" s="12">
        <v>80</v>
      </c>
      <c r="R125" s="11" t="s">
        <v>25</v>
      </c>
      <c r="S125" s="3" t="s">
        <v>26</v>
      </c>
      <c r="T125" s="38" t="s">
        <v>27</v>
      </c>
    </row>
    <row r="126" spans="1:20" ht="15.75" customHeight="1" x14ac:dyDescent="0.3">
      <c r="A126" s="39" t="str">
        <f>IF('Rates from Ireland Fedex Priort'!A125="","",'Rates from Ireland Fedex Priort'!A125)</f>
        <v>EU</v>
      </c>
      <c r="B126" s="8" t="str">
        <f>IF('Rates from Ireland Fedex Priort'!B125="","",'Rates from Ireland Fedex Priort'!B125)</f>
        <v>Ireland</v>
      </c>
      <c r="C126" s="9" t="str">
        <f>IF('Rates from Ireland Fedex Priort'!C125="","",'Rates from Ireland Fedex Priort'!C125)</f>
        <v>Libya</v>
      </c>
      <c r="D126" s="10">
        <f>IF(ISNUMBER('Rates from Ireland Fedex Priort'!D125),_xlfn.CEILING.MATH('Rates from Ireland Fedex Priort'!D125,1)+IF($A126="EU",Variables!$B$5,Variables!$B$2),'Rates from Ireland Fedex Priort'!D125)</f>
        <v>62</v>
      </c>
      <c r="E126" s="10">
        <f>IF(ISNUMBER('Rates from Ireland Fedex Priort'!E125),_xlfn.CEILING.MATH('Rates from Ireland Fedex Priort'!E125,1)+IF($A126="EU",Variables!$B$6,Variables!$B$3),'Rates from Ireland Fedex Priort'!E125)</f>
        <v>69</v>
      </c>
      <c r="F126" s="10">
        <f>IF(ISNUMBER('Rates from Ireland Fedex Priort'!F125),_xlfn.CEILING.MATH('Rates from Ireland Fedex Priort'!F125,1)+IF($A126="EU",Variables!$B$6,Variables!$B$3),'Rates from Ireland Fedex Priort'!F125)</f>
        <v>72</v>
      </c>
      <c r="G126" s="10">
        <f>IF(ISNUMBER('Rates from Ireland Fedex Priort'!G125),_xlfn.CEILING.MATH('Rates from Ireland Fedex Priort'!G125,1)+IF($A126="EU",Variables!$B$6,Variables!$B$3),'Rates from Ireland Fedex Priort'!G125)</f>
        <v>86</v>
      </c>
      <c r="H126" s="10">
        <f>IF(ISNUMBER('Rates from Ireland Fedex Priort'!H125),_xlfn.CEILING.MATH('Rates from Ireland Fedex Priort'!H125,1)+IF($A126="EU",Variables!$B$6,Variables!$B$3),'Rates from Ireland Fedex Priort'!H125)</f>
        <v>111</v>
      </c>
      <c r="I126" s="10">
        <f>IF(ISNUMBER('Rates from Ireland Fedex Priort'!I125),_xlfn.CEILING.MATH('Rates from Ireland Fedex Priort'!I125,1)+IF($A126="EU",Variables!$B$6,Variables!$B$3),'Rates from Ireland Fedex Priort'!I125)</f>
        <v>174</v>
      </c>
      <c r="J126" s="10" t="str">
        <f>IF(ISNUMBER('Rates from Ireland Fedex Priort'!J125),_xlfn.CEILING.MATH('Rates from Ireland Fedex Priort'!J125,1)+IF($A126="EU",Variables!$B$6,Variables!$B$3),'Rates from Ireland Fedex Priort'!J125)</f>
        <v>No service</v>
      </c>
      <c r="K126" s="10" t="str">
        <f>IF(ISNUMBER('Rates from Ireland Fedex Priort'!K125),_xlfn.CEILING.MATH('Rates from Ireland Fedex Priort'!K125,1)+IF($A126="EU",Variables!$B$6,Variables!$B$3),'Rates from Ireland Fedex Priort'!K125)</f>
        <v>No service</v>
      </c>
      <c r="L126" s="10" t="str">
        <f>IF(ISNUMBER('Rates from Ireland Fedex Priort'!L125),_xlfn.CEILING.MATH('Rates from Ireland Fedex Priort'!L125,1)+IF($A126="EU",Variables!$B$6,Variables!$B$3),'Rates from Ireland Fedex Priort'!L125)</f>
        <v>No service</v>
      </c>
      <c r="M126" s="10" t="str">
        <f>IF(ISNUMBER('Rates from Ireland Fedex Priort'!M125),_xlfn.CEILING.MATH('Rates from Ireland Fedex Priort'!M125,1)+IF($A126="EU",Variables!$B$6,Variables!$B$3),'Rates from Ireland Fedex Priort'!M125)</f>
        <v>No service</v>
      </c>
      <c r="N126" s="10" t="str">
        <f>IF(ISNUMBER('Rates from Ireland Fedex Priort'!N125),_xlfn.CEILING.MATH('Rates from Ireland Fedex Priort'!N125,1)+IF($A126="EU",Variables!$B$6,Variables!$B$3),'Rates from Ireland Fedex Priort'!N125)</f>
        <v>No service</v>
      </c>
      <c r="O126" s="11" t="s">
        <v>29</v>
      </c>
      <c r="P126" s="11" t="s">
        <v>30</v>
      </c>
      <c r="Q126" s="12">
        <v>80</v>
      </c>
      <c r="R126" s="11" t="s">
        <v>25</v>
      </c>
      <c r="S126" s="3" t="s">
        <v>26</v>
      </c>
      <c r="T126" s="38" t="s">
        <v>27</v>
      </c>
    </row>
    <row r="127" spans="1:20" ht="15.75" customHeight="1" x14ac:dyDescent="0.3">
      <c r="A127" s="39" t="str">
        <f>IF('Rates from Ireland Fedex Priort'!A126="","",'Rates from Ireland Fedex Priort'!A126)</f>
        <v>EU</v>
      </c>
      <c r="B127" s="8" t="str">
        <f>IF('Rates from Ireland Fedex Priort'!B126="","",'Rates from Ireland Fedex Priort'!B126)</f>
        <v>Ireland</v>
      </c>
      <c r="C127" s="9" t="str">
        <f>IF('Rates from Ireland Fedex Priort'!C126="","",'Rates from Ireland Fedex Priort'!C126)</f>
        <v>Liechtenstein</v>
      </c>
      <c r="D127" s="10">
        <f>IF(ISNUMBER('Rates from Ireland Fedex Priort'!D126),_xlfn.CEILING.MATH('Rates from Ireland Fedex Priort'!D126,1)+IF($A127="EU",Variables!$B$5,Variables!$B$2),'Rates from Ireland Fedex Priort'!D126)</f>
        <v>64</v>
      </c>
      <c r="E127" s="10">
        <f>IF(ISNUMBER('Rates from Ireland Fedex Priort'!E126),_xlfn.CEILING.MATH('Rates from Ireland Fedex Priort'!E126,1)+IF($A127="EU",Variables!$B$6,Variables!$B$3),'Rates from Ireland Fedex Priort'!E126)</f>
        <v>100</v>
      </c>
      <c r="F127" s="10">
        <f>IF(ISNUMBER('Rates from Ireland Fedex Priort'!F126),_xlfn.CEILING.MATH('Rates from Ireland Fedex Priort'!F126,1)+IF($A127="EU",Variables!$B$6,Variables!$B$3),'Rates from Ireland Fedex Priort'!F126)</f>
        <v>100</v>
      </c>
      <c r="G127" s="10">
        <f>IF(ISNUMBER('Rates from Ireland Fedex Priort'!G126),_xlfn.CEILING.MATH('Rates from Ireland Fedex Priort'!G126,1)+IF($A127="EU",Variables!$B$6,Variables!$B$3),'Rates from Ireland Fedex Priort'!G126)</f>
        <v>105</v>
      </c>
      <c r="H127" s="10">
        <f>IF(ISNUMBER('Rates from Ireland Fedex Priort'!H126),_xlfn.CEILING.MATH('Rates from Ireland Fedex Priort'!H126,1)+IF($A127="EU",Variables!$B$6,Variables!$B$3),'Rates from Ireland Fedex Priort'!H126)</f>
        <v>117</v>
      </c>
      <c r="I127" s="10">
        <f>IF(ISNUMBER('Rates from Ireland Fedex Priort'!I126),_xlfn.CEILING.MATH('Rates from Ireland Fedex Priort'!I126,1)+IF($A127="EU",Variables!$B$6,Variables!$B$3),'Rates from Ireland Fedex Priort'!I126)</f>
        <v>124</v>
      </c>
      <c r="J127" s="10">
        <f>IF(ISNUMBER('Rates from Ireland Fedex Priort'!J126),_xlfn.CEILING.MATH('Rates from Ireland Fedex Priort'!J126,1)+IF($A127="EU",Variables!$B$6,Variables!$B$3),'Rates from Ireland Fedex Priort'!J126)</f>
        <v>133</v>
      </c>
      <c r="K127" s="10">
        <f>IF(ISNUMBER('Rates from Ireland Fedex Priort'!K126),_xlfn.CEILING.MATH('Rates from Ireland Fedex Priort'!K126,1)+IF($A127="EU",Variables!$B$6,Variables!$B$3),'Rates from Ireland Fedex Priort'!K126)</f>
        <v>142</v>
      </c>
      <c r="L127" s="10">
        <f>IF(ISNUMBER('Rates from Ireland Fedex Priort'!L126),_xlfn.CEILING.MATH('Rates from Ireland Fedex Priort'!L126,1)+IF($A127="EU",Variables!$B$6,Variables!$B$3),'Rates from Ireland Fedex Priort'!L126)</f>
        <v>142</v>
      </c>
      <c r="M127" s="10">
        <f>IF(ISNUMBER('Rates from Ireland Fedex Priort'!M126),_xlfn.CEILING.MATH('Rates from Ireland Fedex Priort'!M126,1)+IF($A127="EU",Variables!$B$6,Variables!$B$3),'Rates from Ireland Fedex Priort'!M126)</f>
        <v>158</v>
      </c>
      <c r="N127" s="10">
        <f>IF(ISNUMBER('Rates from Ireland Fedex Priort'!N126),_xlfn.CEILING.MATH('Rates from Ireland Fedex Priort'!N126,1)+IF($A127="EU",Variables!$B$6,Variables!$B$3),'Rates from Ireland Fedex Priort'!N126)</f>
        <v>175</v>
      </c>
      <c r="O127" s="15" t="s">
        <v>29</v>
      </c>
      <c r="P127" s="15" t="s">
        <v>69</v>
      </c>
      <c r="Q127" s="16">
        <v>80</v>
      </c>
      <c r="R127" s="15" t="s">
        <v>25</v>
      </c>
      <c r="S127" s="17" t="s">
        <v>26</v>
      </c>
      <c r="T127" s="40" t="s">
        <v>27</v>
      </c>
    </row>
    <row r="128" spans="1:20" ht="15.75" customHeight="1" x14ac:dyDescent="0.3">
      <c r="A128" s="39" t="str">
        <f>IF('Rates from Ireland Fedex Priort'!A127="","",'Rates from Ireland Fedex Priort'!A127)</f>
        <v>EU</v>
      </c>
      <c r="B128" s="8" t="str">
        <f>IF('Rates from Ireland Fedex Priort'!B127="","",'Rates from Ireland Fedex Priort'!B127)</f>
        <v>Ireland</v>
      </c>
      <c r="C128" s="9" t="str">
        <f>IF('Rates from Ireland Fedex Priort'!C127="","",'Rates from Ireland Fedex Priort'!C127)</f>
        <v>Lithuania</v>
      </c>
      <c r="D128" s="10">
        <f>IF(ISNUMBER('Rates from Ireland Fedex Priort'!D127),_xlfn.CEILING.MATH('Rates from Ireland Fedex Priort'!D127,1)+IF($A128="EU",Variables!$B$5,Variables!$B$2),'Rates from Ireland Fedex Priort'!D127)</f>
        <v>68</v>
      </c>
      <c r="E128" s="10">
        <f>IF(ISNUMBER('Rates from Ireland Fedex Priort'!E127),_xlfn.CEILING.MATH('Rates from Ireland Fedex Priort'!E127,1)+IF($A128="EU",Variables!$B$6,Variables!$B$3),'Rates from Ireland Fedex Priort'!E127)</f>
        <v>74</v>
      </c>
      <c r="F128" s="10">
        <f>IF(ISNUMBER('Rates from Ireland Fedex Priort'!F127),_xlfn.CEILING.MATH('Rates from Ireland Fedex Priort'!F127,1)+IF($A128="EU",Variables!$B$6,Variables!$B$3),'Rates from Ireland Fedex Priort'!F127)</f>
        <v>77</v>
      </c>
      <c r="G128" s="10">
        <f>IF(ISNUMBER('Rates from Ireland Fedex Priort'!G127),_xlfn.CEILING.MATH('Rates from Ireland Fedex Priort'!G127,1)+IF($A128="EU",Variables!$B$6,Variables!$B$3),'Rates from Ireland Fedex Priort'!G127)</f>
        <v>79</v>
      </c>
      <c r="H128" s="10">
        <f>IF(ISNUMBER('Rates from Ireland Fedex Priort'!H127),_xlfn.CEILING.MATH('Rates from Ireland Fedex Priort'!H127,1)+IF($A128="EU",Variables!$B$6,Variables!$B$3),'Rates from Ireland Fedex Priort'!H127)</f>
        <v>82</v>
      </c>
      <c r="I128" s="10">
        <f>IF(ISNUMBER('Rates from Ireland Fedex Priort'!I127),_xlfn.CEILING.MATH('Rates from Ireland Fedex Priort'!I127,1)+IF($A128="EU",Variables!$B$6,Variables!$B$3),'Rates from Ireland Fedex Priort'!I127)</f>
        <v>95</v>
      </c>
      <c r="J128" s="10">
        <f>IF(ISNUMBER('Rates from Ireland Fedex Priort'!J127),_xlfn.CEILING.MATH('Rates from Ireland Fedex Priort'!J127,1)+IF($A128="EU",Variables!$B$6,Variables!$B$3),'Rates from Ireland Fedex Priort'!J127)</f>
        <v>103</v>
      </c>
      <c r="K128" s="10">
        <f>IF(ISNUMBER('Rates from Ireland Fedex Priort'!K127),_xlfn.CEILING.MATH('Rates from Ireland Fedex Priort'!K127,1)+IF($A128="EU",Variables!$B$6,Variables!$B$3),'Rates from Ireland Fedex Priort'!K127)</f>
        <v>112</v>
      </c>
      <c r="L128" s="10">
        <f>IF(ISNUMBER('Rates from Ireland Fedex Priort'!L127),_xlfn.CEILING.MATH('Rates from Ireland Fedex Priort'!L127,1)+IF($A128="EU",Variables!$B$6,Variables!$B$3),'Rates from Ireland Fedex Priort'!L127)</f>
        <v>114</v>
      </c>
      <c r="M128" s="10">
        <f>IF(ISNUMBER('Rates from Ireland Fedex Priort'!M127),_xlfn.CEILING.MATH('Rates from Ireland Fedex Priort'!M127,1)+IF($A128="EU",Variables!$B$6,Variables!$B$3),'Rates from Ireland Fedex Priort'!M127)</f>
        <v>122</v>
      </c>
      <c r="N128" s="10">
        <f>IF(ISNUMBER('Rates from Ireland Fedex Priort'!N127),_xlfn.CEILING.MATH('Rates from Ireland Fedex Priort'!N127,1)+IF($A128="EU",Variables!$B$6,Variables!$B$3),'Rates from Ireland Fedex Priort'!N127)</f>
        <v>127</v>
      </c>
      <c r="O128" s="15" t="s">
        <v>29</v>
      </c>
      <c r="P128" s="15" t="s">
        <v>33</v>
      </c>
      <c r="Q128" s="16">
        <v>80</v>
      </c>
      <c r="R128" s="15" t="s">
        <v>25</v>
      </c>
      <c r="S128" s="17" t="s">
        <v>26</v>
      </c>
      <c r="T128" s="40" t="s">
        <v>27</v>
      </c>
    </row>
    <row r="129" spans="1:20" ht="15.75" customHeight="1" x14ac:dyDescent="0.3">
      <c r="A129" s="39" t="str">
        <f>IF('Rates from Ireland Fedex Priort'!A128="","",'Rates from Ireland Fedex Priort'!A128)</f>
        <v>EU</v>
      </c>
      <c r="B129" s="8" t="str">
        <f>IF('Rates from Ireland Fedex Priort'!B128="","",'Rates from Ireland Fedex Priort'!B128)</f>
        <v>Ireland</v>
      </c>
      <c r="C129" s="9" t="str">
        <f>IF('Rates from Ireland Fedex Priort'!C128="","",'Rates from Ireland Fedex Priort'!C128)</f>
        <v>Luxembourg</v>
      </c>
      <c r="D129" s="10">
        <f>IF(ISNUMBER('Rates from Ireland Fedex Priort'!D128),_xlfn.CEILING.MATH('Rates from Ireland Fedex Priort'!D128,1)+IF($A129="EU",Variables!$B$5,Variables!$B$2),'Rates from Ireland Fedex Priort'!D128)</f>
        <v>64</v>
      </c>
      <c r="E129" s="10">
        <f>IF(ISNUMBER('Rates from Ireland Fedex Priort'!E128),_xlfn.CEILING.MATH('Rates from Ireland Fedex Priort'!E128,1)+IF($A129="EU",Variables!$B$6,Variables!$B$3),'Rates from Ireland Fedex Priort'!E128)</f>
        <v>74</v>
      </c>
      <c r="F129" s="10">
        <f>IF(ISNUMBER('Rates from Ireland Fedex Priort'!F128),_xlfn.CEILING.MATH('Rates from Ireland Fedex Priort'!F128,1)+IF($A129="EU",Variables!$B$6,Variables!$B$3),'Rates from Ireland Fedex Priort'!F128)</f>
        <v>77</v>
      </c>
      <c r="G129" s="10">
        <f>IF(ISNUMBER('Rates from Ireland Fedex Priort'!G128),_xlfn.CEILING.MATH('Rates from Ireland Fedex Priort'!G128,1)+IF($A129="EU",Variables!$B$6,Variables!$B$3),'Rates from Ireland Fedex Priort'!G128)</f>
        <v>82</v>
      </c>
      <c r="H129" s="10">
        <f>IF(ISNUMBER('Rates from Ireland Fedex Priort'!H128),_xlfn.CEILING.MATH('Rates from Ireland Fedex Priort'!H128,1)+IF($A129="EU",Variables!$B$6,Variables!$B$3),'Rates from Ireland Fedex Priort'!H128)</f>
        <v>84</v>
      </c>
      <c r="I129" s="10">
        <f>IF(ISNUMBER('Rates from Ireland Fedex Priort'!I128),_xlfn.CEILING.MATH('Rates from Ireland Fedex Priort'!I128,1)+IF($A129="EU",Variables!$B$6,Variables!$B$3),'Rates from Ireland Fedex Priort'!I128)</f>
        <v>87</v>
      </c>
      <c r="J129" s="10">
        <f>IF(ISNUMBER('Rates from Ireland Fedex Priort'!J128),_xlfn.CEILING.MATH('Rates from Ireland Fedex Priort'!J128,1)+IF($A129="EU",Variables!$B$6,Variables!$B$3),'Rates from Ireland Fedex Priort'!J128)</f>
        <v>99</v>
      </c>
      <c r="K129" s="10">
        <f>IF(ISNUMBER('Rates from Ireland Fedex Priort'!K128),_xlfn.CEILING.MATH('Rates from Ireland Fedex Priort'!K128,1)+IF($A129="EU",Variables!$B$6,Variables!$B$3),'Rates from Ireland Fedex Priort'!K128)</f>
        <v>106</v>
      </c>
      <c r="L129" s="10">
        <f>IF(ISNUMBER('Rates from Ireland Fedex Priort'!L128),_xlfn.CEILING.MATH('Rates from Ireland Fedex Priort'!L128,1)+IF($A129="EU",Variables!$B$6,Variables!$B$3),'Rates from Ireland Fedex Priort'!L128)</f>
        <v>133</v>
      </c>
      <c r="M129" s="10">
        <f>IF(ISNUMBER('Rates from Ireland Fedex Priort'!M128),_xlfn.CEILING.MATH('Rates from Ireland Fedex Priort'!M128,1)+IF($A129="EU",Variables!$B$6,Variables!$B$3),'Rates from Ireland Fedex Priort'!M128)</f>
        <v>139</v>
      </c>
      <c r="N129" s="10">
        <f>IF(ISNUMBER('Rates from Ireland Fedex Priort'!N128),_xlfn.CEILING.MATH('Rates from Ireland Fedex Priort'!N128,1)+IF($A129="EU",Variables!$B$6,Variables!$B$3),'Rates from Ireland Fedex Priort'!N128)</f>
        <v>180</v>
      </c>
      <c r="O129" s="15" t="s">
        <v>29</v>
      </c>
      <c r="P129" s="15" t="s">
        <v>33</v>
      </c>
      <c r="Q129" s="16">
        <v>80</v>
      </c>
      <c r="R129" s="15" t="s">
        <v>25</v>
      </c>
      <c r="S129" s="17" t="s">
        <v>26</v>
      </c>
      <c r="T129" s="40" t="s">
        <v>27</v>
      </c>
    </row>
    <row r="130" spans="1:20" ht="15.75" customHeight="1" x14ac:dyDescent="0.3">
      <c r="A130" s="39" t="str">
        <f>IF('Rates from Ireland Fedex Priort'!A129="","",'Rates from Ireland Fedex Priort'!A129)</f>
        <v>EU</v>
      </c>
      <c r="B130" s="8" t="str">
        <f>IF('Rates from Ireland Fedex Priort'!B129="","",'Rates from Ireland Fedex Priort'!B129)</f>
        <v>Ireland</v>
      </c>
      <c r="C130" s="9" t="str">
        <f>IF('Rates from Ireland Fedex Priort'!C129="","",'Rates from Ireland Fedex Priort'!C129)</f>
        <v>Macau</v>
      </c>
      <c r="D130" s="10">
        <f>IF(ISNUMBER('Rates from Ireland Fedex Priort'!D129),_xlfn.CEILING.MATH('Rates from Ireland Fedex Priort'!D129,1)+IF($A130="EU",Variables!$B$5,Variables!$B$2),'Rates from Ireland Fedex Priort'!D129)</f>
        <v>69</v>
      </c>
      <c r="E130" s="10">
        <f>IF(ISNUMBER('Rates from Ireland Fedex Priort'!E129),_xlfn.CEILING.MATH('Rates from Ireland Fedex Priort'!E129,1)+IF($A130="EU",Variables!$B$6,Variables!$B$3),'Rates from Ireland Fedex Priort'!E129)</f>
        <v>74</v>
      </c>
      <c r="F130" s="10">
        <f>IF(ISNUMBER('Rates from Ireland Fedex Priort'!F129),_xlfn.CEILING.MATH('Rates from Ireland Fedex Priort'!F129,1)+IF($A130="EU",Variables!$B$6,Variables!$B$3),'Rates from Ireland Fedex Priort'!F129)</f>
        <v>79</v>
      </c>
      <c r="G130" s="10">
        <f>IF(ISNUMBER('Rates from Ireland Fedex Priort'!G129),_xlfn.CEILING.MATH('Rates from Ireland Fedex Priort'!G129,1)+IF($A130="EU",Variables!$B$6,Variables!$B$3),'Rates from Ireland Fedex Priort'!G129)</f>
        <v>95</v>
      </c>
      <c r="H130" s="10">
        <f>IF(ISNUMBER('Rates from Ireland Fedex Priort'!H129),_xlfn.CEILING.MATH('Rates from Ireland Fedex Priort'!H129,1)+IF($A130="EU",Variables!$B$6,Variables!$B$3),'Rates from Ireland Fedex Priort'!H129)</f>
        <v>119</v>
      </c>
      <c r="I130" s="10">
        <f>IF(ISNUMBER('Rates from Ireland Fedex Priort'!I129),_xlfn.CEILING.MATH('Rates from Ireland Fedex Priort'!I129,1)+IF($A130="EU",Variables!$B$6,Variables!$B$3),'Rates from Ireland Fedex Priort'!I129)</f>
        <v>179</v>
      </c>
      <c r="J130" s="10" t="str">
        <f>IF(ISNUMBER('Rates from Ireland Fedex Priort'!J129),_xlfn.CEILING.MATH('Rates from Ireland Fedex Priort'!J129,1)+IF($A130="EU",Variables!$B$6,Variables!$B$3),'Rates from Ireland Fedex Priort'!J129)</f>
        <v>No service</v>
      </c>
      <c r="K130" s="10" t="str">
        <f>IF(ISNUMBER('Rates from Ireland Fedex Priort'!K129),_xlfn.CEILING.MATH('Rates from Ireland Fedex Priort'!K129,1)+IF($A130="EU",Variables!$B$6,Variables!$B$3),'Rates from Ireland Fedex Priort'!K129)</f>
        <v>No service</v>
      </c>
      <c r="L130" s="10" t="str">
        <f>IF(ISNUMBER('Rates from Ireland Fedex Priort'!L129),_xlfn.CEILING.MATH('Rates from Ireland Fedex Priort'!L129,1)+IF($A130="EU",Variables!$B$6,Variables!$B$3),'Rates from Ireland Fedex Priort'!L129)</f>
        <v>No service</v>
      </c>
      <c r="M130" s="10" t="str">
        <f>IF(ISNUMBER('Rates from Ireland Fedex Priort'!M129),_xlfn.CEILING.MATH('Rates from Ireland Fedex Priort'!M129,1)+IF($A130="EU",Variables!$B$6,Variables!$B$3),'Rates from Ireland Fedex Priort'!M129)</f>
        <v>No service</v>
      </c>
      <c r="N130" s="10" t="str">
        <f>IF(ISNUMBER('Rates from Ireland Fedex Priort'!N129),_xlfn.CEILING.MATH('Rates from Ireland Fedex Priort'!N129,1)+IF($A130="EU",Variables!$B$6,Variables!$B$3),'Rates from Ireland Fedex Priort'!N129)</f>
        <v>No service</v>
      </c>
      <c r="O130" s="11" t="s">
        <v>41</v>
      </c>
      <c r="P130" s="11" t="s">
        <v>143</v>
      </c>
      <c r="Q130" s="12">
        <v>80</v>
      </c>
      <c r="R130" s="11" t="s">
        <v>25</v>
      </c>
      <c r="S130" s="3" t="s">
        <v>26</v>
      </c>
      <c r="T130" s="38" t="s">
        <v>27</v>
      </c>
    </row>
    <row r="131" spans="1:20" ht="15.75" customHeight="1" x14ac:dyDescent="0.3">
      <c r="A131" s="39" t="str">
        <f>IF('Rates from Ireland Fedex Priort'!A130="","",'Rates from Ireland Fedex Priort'!A130)</f>
        <v>EU</v>
      </c>
      <c r="B131" s="8" t="str">
        <f>IF('Rates from Ireland Fedex Priort'!B130="","",'Rates from Ireland Fedex Priort'!B130)</f>
        <v>Ireland</v>
      </c>
      <c r="C131" s="9" t="str">
        <f>IF('Rates from Ireland Fedex Priort'!C130="","",'Rates from Ireland Fedex Priort'!C130)</f>
        <v>Madagascar</v>
      </c>
      <c r="D131" s="10">
        <f>IF(ISNUMBER('Rates from Ireland Fedex Priort'!D130),_xlfn.CEILING.MATH('Rates from Ireland Fedex Priort'!D130,1)+IF($A131="EU",Variables!$B$5,Variables!$B$2),'Rates from Ireland Fedex Priort'!D130)</f>
        <v>72</v>
      </c>
      <c r="E131" s="10">
        <f>IF(ISNUMBER('Rates from Ireland Fedex Priort'!E130),_xlfn.CEILING.MATH('Rates from Ireland Fedex Priort'!E130,1)+IF($A131="EU",Variables!$B$6,Variables!$B$3),'Rates from Ireland Fedex Priort'!E130)</f>
        <v>83</v>
      </c>
      <c r="F131" s="10">
        <f>IF(ISNUMBER('Rates from Ireland Fedex Priort'!F130),_xlfn.CEILING.MATH('Rates from Ireland Fedex Priort'!F130,1)+IF($A131="EU",Variables!$B$6,Variables!$B$3),'Rates from Ireland Fedex Priort'!F130)</f>
        <v>88</v>
      </c>
      <c r="G131" s="10">
        <f>IF(ISNUMBER('Rates from Ireland Fedex Priort'!G130),_xlfn.CEILING.MATH('Rates from Ireland Fedex Priort'!G130,1)+IF($A131="EU",Variables!$B$6,Variables!$B$3),'Rates from Ireland Fedex Priort'!G130)</f>
        <v>106</v>
      </c>
      <c r="H131" s="10">
        <f>IF(ISNUMBER('Rates from Ireland Fedex Priort'!H130),_xlfn.CEILING.MATH('Rates from Ireland Fedex Priort'!H130,1)+IF($A131="EU",Variables!$B$6,Variables!$B$3),'Rates from Ireland Fedex Priort'!H130)</f>
        <v>134</v>
      </c>
      <c r="I131" s="10">
        <f>IF(ISNUMBER('Rates from Ireland Fedex Priort'!I130),_xlfn.CEILING.MATH('Rates from Ireland Fedex Priort'!I130,1)+IF($A131="EU",Variables!$B$6,Variables!$B$3),'Rates from Ireland Fedex Priort'!I130)</f>
        <v>242</v>
      </c>
      <c r="J131" s="10" t="str">
        <f>IF(ISNUMBER('Rates from Ireland Fedex Priort'!J130),_xlfn.CEILING.MATH('Rates from Ireland Fedex Priort'!J130,1)+IF($A131="EU",Variables!$B$6,Variables!$B$3),'Rates from Ireland Fedex Priort'!J130)</f>
        <v>No service</v>
      </c>
      <c r="K131" s="10" t="str">
        <f>IF(ISNUMBER('Rates from Ireland Fedex Priort'!K130),_xlfn.CEILING.MATH('Rates from Ireland Fedex Priort'!K130,1)+IF($A131="EU",Variables!$B$6,Variables!$B$3),'Rates from Ireland Fedex Priort'!K130)</f>
        <v>No service</v>
      </c>
      <c r="L131" s="10" t="str">
        <f>IF(ISNUMBER('Rates from Ireland Fedex Priort'!L130),_xlfn.CEILING.MATH('Rates from Ireland Fedex Priort'!L130,1)+IF($A131="EU",Variables!$B$6,Variables!$B$3),'Rates from Ireland Fedex Priort'!L130)</f>
        <v>No service</v>
      </c>
      <c r="M131" s="10" t="str">
        <f>IF(ISNUMBER('Rates from Ireland Fedex Priort'!M130),_xlfn.CEILING.MATH('Rates from Ireland Fedex Priort'!M130,1)+IF($A131="EU",Variables!$B$6,Variables!$B$3),'Rates from Ireland Fedex Priort'!M130)</f>
        <v>No service</v>
      </c>
      <c r="N131" s="10" t="str">
        <f>IF(ISNUMBER('Rates from Ireland Fedex Priort'!N130),_xlfn.CEILING.MATH('Rates from Ireland Fedex Priort'!N130,1)+IF($A131="EU",Variables!$B$6,Variables!$B$3),'Rates from Ireland Fedex Priort'!N130)</f>
        <v>No service</v>
      </c>
      <c r="O131" s="11" t="s">
        <v>35</v>
      </c>
      <c r="P131" s="11" t="s">
        <v>36</v>
      </c>
      <c r="Q131" s="12">
        <v>80</v>
      </c>
      <c r="R131" s="11" t="s">
        <v>25</v>
      </c>
      <c r="S131" s="3" t="s">
        <v>26</v>
      </c>
      <c r="T131" s="38" t="s">
        <v>27</v>
      </c>
    </row>
    <row r="132" spans="1:20" ht="15.75" customHeight="1" x14ac:dyDescent="0.3">
      <c r="A132" s="39" t="str">
        <f>IF('Rates from Ireland Fedex Priort'!A131="","",'Rates from Ireland Fedex Priort'!A131)</f>
        <v>EU</v>
      </c>
      <c r="B132" s="8" t="str">
        <f>IF('Rates from Ireland Fedex Priort'!B131="","",'Rates from Ireland Fedex Priort'!B131)</f>
        <v>Ireland</v>
      </c>
      <c r="C132" s="9" t="str">
        <f>IF('Rates from Ireland Fedex Priort'!C131="","",'Rates from Ireland Fedex Priort'!C131)</f>
        <v>Malawi</v>
      </c>
      <c r="D132" s="10">
        <f>IF(ISNUMBER('Rates from Ireland Fedex Priort'!D131),_xlfn.CEILING.MATH('Rates from Ireland Fedex Priort'!D131,1)+IF($A132="EU",Variables!$B$5,Variables!$B$2),'Rates from Ireland Fedex Priort'!D131)</f>
        <v>72</v>
      </c>
      <c r="E132" s="10">
        <f>IF(ISNUMBER('Rates from Ireland Fedex Priort'!E131),_xlfn.CEILING.MATH('Rates from Ireland Fedex Priort'!E131,1)+IF($A132="EU",Variables!$B$6,Variables!$B$3),'Rates from Ireland Fedex Priort'!E131)</f>
        <v>83</v>
      </c>
      <c r="F132" s="10">
        <f>IF(ISNUMBER('Rates from Ireland Fedex Priort'!F131),_xlfn.CEILING.MATH('Rates from Ireland Fedex Priort'!F131,1)+IF($A132="EU",Variables!$B$6,Variables!$B$3),'Rates from Ireland Fedex Priort'!F131)</f>
        <v>88</v>
      </c>
      <c r="G132" s="10">
        <f>IF(ISNUMBER('Rates from Ireland Fedex Priort'!G131),_xlfn.CEILING.MATH('Rates from Ireland Fedex Priort'!G131,1)+IF($A132="EU",Variables!$B$6,Variables!$B$3),'Rates from Ireland Fedex Priort'!G131)</f>
        <v>106</v>
      </c>
      <c r="H132" s="10">
        <f>IF(ISNUMBER('Rates from Ireland Fedex Priort'!H131),_xlfn.CEILING.MATH('Rates from Ireland Fedex Priort'!H131,1)+IF($A132="EU",Variables!$B$6,Variables!$B$3),'Rates from Ireland Fedex Priort'!H131)</f>
        <v>134</v>
      </c>
      <c r="I132" s="10">
        <f>IF(ISNUMBER('Rates from Ireland Fedex Priort'!I131),_xlfn.CEILING.MATH('Rates from Ireland Fedex Priort'!I131,1)+IF($A132="EU",Variables!$B$6,Variables!$B$3),'Rates from Ireland Fedex Priort'!I131)</f>
        <v>242</v>
      </c>
      <c r="J132" s="10" t="str">
        <f>IF(ISNUMBER('Rates from Ireland Fedex Priort'!J131),_xlfn.CEILING.MATH('Rates from Ireland Fedex Priort'!J131,1)+IF($A132="EU",Variables!$B$6,Variables!$B$3),'Rates from Ireland Fedex Priort'!J131)</f>
        <v>No service</v>
      </c>
      <c r="K132" s="10" t="str">
        <f>IF(ISNUMBER('Rates from Ireland Fedex Priort'!K131),_xlfn.CEILING.MATH('Rates from Ireland Fedex Priort'!K131,1)+IF($A132="EU",Variables!$B$6,Variables!$B$3),'Rates from Ireland Fedex Priort'!K131)</f>
        <v>No service</v>
      </c>
      <c r="L132" s="10" t="str">
        <f>IF(ISNUMBER('Rates from Ireland Fedex Priort'!L131),_xlfn.CEILING.MATH('Rates from Ireland Fedex Priort'!L131,1)+IF($A132="EU",Variables!$B$6,Variables!$B$3),'Rates from Ireland Fedex Priort'!L131)</f>
        <v>No service</v>
      </c>
      <c r="M132" s="10" t="str">
        <f>IF(ISNUMBER('Rates from Ireland Fedex Priort'!M131),_xlfn.CEILING.MATH('Rates from Ireland Fedex Priort'!M131,1)+IF($A132="EU",Variables!$B$6,Variables!$B$3),'Rates from Ireland Fedex Priort'!M131)</f>
        <v>No service</v>
      </c>
      <c r="N132" s="10" t="str">
        <f>IF(ISNUMBER('Rates from Ireland Fedex Priort'!N131),_xlfn.CEILING.MATH('Rates from Ireland Fedex Priort'!N131,1)+IF($A132="EU",Variables!$B$6,Variables!$B$3),'Rates from Ireland Fedex Priort'!N131)</f>
        <v>No service</v>
      </c>
      <c r="O132" s="11" t="s">
        <v>35</v>
      </c>
      <c r="P132" s="11" t="s">
        <v>36</v>
      </c>
      <c r="Q132" s="12">
        <v>80</v>
      </c>
      <c r="R132" s="11" t="s">
        <v>25</v>
      </c>
      <c r="S132" s="3" t="s">
        <v>26</v>
      </c>
      <c r="T132" s="38" t="s">
        <v>27</v>
      </c>
    </row>
    <row r="133" spans="1:20" ht="15.75" customHeight="1" x14ac:dyDescent="0.3">
      <c r="A133" s="39" t="str">
        <f>IF('Rates from Ireland Fedex Priort'!A132="","",'Rates from Ireland Fedex Priort'!A132)</f>
        <v>EU</v>
      </c>
      <c r="B133" s="8" t="str">
        <f>IF('Rates from Ireland Fedex Priort'!B132="","",'Rates from Ireland Fedex Priort'!B132)</f>
        <v>Ireland</v>
      </c>
      <c r="C133" s="9" t="str">
        <f>IF('Rates from Ireland Fedex Priort'!C132="","",'Rates from Ireland Fedex Priort'!C132)</f>
        <v>Malaysia</v>
      </c>
      <c r="D133" s="10">
        <f>IF(ISNUMBER('Rates from Ireland Fedex Priort'!D132),_xlfn.CEILING.MATH('Rates from Ireland Fedex Priort'!D132,1)+IF($A133="EU",Variables!$B$5,Variables!$B$2),'Rates from Ireland Fedex Priort'!D132)</f>
        <v>65</v>
      </c>
      <c r="E133" s="10">
        <f>IF(ISNUMBER('Rates from Ireland Fedex Priort'!E132),_xlfn.CEILING.MATH('Rates from Ireland Fedex Priort'!E132,1)+IF($A133="EU",Variables!$B$6,Variables!$B$3),'Rates from Ireland Fedex Priort'!E132)</f>
        <v>74</v>
      </c>
      <c r="F133" s="10">
        <f>IF(ISNUMBER('Rates from Ireland Fedex Priort'!F132),_xlfn.CEILING.MATH('Rates from Ireland Fedex Priort'!F132,1)+IF($A133="EU",Variables!$B$6,Variables!$B$3),'Rates from Ireland Fedex Priort'!F132)</f>
        <v>79</v>
      </c>
      <c r="G133" s="10">
        <f>IF(ISNUMBER('Rates from Ireland Fedex Priort'!G132),_xlfn.CEILING.MATH('Rates from Ireland Fedex Priort'!G132,1)+IF($A133="EU",Variables!$B$6,Variables!$B$3),'Rates from Ireland Fedex Priort'!G132)</f>
        <v>95</v>
      </c>
      <c r="H133" s="10">
        <f>IF(ISNUMBER('Rates from Ireland Fedex Priort'!H132),_xlfn.CEILING.MATH('Rates from Ireland Fedex Priort'!H132,1)+IF($A133="EU",Variables!$B$6,Variables!$B$3),'Rates from Ireland Fedex Priort'!H132)</f>
        <v>119</v>
      </c>
      <c r="I133" s="10">
        <f>IF(ISNUMBER('Rates from Ireland Fedex Priort'!I132),_xlfn.CEILING.MATH('Rates from Ireland Fedex Priort'!I132,1)+IF($A133="EU",Variables!$B$6,Variables!$B$3),'Rates from Ireland Fedex Priort'!I132)</f>
        <v>179</v>
      </c>
      <c r="J133" s="10" t="str">
        <f>IF(ISNUMBER('Rates from Ireland Fedex Priort'!J132),_xlfn.CEILING.MATH('Rates from Ireland Fedex Priort'!J132,1)+IF($A133="EU",Variables!$B$6,Variables!$B$3),'Rates from Ireland Fedex Priort'!J132)</f>
        <v>No service</v>
      </c>
      <c r="K133" s="10" t="str">
        <f>IF(ISNUMBER('Rates from Ireland Fedex Priort'!K132),_xlfn.CEILING.MATH('Rates from Ireland Fedex Priort'!K132,1)+IF($A133="EU",Variables!$B$6,Variables!$B$3),'Rates from Ireland Fedex Priort'!K132)</f>
        <v>No service</v>
      </c>
      <c r="L133" s="10" t="str">
        <f>IF(ISNUMBER('Rates from Ireland Fedex Priort'!L132),_xlfn.CEILING.MATH('Rates from Ireland Fedex Priort'!L132,1)+IF($A133="EU",Variables!$B$6,Variables!$B$3),'Rates from Ireland Fedex Priort'!L132)</f>
        <v>No service</v>
      </c>
      <c r="M133" s="10" t="str">
        <f>IF(ISNUMBER('Rates from Ireland Fedex Priort'!M132),_xlfn.CEILING.MATH('Rates from Ireland Fedex Priort'!M132,1)+IF($A133="EU",Variables!$B$6,Variables!$B$3),'Rates from Ireland Fedex Priort'!M132)</f>
        <v>No service</v>
      </c>
      <c r="N133" s="10" t="str">
        <f>IF(ISNUMBER('Rates from Ireland Fedex Priort'!N132),_xlfn.CEILING.MATH('Rates from Ireland Fedex Priort'!N132,1)+IF($A133="EU",Variables!$B$6,Variables!$B$3),'Rates from Ireland Fedex Priort'!N132)</f>
        <v>No service</v>
      </c>
      <c r="O133" s="11" t="s">
        <v>61</v>
      </c>
      <c r="P133" s="11" t="s">
        <v>23</v>
      </c>
      <c r="Q133" s="12">
        <v>80</v>
      </c>
      <c r="R133" s="11" t="s">
        <v>25</v>
      </c>
      <c r="S133" s="3" t="s">
        <v>26</v>
      </c>
      <c r="T133" s="38" t="s">
        <v>27</v>
      </c>
    </row>
    <row r="134" spans="1:20" ht="15.75" customHeight="1" x14ac:dyDescent="0.3">
      <c r="A134" s="39" t="str">
        <f>IF('Rates from Ireland Fedex Priort'!A133="","",'Rates from Ireland Fedex Priort'!A133)</f>
        <v>EU</v>
      </c>
      <c r="B134" s="8" t="str">
        <f>IF('Rates from Ireland Fedex Priort'!B133="","",'Rates from Ireland Fedex Priort'!B133)</f>
        <v>Ireland</v>
      </c>
      <c r="C134" s="9" t="str">
        <f>IF('Rates from Ireland Fedex Priort'!C133="","",'Rates from Ireland Fedex Priort'!C133)</f>
        <v>Maldives</v>
      </c>
      <c r="D134" s="10">
        <f>IF(ISNUMBER('Rates from Ireland Fedex Priort'!D133),_xlfn.CEILING.MATH('Rates from Ireland Fedex Priort'!D133,1)+IF($A134="EU",Variables!$B$5,Variables!$B$2),'Rates from Ireland Fedex Priort'!D133)</f>
        <v>72</v>
      </c>
      <c r="E134" s="10">
        <f>IF(ISNUMBER('Rates from Ireland Fedex Priort'!E133),_xlfn.CEILING.MATH('Rates from Ireland Fedex Priort'!E133,1)+IF($A134="EU",Variables!$B$6,Variables!$B$3),'Rates from Ireland Fedex Priort'!E133)</f>
        <v>83</v>
      </c>
      <c r="F134" s="10">
        <f>IF(ISNUMBER('Rates from Ireland Fedex Priort'!F133),_xlfn.CEILING.MATH('Rates from Ireland Fedex Priort'!F133,1)+IF($A134="EU",Variables!$B$6,Variables!$B$3),'Rates from Ireland Fedex Priort'!F133)</f>
        <v>88</v>
      </c>
      <c r="G134" s="10">
        <f>IF(ISNUMBER('Rates from Ireland Fedex Priort'!G133),_xlfn.CEILING.MATH('Rates from Ireland Fedex Priort'!G133,1)+IF($A134="EU",Variables!$B$6,Variables!$B$3),'Rates from Ireland Fedex Priort'!G133)</f>
        <v>106</v>
      </c>
      <c r="H134" s="10">
        <f>IF(ISNUMBER('Rates from Ireland Fedex Priort'!H133),_xlfn.CEILING.MATH('Rates from Ireland Fedex Priort'!H133,1)+IF($A134="EU",Variables!$B$6,Variables!$B$3),'Rates from Ireland Fedex Priort'!H133)</f>
        <v>134</v>
      </c>
      <c r="I134" s="10">
        <f>IF(ISNUMBER('Rates from Ireland Fedex Priort'!I133),_xlfn.CEILING.MATH('Rates from Ireland Fedex Priort'!I133,1)+IF($A134="EU",Variables!$B$6,Variables!$B$3),'Rates from Ireland Fedex Priort'!I133)</f>
        <v>242</v>
      </c>
      <c r="J134" s="10" t="str">
        <f>IF(ISNUMBER('Rates from Ireland Fedex Priort'!J133),_xlfn.CEILING.MATH('Rates from Ireland Fedex Priort'!J133,1)+IF($A134="EU",Variables!$B$6,Variables!$B$3),'Rates from Ireland Fedex Priort'!J133)</f>
        <v>No service</v>
      </c>
      <c r="K134" s="10" t="str">
        <f>IF(ISNUMBER('Rates from Ireland Fedex Priort'!K133),_xlfn.CEILING.MATH('Rates from Ireland Fedex Priort'!K133,1)+IF($A134="EU",Variables!$B$6,Variables!$B$3),'Rates from Ireland Fedex Priort'!K133)</f>
        <v>No service</v>
      </c>
      <c r="L134" s="10" t="str">
        <f>IF(ISNUMBER('Rates from Ireland Fedex Priort'!L133),_xlfn.CEILING.MATH('Rates from Ireland Fedex Priort'!L133,1)+IF($A134="EU",Variables!$B$6,Variables!$B$3),'Rates from Ireland Fedex Priort'!L133)</f>
        <v>No service</v>
      </c>
      <c r="M134" s="10" t="str">
        <f>IF(ISNUMBER('Rates from Ireland Fedex Priort'!M133),_xlfn.CEILING.MATH('Rates from Ireland Fedex Priort'!M133,1)+IF($A134="EU",Variables!$B$6,Variables!$B$3),'Rates from Ireland Fedex Priort'!M133)</f>
        <v>No service</v>
      </c>
      <c r="N134" s="10" t="str">
        <f>IF(ISNUMBER('Rates from Ireland Fedex Priort'!N133),_xlfn.CEILING.MATH('Rates from Ireland Fedex Priort'!N133,1)+IF($A134="EU",Variables!$B$6,Variables!$B$3),'Rates from Ireland Fedex Priort'!N133)</f>
        <v>No service</v>
      </c>
      <c r="O134" s="11" t="s">
        <v>35</v>
      </c>
      <c r="P134" s="11" t="s">
        <v>36</v>
      </c>
      <c r="Q134" s="12">
        <v>80</v>
      </c>
      <c r="R134" s="11" t="s">
        <v>25</v>
      </c>
      <c r="S134" s="3" t="s">
        <v>26</v>
      </c>
      <c r="T134" s="38" t="s">
        <v>27</v>
      </c>
    </row>
    <row r="135" spans="1:20" ht="15.75" customHeight="1" x14ac:dyDescent="0.3">
      <c r="A135" s="39" t="str">
        <f>IF('Rates from Ireland Fedex Priort'!A134="","",'Rates from Ireland Fedex Priort'!A134)</f>
        <v>EU</v>
      </c>
      <c r="B135" s="8" t="str">
        <f>IF('Rates from Ireland Fedex Priort'!B134="","",'Rates from Ireland Fedex Priort'!B134)</f>
        <v>Ireland</v>
      </c>
      <c r="C135" s="9" t="str">
        <f>IF('Rates from Ireland Fedex Priort'!C134="","",'Rates from Ireland Fedex Priort'!C134)</f>
        <v>Mali</v>
      </c>
      <c r="D135" s="10">
        <f>IF(ISNUMBER('Rates from Ireland Fedex Priort'!D134),_xlfn.CEILING.MATH('Rates from Ireland Fedex Priort'!D134,1)+IF($A135="EU",Variables!$B$5,Variables!$B$2),'Rates from Ireland Fedex Priort'!D134)</f>
        <v>72</v>
      </c>
      <c r="E135" s="10">
        <f>IF(ISNUMBER('Rates from Ireland Fedex Priort'!E134),_xlfn.CEILING.MATH('Rates from Ireland Fedex Priort'!E134,1)+IF($A135="EU",Variables!$B$6,Variables!$B$3),'Rates from Ireland Fedex Priort'!E134)</f>
        <v>83</v>
      </c>
      <c r="F135" s="10">
        <f>IF(ISNUMBER('Rates from Ireland Fedex Priort'!F134),_xlfn.CEILING.MATH('Rates from Ireland Fedex Priort'!F134,1)+IF($A135="EU",Variables!$B$6,Variables!$B$3),'Rates from Ireland Fedex Priort'!F134)</f>
        <v>88</v>
      </c>
      <c r="G135" s="10">
        <f>IF(ISNUMBER('Rates from Ireland Fedex Priort'!G134),_xlfn.CEILING.MATH('Rates from Ireland Fedex Priort'!G134,1)+IF($A135="EU",Variables!$B$6,Variables!$B$3),'Rates from Ireland Fedex Priort'!G134)</f>
        <v>106</v>
      </c>
      <c r="H135" s="10">
        <f>IF(ISNUMBER('Rates from Ireland Fedex Priort'!H134),_xlfn.CEILING.MATH('Rates from Ireland Fedex Priort'!H134,1)+IF($A135="EU",Variables!$B$6,Variables!$B$3),'Rates from Ireland Fedex Priort'!H134)</f>
        <v>134</v>
      </c>
      <c r="I135" s="10">
        <f>IF(ISNUMBER('Rates from Ireland Fedex Priort'!I134),_xlfn.CEILING.MATH('Rates from Ireland Fedex Priort'!I134,1)+IF($A135="EU",Variables!$B$6,Variables!$B$3),'Rates from Ireland Fedex Priort'!I134)</f>
        <v>242</v>
      </c>
      <c r="J135" s="10" t="str">
        <f>IF(ISNUMBER('Rates from Ireland Fedex Priort'!J134),_xlfn.CEILING.MATH('Rates from Ireland Fedex Priort'!J134,1)+IF($A135="EU",Variables!$B$6,Variables!$B$3),'Rates from Ireland Fedex Priort'!J134)</f>
        <v>No service</v>
      </c>
      <c r="K135" s="10" t="str">
        <f>IF(ISNUMBER('Rates from Ireland Fedex Priort'!K134),_xlfn.CEILING.MATH('Rates from Ireland Fedex Priort'!K134,1)+IF($A135="EU",Variables!$B$6,Variables!$B$3),'Rates from Ireland Fedex Priort'!K134)</f>
        <v>No service</v>
      </c>
      <c r="L135" s="10" t="str">
        <f>IF(ISNUMBER('Rates from Ireland Fedex Priort'!L134),_xlfn.CEILING.MATH('Rates from Ireland Fedex Priort'!L134,1)+IF($A135="EU",Variables!$B$6,Variables!$B$3),'Rates from Ireland Fedex Priort'!L134)</f>
        <v>No service</v>
      </c>
      <c r="M135" s="10" t="str">
        <f>IF(ISNUMBER('Rates from Ireland Fedex Priort'!M134),_xlfn.CEILING.MATH('Rates from Ireland Fedex Priort'!M134,1)+IF($A135="EU",Variables!$B$6,Variables!$B$3),'Rates from Ireland Fedex Priort'!M134)</f>
        <v>No service</v>
      </c>
      <c r="N135" s="10" t="str">
        <f>IF(ISNUMBER('Rates from Ireland Fedex Priort'!N134),_xlfn.CEILING.MATH('Rates from Ireland Fedex Priort'!N134,1)+IF($A135="EU",Variables!$B$6,Variables!$B$3),'Rates from Ireland Fedex Priort'!N134)</f>
        <v>No service</v>
      </c>
      <c r="O135" s="11" t="s">
        <v>35</v>
      </c>
      <c r="P135" s="11" t="s">
        <v>36</v>
      </c>
      <c r="Q135" s="12">
        <v>80</v>
      </c>
      <c r="R135" s="11" t="s">
        <v>25</v>
      </c>
      <c r="S135" s="3" t="s">
        <v>26</v>
      </c>
      <c r="T135" s="38" t="s">
        <v>27</v>
      </c>
    </row>
    <row r="136" spans="1:20" ht="15.75" customHeight="1" x14ac:dyDescent="0.3">
      <c r="A136" s="39" t="str">
        <f>IF('Rates from Ireland Fedex Priort'!A135="","",'Rates from Ireland Fedex Priort'!A135)</f>
        <v>EU</v>
      </c>
      <c r="B136" s="8" t="str">
        <f>IF('Rates from Ireland Fedex Priort'!B135="","",'Rates from Ireland Fedex Priort'!B135)</f>
        <v>Ireland</v>
      </c>
      <c r="C136" s="9" t="str">
        <f>IF('Rates from Ireland Fedex Priort'!C135="","",'Rates from Ireland Fedex Priort'!C135)</f>
        <v>Malta</v>
      </c>
      <c r="D136" s="10">
        <f>IF(ISNUMBER('Rates from Ireland Fedex Priort'!D135),_xlfn.CEILING.MATH('Rates from Ireland Fedex Priort'!D135,1)+IF($A136="EU",Variables!$B$5,Variables!$B$2),'Rates from Ireland Fedex Priort'!D135)</f>
        <v>87</v>
      </c>
      <c r="E136" s="10">
        <f>IF(ISNUMBER('Rates from Ireland Fedex Priort'!E135),_xlfn.CEILING.MATH('Rates from Ireland Fedex Priort'!E135,1)+IF($A136="EU",Variables!$B$6,Variables!$B$3),'Rates from Ireland Fedex Priort'!E135)</f>
        <v>95</v>
      </c>
      <c r="F136" s="10">
        <f>IF(ISNUMBER('Rates from Ireland Fedex Priort'!F135),_xlfn.CEILING.MATH('Rates from Ireland Fedex Priort'!F135,1)+IF($A136="EU",Variables!$B$6,Variables!$B$3),'Rates from Ireland Fedex Priort'!F135)</f>
        <v>95</v>
      </c>
      <c r="G136" s="10">
        <f>IF(ISNUMBER('Rates from Ireland Fedex Priort'!G135),_xlfn.CEILING.MATH('Rates from Ireland Fedex Priort'!G135,1)+IF($A136="EU",Variables!$B$6,Variables!$B$3),'Rates from Ireland Fedex Priort'!G135)</f>
        <v>107</v>
      </c>
      <c r="H136" s="10">
        <f>IF(ISNUMBER('Rates from Ireland Fedex Priort'!H135),_xlfn.CEILING.MATH('Rates from Ireland Fedex Priort'!H135,1)+IF($A136="EU",Variables!$B$6,Variables!$B$3),'Rates from Ireland Fedex Priort'!H135)</f>
        <v>110</v>
      </c>
      <c r="I136" s="10">
        <f>IF(ISNUMBER('Rates from Ireland Fedex Priort'!I135),_xlfn.CEILING.MATH('Rates from Ireland Fedex Priort'!I135,1)+IF($A136="EU",Variables!$B$6,Variables!$B$3),'Rates from Ireland Fedex Priort'!I135)</f>
        <v>122</v>
      </c>
      <c r="J136" s="10">
        <f>IF(ISNUMBER('Rates from Ireland Fedex Priort'!J135),_xlfn.CEILING.MATH('Rates from Ireland Fedex Priort'!J135,1)+IF($A136="EU",Variables!$B$6,Variables!$B$3),'Rates from Ireland Fedex Priort'!J135)</f>
        <v>135</v>
      </c>
      <c r="K136" s="10">
        <f>IF(ISNUMBER('Rates from Ireland Fedex Priort'!K135),_xlfn.CEILING.MATH('Rates from Ireland Fedex Priort'!K135,1)+IF($A136="EU",Variables!$B$6,Variables!$B$3),'Rates from Ireland Fedex Priort'!K135)</f>
        <v>144</v>
      </c>
      <c r="L136" s="10">
        <f>IF(ISNUMBER('Rates from Ireland Fedex Priort'!L135),_xlfn.CEILING.MATH('Rates from Ireland Fedex Priort'!L135,1)+IF($A136="EU",Variables!$B$6,Variables!$B$3),'Rates from Ireland Fedex Priort'!L135)</f>
        <v>135</v>
      </c>
      <c r="M136" s="10">
        <f>IF(ISNUMBER('Rates from Ireland Fedex Priort'!M135),_xlfn.CEILING.MATH('Rates from Ireland Fedex Priort'!M135,1)+IF($A136="EU",Variables!$B$6,Variables!$B$3),'Rates from Ireland Fedex Priort'!M135)</f>
        <v>160</v>
      </c>
      <c r="N136" s="10">
        <f>IF(ISNUMBER('Rates from Ireland Fedex Priort'!N135),_xlfn.CEILING.MATH('Rates from Ireland Fedex Priort'!N135,1)+IF($A136="EU",Variables!$B$6,Variables!$B$3),'Rates from Ireland Fedex Priort'!N135)</f>
        <v>186</v>
      </c>
      <c r="O136" s="15" t="s">
        <v>178</v>
      </c>
      <c r="P136" s="15" t="s">
        <v>124</v>
      </c>
      <c r="Q136" s="16">
        <v>80</v>
      </c>
      <c r="R136" s="15" t="s">
        <v>25</v>
      </c>
      <c r="S136" s="17" t="s">
        <v>26</v>
      </c>
      <c r="T136" s="40" t="s">
        <v>27</v>
      </c>
    </row>
    <row r="137" spans="1:20" ht="15.75" customHeight="1" x14ac:dyDescent="0.3">
      <c r="A137" s="39" t="str">
        <f>IF('Rates from Ireland Fedex Priort'!A136="","",'Rates from Ireland Fedex Priort'!A136)</f>
        <v>EU</v>
      </c>
      <c r="B137" s="8" t="str">
        <f>IF('Rates from Ireland Fedex Priort'!B136="","",'Rates from Ireland Fedex Priort'!B136)</f>
        <v>Ireland</v>
      </c>
      <c r="C137" s="9" t="str">
        <f>IF('Rates from Ireland Fedex Priort'!C136="","",'Rates from Ireland Fedex Priort'!C136)</f>
        <v>Marshall Islands</v>
      </c>
      <c r="D137" s="10">
        <f>IF(ISNUMBER('Rates from Ireland Fedex Priort'!D136),_xlfn.CEILING.MATH('Rates from Ireland Fedex Priort'!D136,1)+IF($A137="EU",Variables!$B$5,Variables!$B$2),'Rates from Ireland Fedex Priort'!D136)</f>
        <v>72</v>
      </c>
      <c r="E137" s="10">
        <f>IF(ISNUMBER('Rates from Ireland Fedex Priort'!E136),_xlfn.CEILING.MATH('Rates from Ireland Fedex Priort'!E136,1)+IF($A137="EU",Variables!$B$6,Variables!$B$3),'Rates from Ireland Fedex Priort'!E136)</f>
        <v>83</v>
      </c>
      <c r="F137" s="10">
        <f>IF(ISNUMBER('Rates from Ireland Fedex Priort'!F136),_xlfn.CEILING.MATH('Rates from Ireland Fedex Priort'!F136,1)+IF($A137="EU",Variables!$B$6,Variables!$B$3),'Rates from Ireland Fedex Priort'!F136)</f>
        <v>88</v>
      </c>
      <c r="G137" s="10">
        <f>IF(ISNUMBER('Rates from Ireland Fedex Priort'!G136),_xlfn.CEILING.MATH('Rates from Ireland Fedex Priort'!G136,1)+IF($A137="EU",Variables!$B$6,Variables!$B$3),'Rates from Ireland Fedex Priort'!G136)</f>
        <v>106</v>
      </c>
      <c r="H137" s="10">
        <f>IF(ISNUMBER('Rates from Ireland Fedex Priort'!H136),_xlfn.CEILING.MATH('Rates from Ireland Fedex Priort'!H136,1)+IF($A137="EU",Variables!$B$6,Variables!$B$3),'Rates from Ireland Fedex Priort'!H136)</f>
        <v>134</v>
      </c>
      <c r="I137" s="10">
        <f>IF(ISNUMBER('Rates from Ireland Fedex Priort'!I136),_xlfn.CEILING.MATH('Rates from Ireland Fedex Priort'!I136,1)+IF($A137="EU",Variables!$B$6,Variables!$B$3),'Rates from Ireland Fedex Priort'!I136)</f>
        <v>242</v>
      </c>
      <c r="J137" s="10" t="str">
        <f>IF(ISNUMBER('Rates from Ireland Fedex Priort'!J136),_xlfn.CEILING.MATH('Rates from Ireland Fedex Priort'!J136,1)+IF($A137="EU",Variables!$B$6,Variables!$B$3),'Rates from Ireland Fedex Priort'!J136)</f>
        <v>No service</v>
      </c>
      <c r="K137" s="10" t="str">
        <f>IF(ISNUMBER('Rates from Ireland Fedex Priort'!K136),_xlfn.CEILING.MATH('Rates from Ireland Fedex Priort'!K136,1)+IF($A137="EU",Variables!$B$6,Variables!$B$3),'Rates from Ireland Fedex Priort'!K136)</f>
        <v>No service</v>
      </c>
      <c r="L137" s="10" t="str">
        <f>IF(ISNUMBER('Rates from Ireland Fedex Priort'!L136),_xlfn.CEILING.MATH('Rates from Ireland Fedex Priort'!L136,1)+IF($A137="EU",Variables!$B$6,Variables!$B$3),'Rates from Ireland Fedex Priort'!L136)</f>
        <v>No service</v>
      </c>
      <c r="M137" s="10" t="str">
        <f>IF(ISNUMBER('Rates from Ireland Fedex Priort'!M136),_xlfn.CEILING.MATH('Rates from Ireland Fedex Priort'!M136,1)+IF($A137="EU",Variables!$B$6,Variables!$B$3),'Rates from Ireland Fedex Priort'!M136)</f>
        <v>No service</v>
      </c>
      <c r="N137" s="10" t="str">
        <f>IF(ISNUMBER('Rates from Ireland Fedex Priort'!N136),_xlfn.CEILING.MATH('Rates from Ireland Fedex Priort'!N136,1)+IF($A137="EU",Variables!$B$6,Variables!$B$3),'Rates from Ireland Fedex Priort'!N136)</f>
        <v>No service</v>
      </c>
      <c r="O137" s="11" t="s">
        <v>35</v>
      </c>
      <c r="P137" s="11" t="s">
        <v>36</v>
      </c>
      <c r="Q137" s="12">
        <v>80</v>
      </c>
      <c r="R137" s="11" t="s">
        <v>25</v>
      </c>
      <c r="S137" s="3" t="s">
        <v>26</v>
      </c>
      <c r="T137" s="38" t="s">
        <v>27</v>
      </c>
    </row>
    <row r="138" spans="1:20" ht="15.75" customHeight="1" x14ac:dyDescent="0.3">
      <c r="A138" s="39" t="str">
        <f>IF('Rates from Ireland Fedex Priort'!A137="","",'Rates from Ireland Fedex Priort'!A137)</f>
        <v>EU</v>
      </c>
      <c r="B138" s="8" t="str">
        <f>IF('Rates from Ireland Fedex Priort'!B137="","",'Rates from Ireland Fedex Priort'!B137)</f>
        <v>Ireland</v>
      </c>
      <c r="C138" s="9" t="str">
        <f>IF('Rates from Ireland Fedex Priort'!C137="","",'Rates from Ireland Fedex Priort'!C137)</f>
        <v>Martinique (France)</v>
      </c>
      <c r="D138" s="10">
        <f>IF(ISNUMBER('Rates from Ireland Fedex Priort'!D137),_xlfn.CEILING.MATH('Rates from Ireland Fedex Priort'!D137,1)+IF($A138="EU",Variables!$B$5,Variables!$B$2),'Rates from Ireland Fedex Priort'!D137)</f>
        <v>68</v>
      </c>
      <c r="E138" s="10">
        <f>IF(ISNUMBER('Rates from Ireland Fedex Priort'!E137),_xlfn.CEILING.MATH('Rates from Ireland Fedex Priort'!E137,1)+IF($A138="EU",Variables!$B$6,Variables!$B$3),'Rates from Ireland Fedex Priort'!E137)</f>
        <v>77</v>
      </c>
      <c r="F138" s="10">
        <f>IF(ISNUMBER('Rates from Ireland Fedex Priort'!F137),_xlfn.CEILING.MATH('Rates from Ireland Fedex Priort'!F137,1)+IF($A138="EU",Variables!$B$6,Variables!$B$3),'Rates from Ireland Fedex Priort'!F137)</f>
        <v>81</v>
      </c>
      <c r="G138" s="10">
        <f>IF(ISNUMBER('Rates from Ireland Fedex Priort'!G137),_xlfn.CEILING.MATH('Rates from Ireland Fedex Priort'!G137,1)+IF($A138="EU",Variables!$B$6,Variables!$B$3),'Rates from Ireland Fedex Priort'!G137)</f>
        <v>96</v>
      </c>
      <c r="H138" s="10">
        <f>IF(ISNUMBER('Rates from Ireland Fedex Priort'!H137),_xlfn.CEILING.MATH('Rates from Ireland Fedex Priort'!H137,1)+IF($A138="EU",Variables!$B$6,Variables!$B$3),'Rates from Ireland Fedex Priort'!H137)</f>
        <v>117</v>
      </c>
      <c r="I138" s="10">
        <f>IF(ISNUMBER('Rates from Ireland Fedex Priort'!I137),_xlfn.CEILING.MATH('Rates from Ireland Fedex Priort'!I137,1)+IF($A138="EU",Variables!$B$6,Variables!$B$3),'Rates from Ireland Fedex Priort'!I137)</f>
        <v>219</v>
      </c>
      <c r="J138" s="10" t="str">
        <f>IF(ISNUMBER('Rates from Ireland Fedex Priort'!J137),_xlfn.CEILING.MATH('Rates from Ireland Fedex Priort'!J137,1)+IF($A138="EU",Variables!$B$6,Variables!$B$3),'Rates from Ireland Fedex Priort'!J137)</f>
        <v>No service</v>
      </c>
      <c r="K138" s="10" t="str">
        <f>IF(ISNUMBER('Rates from Ireland Fedex Priort'!K137),_xlfn.CEILING.MATH('Rates from Ireland Fedex Priort'!K137,1)+IF($A138="EU",Variables!$B$6,Variables!$B$3),'Rates from Ireland Fedex Priort'!K137)</f>
        <v>No service</v>
      </c>
      <c r="L138" s="10" t="str">
        <f>IF(ISNUMBER('Rates from Ireland Fedex Priort'!L137),_xlfn.CEILING.MATH('Rates from Ireland Fedex Priort'!L137,1)+IF($A138="EU",Variables!$B$6,Variables!$B$3),'Rates from Ireland Fedex Priort'!L137)</f>
        <v>No service</v>
      </c>
      <c r="M138" s="10" t="str">
        <f>IF(ISNUMBER('Rates from Ireland Fedex Priort'!M137),_xlfn.CEILING.MATH('Rates from Ireland Fedex Priort'!M137,1)+IF($A138="EU",Variables!$B$6,Variables!$B$3),'Rates from Ireland Fedex Priort'!M137)</f>
        <v>No service</v>
      </c>
      <c r="N138" s="10" t="str">
        <f>IF(ISNUMBER('Rates from Ireland Fedex Priort'!N137),_xlfn.CEILING.MATH('Rates from Ireland Fedex Priort'!N137,1)+IF($A138="EU",Variables!$B$6,Variables!$B$3),'Rates from Ireland Fedex Priort'!N137)</f>
        <v>No service</v>
      </c>
      <c r="O138" s="11" t="s">
        <v>41</v>
      </c>
      <c r="P138" s="11" t="s">
        <v>23</v>
      </c>
      <c r="Q138" s="12">
        <v>80</v>
      </c>
      <c r="R138" s="11" t="s">
        <v>25</v>
      </c>
      <c r="S138" s="3" t="s">
        <v>26</v>
      </c>
      <c r="T138" s="38" t="s">
        <v>27</v>
      </c>
    </row>
    <row r="139" spans="1:20" ht="15.75" customHeight="1" x14ac:dyDescent="0.3">
      <c r="A139" s="39" t="str">
        <f>IF('Rates from Ireland Fedex Priort'!A138="","",'Rates from Ireland Fedex Priort'!A138)</f>
        <v>EU</v>
      </c>
      <c r="B139" s="8" t="str">
        <f>IF('Rates from Ireland Fedex Priort'!B138="","",'Rates from Ireland Fedex Priort'!B138)</f>
        <v>Ireland</v>
      </c>
      <c r="C139" s="9" t="str">
        <f>IF('Rates from Ireland Fedex Priort'!C138="","",'Rates from Ireland Fedex Priort'!C138)</f>
        <v>Mauritania</v>
      </c>
      <c r="D139" s="10">
        <f>IF(ISNUMBER('Rates from Ireland Fedex Priort'!D138),_xlfn.CEILING.MATH('Rates from Ireland Fedex Priort'!D138,1)+IF($A139="EU",Variables!$B$5,Variables!$B$2),'Rates from Ireland Fedex Priort'!D138)</f>
        <v>72</v>
      </c>
      <c r="E139" s="10">
        <f>IF(ISNUMBER('Rates from Ireland Fedex Priort'!E138),_xlfn.CEILING.MATH('Rates from Ireland Fedex Priort'!E138,1)+IF($A139="EU",Variables!$B$6,Variables!$B$3),'Rates from Ireland Fedex Priort'!E138)</f>
        <v>83</v>
      </c>
      <c r="F139" s="10">
        <f>IF(ISNUMBER('Rates from Ireland Fedex Priort'!F138),_xlfn.CEILING.MATH('Rates from Ireland Fedex Priort'!F138,1)+IF($A139="EU",Variables!$B$6,Variables!$B$3),'Rates from Ireland Fedex Priort'!F138)</f>
        <v>88</v>
      </c>
      <c r="G139" s="10">
        <f>IF(ISNUMBER('Rates from Ireland Fedex Priort'!G138),_xlfn.CEILING.MATH('Rates from Ireland Fedex Priort'!G138,1)+IF($A139="EU",Variables!$B$6,Variables!$B$3),'Rates from Ireland Fedex Priort'!G138)</f>
        <v>106</v>
      </c>
      <c r="H139" s="10">
        <f>IF(ISNUMBER('Rates from Ireland Fedex Priort'!H138),_xlfn.CEILING.MATH('Rates from Ireland Fedex Priort'!H138,1)+IF($A139="EU",Variables!$B$6,Variables!$B$3),'Rates from Ireland Fedex Priort'!H138)</f>
        <v>134</v>
      </c>
      <c r="I139" s="10">
        <f>IF(ISNUMBER('Rates from Ireland Fedex Priort'!I138),_xlfn.CEILING.MATH('Rates from Ireland Fedex Priort'!I138,1)+IF($A139="EU",Variables!$B$6,Variables!$B$3),'Rates from Ireland Fedex Priort'!I138)</f>
        <v>242</v>
      </c>
      <c r="J139" s="10" t="str">
        <f>IF(ISNUMBER('Rates from Ireland Fedex Priort'!J138),_xlfn.CEILING.MATH('Rates from Ireland Fedex Priort'!J138,1)+IF($A139="EU",Variables!$B$6,Variables!$B$3),'Rates from Ireland Fedex Priort'!J138)</f>
        <v>No service</v>
      </c>
      <c r="K139" s="10" t="str">
        <f>IF(ISNUMBER('Rates from Ireland Fedex Priort'!K138),_xlfn.CEILING.MATH('Rates from Ireland Fedex Priort'!K138,1)+IF($A139="EU",Variables!$B$6,Variables!$B$3),'Rates from Ireland Fedex Priort'!K138)</f>
        <v>No service</v>
      </c>
      <c r="L139" s="10" t="str">
        <f>IF(ISNUMBER('Rates from Ireland Fedex Priort'!L138),_xlfn.CEILING.MATH('Rates from Ireland Fedex Priort'!L138,1)+IF($A139="EU",Variables!$B$6,Variables!$B$3),'Rates from Ireland Fedex Priort'!L138)</f>
        <v>No service</v>
      </c>
      <c r="M139" s="10" t="str">
        <f>IF(ISNUMBER('Rates from Ireland Fedex Priort'!M138),_xlfn.CEILING.MATH('Rates from Ireland Fedex Priort'!M138,1)+IF($A139="EU",Variables!$B$6,Variables!$B$3),'Rates from Ireland Fedex Priort'!M138)</f>
        <v>No service</v>
      </c>
      <c r="N139" s="10" t="str">
        <f>IF(ISNUMBER('Rates from Ireland Fedex Priort'!N138),_xlfn.CEILING.MATH('Rates from Ireland Fedex Priort'!N138,1)+IF($A139="EU",Variables!$B$6,Variables!$B$3),'Rates from Ireland Fedex Priort'!N138)</f>
        <v>No service</v>
      </c>
      <c r="O139" s="11" t="s">
        <v>35</v>
      </c>
      <c r="P139" s="11" t="s">
        <v>36</v>
      </c>
      <c r="Q139" s="12">
        <v>80</v>
      </c>
      <c r="R139" s="11" t="s">
        <v>25</v>
      </c>
      <c r="S139" s="3" t="s">
        <v>26</v>
      </c>
      <c r="T139" s="38" t="s">
        <v>27</v>
      </c>
    </row>
    <row r="140" spans="1:20" ht="15.75" customHeight="1" x14ac:dyDescent="0.3">
      <c r="A140" s="39" t="str">
        <f>IF('Rates from Ireland Fedex Priort'!A139="","",'Rates from Ireland Fedex Priort'!A139)</f>
        <v>EU</v>
      </c>
      <c r="B140" s="8" t="str">
        <f>IF('Rates from Ireland Fedex Priort'!B139="","",'Rates from Ireland Fedex Priort'!B139)</f>
        <v>Ireland</v>
      </c>
      <c r="C140" s="9" t="str">
        <f>IF('Rates from Ireland Fedex Priort'!C139="","",'Rates from Ireland Fedex Priort'!C139)</f>
        <v>Mauritius</v>
      </c>
      <c r="D140" s="10">
        <f>IF(ISNUMBER('Rates from Ireland Fedex Priort'!D139),_xlfn.CEILING.MATH('Rates from Ireland Fedex Priort'!D139,1)+IF($A140="EU",Variables!$B$5,Variables!$B$2),'Rates from Ireland Fedex Priort'!D139)</f>
        <v>72</v>
      </c>
      <c r="E140" s="10">
        <f>IF(ISNUMBER('Rates from Ireland Fedex Priort'!E139),_xlfn.CEILING.MATH('Rates from Ireland Fedex Priort'!E139,1)+IF($A140="EU",Variables!$B$6,Variables!$B$3),'Rates from Ireland Fedex Priort'!E139)</f>
        <v>83</v>
      </c>
      <c r="F140" s="10">
        <f>IF(ISNUMBER('Rates from Ireland Fedex Priort'!F139),_xlfn.CEILING.MATH('Rates from Ireland Fedex Priort'!F139,1)+IF($A140="EU",Variables!$B$6,Variables!$B$3),'Rates from Ireland Fedex Priort'!F139)</f>
        <v>88</v>
      </c>
      <c r="G140" s="10">
        <f>IF(ISNUMBER('Rates from Ireland Fedex Priort'!G139),_xlfn.CEILING.MATH('Rates from Ireland Fedex Priort'!G139,1)+IF($A140="EU",Variables!$B$6,Variables!$B$3),'Rates from Ireland Fedex Priort'!G139)</f>
        <v>106</v>
      </c>
      <c r="H140" s="10">
        <f>IF(ISNUMBER('Rates from Ireland Fedex Priort'!H139),_xlfn.CEILING.MATH('Rates from Ireland Fedex Priort'!H139,1)+IF($A140="EU",Variables!$B$6,Variables!$B$3),'Rates from Ireland Fedex Priort'!H139)</f>
        <v>134</v>
      </c>
      <c r="I140" s="10">
        <f>IF(ISNUMBER('Rates from Ireland Fedex Priort'!I139),_xlfn.CEILING.MATH('Rates from Ireland Fedex Priort'!I139,1)+IF($A140="EU",Variables!$B$6,Variables!$B$3),'Rates from Ireland Fedex Priort'!I139)</f>
        <v>242</v>
      </c>
      <c r="J140" s="10" t="str">
        <f>IF(ISNUMBER('Rates from Ireland Fedex Priort'!J139),_xlfn.CEILING.MATH('Rates from Ireland Fedex Priort'!J139,1)+IF($A140="EU",Variables!$B$6,Variables!$B$3),'Rates from Ireland Fedex Priort'!J139)</f>
        <v>No service</v>
      </c>
      <c r="K140" s="10" t="str">
        <f>IF(ISNUMBER('Rates from Ireland Fedex Priort'!K139),_xlfn.CEILING.MATH('Rates from Ireland Fedex Priort'!K139,1)+IF($A140="EU",Variables!$B$6,Variables!$B$3),'Rates from Ireland Fedex Priort'!K139)</f>
        <v>No service</v>
      </c>
      <c r="L140" s="10" t="str">
        <f>IF(ISNUMBER('Rates from Ireland Fedex Priort'!L139),_xlfn.CEILING.MATH('Rates from Ireland Fedex Priort'!L139,1)+IF($A140="EU",Variables!$B$6,Variables!$B$3),'Rates from Ireland Fedex Priort'!L139)</f>
        <v>No service</v>
      </c>
      <c r="M140" s="10" t="str">
        <f>IF(ISNUMBER('Rates from Ireland Fedex Priort'!M139),_xlfn.CEILING.MATH('Rates from Ireland Fedex Priort'!M139,1)+IF($A140="EU",Variables!$B$6,Variables!$B$3),'Rates from Ireland Fedex Priort'!M139)</f>
        <v>No service</v>
      </c>
      <c r="N140" s="10" t="str">
        <f>IF(ISNUMBER('Rates from Ireland Fedex Priort'!N139),_xlfn.CEILING.MATH('Rates from Ireland Fedex Priort'!N139,1)+IF($A140="EU",Variables!$B$6,Variables!$B$3),'Rates from Ireland Fedex Priort'!N139)</f>
        <v>No service</v>
      </c>
      <c r="O140" s="11" t="s">
        <v>35</v>
      </c>
      <c r="P140" s="11" t="s">
        <v>36</v>
      </c>
      <c r="Q140" s="12">
        <v>80</v>
      </c>
      <c r="R140" s="11" t="s">
        <v>25</v>
      </c>
      <c r="S140" s="3" t="s">
        <v>26</v>
      </c>
      <c r="T140" s="38" t="s">
        <v>27</v>
      </c>
    </row>
    <row r="141" spans="1:20" ht="15.75" customHeight="1" x14ac:dyDescent="0.3">
      <c r="A141" s="39" t="str">
        <f>IF('Rates from Ireland Fedex Priort'!A140="","",'Rates from Ireland Fedex Priort'!A140)</f>
        <v>EU</v>
      </c>
      <c r="B141" s="8" t="str">
        <f>IF('Rates from Ireland Fedex Priort'!B140="","",'Rates from Ireland Fedex Priort'!B140)</f>
        <v>Ireland</v>
      </c>
      <c r="C141" s="9" t="str">
        <f>IF('Rates from Ireland Fedex Priort'!C140="","",'Rates from Ireland Fedex Priort'!C140)</f>
        <v>Mayotte (France)</v>
      </c>
      <c r="D141" s="10" t="str">
        <f>IF(ISNUMBER('Rates from Ireland Fedex Priort'!D140),_xlfn.CEILING.MATH('Rates from Ireland Fedex Priort'!D140,1)+IF($A141="EU",Variables!$B$5,Variables!$B$2),'Rates from Ireland Fedex Priort'!D140)</f>
        <v>No service</v>
      </c>
      <c r="E141" s="10" t="str">
        <f>IF(ISNUMBER('Rates from Ireland Fedex Priort'!E140),_xlfn.CEILING.MATH('Rates from Ireland Fedex Priort'!E140,1)+IF($A141="EU",Variables!$B$6,Variables!$B$3),'Rates from Ireland Fedex Priort'!E140)</f>
        <v>No service</v>
      </c>
      <c r="F141" s="10" t="str">
        <f>IF(ISNUMBER('Rates from Ireland Fedex Priort'!F140),_xlfn.CEILING.MATH('Rates from Ireland Fedex Priort'!F140,1)+IF($A141="EU",Variables!$B$6,Variables!$B$3),'Rates from Ireland Fedex Priort'!F140)</f>
        <v>No service</v>
      </c>
      <c r="G141" s="10" t="str">
        <f>IF(ISNUMBER('Rates from Ireland Fedex Priort'!G140),_xlfn.CEILING.MATH('Rates from Ireland Fedex Priort'!G140,1)+IF($A141="EU",Variables!$B$6,Variables!$B$3),'Rates from Ireland Fedex Priort'!G140)</f>
        <v>No service</v>
      </c>
      <c r="H141" s="10" t="str">
        <f>IF(ISNUMBER('Rates from Ireland Fedex Priort'!H140),_xlfn.CEILING.MATH('Rates from Ireland Fedex Priort'!H140,1)+IF($A141="EU",Variables!$B$6,Variables!$B$3),'Rates from Ireland Fedex Priort'!H140)</f>
        <v>No service</v>
      </c>
      <c r="I141" s="10" t="str">
        <f>IF(ISNUMBER('Rates from Ireland Fedex Priort'!I140),_xlfn.CEILING.MATH('Rates from Ireland Fedex Priort'!I140,1)+IF($A141="EU",Variables!$B$6,Variables!$B$3),'Rates from Ireland Fedex Priort'!I140)</f>
        <v>No service</v>
      </c>
      <c r="J141" s="10" t="str">
        <f>IF(ISNUMBER('Rates from Ireland Fedex Priort'!J140),_xlfn.CEILING.MATH('Rates from Ireland Fedex Priort'!J140,1)+IF($A141="EU",Variables!$B$6,Variables!$B$3),'Rates from Ireland Fedex Priort'!J140)</f>
        <v>No service</v>
      </c>
      <c r="K141" s="10" t="str">
        <f>IF(ISNUMBER('Rates from Ireland Fedex Priort'!K140),_xlfn.CEILING.MATH('Rates from Ireland Fedex Priort'!K140,1)+IF($A141="EU",Variables!$B$6,Variables!$B$3),'Rates from Ireland Fedex Priort'!K140)</f>
        <v>No service</v>
      </c>
      <c r="L141" s="10" t="str">
        <f>IF(ISNUMBER('Rates from Ireland Fedex Priort'!L140),_xlfn.CEILING.MATH('Rates from Ireland Fedex Priort'!L140,1)+IF($A141="EU",Variables!$B$6,Variables!$B$3),'Rates from Ireland Fedex Priort'!L140)</f>
        <v>No service</v>
      </c>
      <c r="M141" s="10" t="str">
        <f>IF(ISNUMBER('Rates from Ireland Fedex Priort'!M140),_xlfn.CEILING.MATH('Rates from Ireland Fedex Priort'!M140,1)+IF($A141="EU",Variables!$B$6,Variables!$B$3),'Rates from Ireland Fedex Priort'!M140)</f>
        <v>No service</v>
      </c>
      <c r="N141" s="10" t="str">
        <f>IF(ISNUMBER('Rates from Ireland Fedex Priort'!N140),_xlfn.CEILING.MATH('Rates from Ireland Fedex Priort'!N140,1)+IF($A141="EU",Variables!$B$6,Variables!$B$3),'Rates from Ireland Fedex Priort'!N140)</f>
        <v>No service</v>
      </c>
      <c r="O141" s="11"/>
      <c r="P141" s="11"/>
      <c r="Q141" s="11"/>
      <c r="R141" s="11"/>
      <c r="S141" s="3" t="s">
        <v>26</v>
      </c>
      <c r="T141" s="38" t="s">
        <v>27</v>
      </c>
    </row>
    <row r="142" spans="1:20" ht="15.75" customHeight="1" x14ac:dyDescent="0.3">
      <c r="A142" s="39" t="str">
        <f>IF('Rates from Ireland Fedex Priort'!A141="","",'Rates from Ireland Fedex Priort'!A141)</f>
        <v>EU</v>
      </c>
      <c r="B142" s="8" t="str">
        <f>IF('Rates from Ireland Fedex Priort'!B141="","",'Rates from Ireland Fedex Priort'!B141)</f>
        <v>Ireland</v>
      </c>
      <c r="C142" s="9" t="str">
        <f>IF('Rates from Ireland Fedex Priort'!C141="","",'Rates from Ireland Fedex Priort'!C141)</f>
        <v>Mexico</v>
      </c>
      <c r="D142" s="10">
        <f>IF(ISNUMBER('Rates from Ireland Fedex Priort'!D141),_xlfn.CEILING.MATH('Rates from Ireland Fedex Priort'!D141,1)+IF($A142="EU",Variables!$B$5,Variables!$B$2),'Rates from Ireland Fedex Priort'!D141)</f>
        <v>68</v>
      </c>
      <c r="E142" s="10">
        <f>IF(ISNUMBER('Rates from Ireland Fedex Priort'!E141),_xlfn.CEILING.MATH('Rates from Ireland Fedex Priort'!E141,1)+IF($A142="EU",Variables!$B$6,Variables!$B$3),'Rates from Ireland Fedex Priort'!E141)</f>
        <v>77</v>
      </c>
      <c r="F142" s="10">
        <f>IF(ISNUMBER('Rates from Ireland Fedex Priort'!F141),_xlfn.CEILING.MATH('Rates from Ireland Fedex Priort'!F141,1)+IF($A142="EU",Variables!$B$6,Variables!$B$3),'Rates from Ireland Fedex Priort'!F141)</f>
        <v>81</v>
      </c>
      <c r="G142" s="10">
        <f>IF(ISNUMBER('Rates from Ireland Fedex Priort'!G141),_xlfn.CEILING.MATH('Rates from Ireland Fedex Priort'!G141,1)+IF($A142="EU",Variables!$B$6,Variables!$B$3),'Rates from Ireland Fedex Priort'!G141)</f>
        <v>96</v>
      </c>
      <c r="H142" s="10">
        <f>IF(ISNUMBER('Rates from Ireland Fedex Priort'!H141),_xlfn.CEILING.MATH('Rates from Ireland Fedex Priort'!H141,1)+IF($A142="EU",Variables!$B$6,Variables!$B$3),'Rates from Ireland Fedex Priort'!H141)</f>
        <v>117</v>
      </c>
      <c r="I142" s="10">
        <f>IF(ISNUMBER('Rates from Ireland Fedex Priort'!I141),_xlfn.CEILING.MATH('Rates from Ireland Fedex Priort'!I141,1)+IF($A142="EU",Variables!$B$6,Variables!$B$3),'Rates from Ireland Fedex Priort'!I141)</f>
        <v>219</v>
      </c>
      <c r="J142" s="10" t="str">
        <f>IF(ISNUMBER('Rates from Ireland Fedex Priort'!J141),_xlfn.CEILING.MATH('Rates from Ireland Fedex Priort'!J141,1)+IF($A142="EU",Variables!$B$6,Variables!$B$3),'Rates from Ireland Fedex Priort'!J141)</f>
        <v>No service</v>
      </c>
      <c r="K142" s="10" t="str">
        <f>IF(ISNUMBER('Rates from Ireland Fedex Priort'!K141),_xlfn.CEILING.MATH('Rates from Ireland Fedex Priort'!K141,1)+IF($A142="EU",Variables!$B$6,Variables!$B$3),'Rates from Ireland Fedex Priort'!K141)</f>
        <v>No service</v>
      </c>
      <c r="L142" s="10" t="str">
        <f>IF(ISNUMBER('Rates from Ireland Fedex Priort'!L141),_xlfn.CEILING.MATH('Rates from Ireland Fedex Priort'!L141,1)+IF($A142="EU",Variables!$B$6,Variables!$B$3),'Rates from Ireland Fedex Priort'!L141)</f>
        <v>No service</v>
      </c>
      <c r="M142" s="10" t="str">
        <f>IF(ISNUMBER('Rates from Ireland Fedex Priort'!M141),_xlfn.CEILING.MATH('Rates from Ireland Fedex Priort'!M141,1)+IF($A142="EU",Variables!$B$6,Variables!$B$3),'Rates from Ireland Fedex Priort'!M141)</f>
        <v>No service</v>
      </c>
      <c r="N142" s="10" t="str">
        <f>IF(ISNUMBER('Rates from Ireland Fedex Priort'!N141),_xlfn.CEILING.MATH('Rates from Ireland Fedex Priort'!N141,1)+IF($A142="EU",Variables!$B$6,Variables!$B$3),'Rates from Ireland Fedex Priort'!N141)</f>
        <v>No service</v>
      </c>
      <c r="O142" s="11" t="s">
        <v>61</v>
      </c>
      <c r="P142" s="11" t="s">
        <v>23</v>
      </c>
      <c r="Q142" s="12">
        <v>80</v>
      </c>
      <c r="R142" s="11"/>
      <c r="S142" s="3" t="s">
        <v>26</v>
      </c>
      <c r="T142" s="38" t="s">
        <v>27</v>
      </c>
    </row>
    <row r="143" spans="1:20" ht="15.75" customHeight="1" x14ac:dyDescent="0.3">
      <c r="A143" s="39" t="str">
        <f>IF('Rates from Ireland Fedex Priort'!A142="","",'Rates from Ireland Fedex Priort'!A142)</f>
        <v>EU</v>
      </c>
      <c r="B143" s="8" t="str">
        <f>IF('Rates from Ireland Fedex Priort'!B142="","",'Rates from Ireland Fedex Priort'!B142)</f>
        <v>Ireland</v>
      </c>
      <c r="C143" s="9" t="str">
        <f>IF('Rates from Ireland Fedex Priort'!C142="","",'Rates from Ireland Fedex Priort'!C142)</f>
        <v>Micronesia</v>
      </c>
      <c r="D143" s="10">
        <f>IF(ISNUMBER('Rates from Ireland Fedex Priort'!D142),_xlfn.CEILING.MATH('Rates from Ireland Fedex Priort'!D142,1)+IF($A143="EU",Variables!$B$5,Variables!$B$2),'Rates from Ireland Fedex Priort'!D142)</f>
        <v>72</v>
      </c>
      <c r="E143" s="10">
        <f>IF(ISNUMBER('Rates from Ireland Fedex Priort'!E142),_xlfn.CEILING.MATH('Rates from Ireland Fedex Priort'!E142,1)+IF($A143="EU",Variables!$B$6,Variables!$B$3),'Rates from Ireland Fedex Priort'!E142)</f>
        <v>83</v>
      </c>
      <c r="F143" s="10">
        <f>IF(ISNUMBER('Rates from Ireland Fedex Priort'!F142),_xlfn.CEILING.MATH('Rates from Ireland Fedex Priort'!F142,1)+IF($A143="EU",Variables!$B$6,Variables!$B$3),'Rates from Ireland Fedex Priort'!F142)</f>
        <v>88</v>
      </c>
      <c r="G143" s="10">
        <f>IF(ISNUMBER('Rates from Ireland Fedex Priort'!G142),_xlfn.CEILING.MATH('Rates from Ireland Fedex Priort'!G142,1)+IF($A143="EU",Variables!$B$6,Variables!$B$3),'Rates from Ireland Fedex Priort'!G142)</f>
        <v>106</v>
      </c>
      <c r="H143" s="10">
        <f>IF(ISNUMBER('Rates from Ireland Fedex Priort'!H142),_xlfn.CEILING.MATH('Rates from Ireland Fedex Priort'!H142,1)+IF($A143="EU",Variables!$B$6,Variables!$B$3),'Rates from Ireland Fedex Priort'!H142)</f>
        <v>134</v>
      </c>
      <c r="I143" s="10">
        <f>IF(ISNUMBER('Rates from Ireland Fedex Priort'!I142),_xlfn.CEILING.MATH('Rates from Ireland Fedex Priort'!I142,1)+IF($A143="EU",Variables!$B$6,Variables!$B$3),'Rates from Ireland Fedex Priort'!I142)</f>
        <v>242</v>
      </c>
      <c r="J143" s="10" t="str">
        <f>IF(ISNUMBER('Rates from Ireland Fedex Priort'!J142),_xlfn.CEILING.MATH('Rates from Ireland Fedex Priort'!J142,1)+IF($A143="EU",Variables!$B$6,Variables!$B$3),'Rates from Ireland Fedex Priort'!J142)</f>
        <v>No service</v>
      </c>
      <c r="K143" s="10" t="str">
        <f>IF(ISNUMBER('Rates from Ireland Fedex Priort'!K142),_xlfn.CEILING.MATH('Rates from Ireland Fedex Priort'!K142,1)+IF($A143="EU",Variables!$B$6,Variables!$B$3),'Rates from Ireland Fedex Priort'!K142)</f>
        <v>No service</v>
      </c>
      <c r="L143" s="10" t="str">
        <f>IF(ISNUMBER('Rates from Ireland Fedex Priort'!L142),_xlfn.CEILING.MATH('Rates from Ireland Fedex Priort'!L142,1)+IF($A143="EU",Variables!$B$6,Variables!$B$3),'Rates from Ireland Fedex Priort'!L142)</f>
        <v>No service</v>
      </c>
      <c r="M143" s="10" t="str">
        <f>IF(ISNUMBER('Rates from Ireland Fedex Priort'!M142),_xlfn.CEILING.MATH('Rates from Ireland Fedex Priort'!M142,1)+IF($A143="EU",Variables!$B$6,Variables!$B$3),'Rates from Ireland Fedex Priort'!M142)</f>
        <v>No service</v>
      </c>
      <c r="N143" s="10" t="str">
        <f>IF(ISNUMBER('Rates from Ireland Fedex Priort'!N142),_xlfn.CEILING.MATH('Rates from Ireland Fedex Priort'!N142,1)+IF($A143="EU",Variables!$B$6,Variables!$B$3),'Rates from Ireland Fedex Priort'!N142)</f>
        <v>No service</v>
      </c>
      <c r="O143" s="11" t="s">
        <v>35</v>
      </c>
      <c r="P143" s="11" t="s">
        <v>36</v>
      </c>
      <c r="Q143" s="12">
        <v>80</v>
      </c>
      <c r="R143" s="11" t="s">
        <v>25</v>
      </c>
      <c r="S143" s="3" t="s">
        <v>26</v>
      </c>
      <c r="T143" s="38" t="s">
        <v>27</v>
      </c>
    </row>
    <row r="144" spans="1:20" ht="15.75" customHeight="1" x14ac:dyDescent="0.3">
      <c r="A144" s="39" t="str">
        <f>IF('Rates from Ireland Fedex Priort'!A143="","",'Rates from Ireland Fedex Priort'!A143)</f>
        <v>EU</v>
      </c>
      <c r="B144" s="8" t="str">
        <f>IF('Rates from Ireland Fedex Priort'!B143="","",'Rates from Ireland Fedex Priort'!B143)</f>
        <v>Ireland</v>
      </c>
      <c r="C144" s="9" t="str">
        <f>IF('Rates from Ireland Fedex Priort'!C143="","",'Rates from Ireland Fedex Priort'!C143)</f>
        <v>Moldova</v>
      </c>
      <c r="D144" s="10">
        <f>IF(ISNUMBER('Rates from Ireland Fedex Priort'!D143),_xlfn.CEILING.MATH('Rates from Ireland Fedex Priort'!D143,1)+IF($A144="EU",Variables!$B$5,Variables!$B$2),'Rates from Ireland Fedex Priort'!D143)</f>
        <v>76</v>
      </c>
      <c r="E144" s="10">
        <f>IF(ISNUMBER('Rates from Ireland Fedex Priort'!E143),_xlfn.CEILING.MATH('Rates from Ireland Fedex Priort'!E143,1)+IF($A144="EU",Variables!$B$6,Variables!$B$3),'Rates from Ireland Fedex Priort'!E143)</f>
        <v>86</v>
      </c>
      <c r="F144" s="10">
        <f>IF(ISNUMBER('Rates from Ireland Fedex Priort'!F143),_xlfn.CEILING.MATH('Rates from Ireland Fedex Priort'!F143,1)+IF($A144="EU",Variables!$B$6,Variables!$B$3),'Rates from Ireland Fedex Priort'!F143)</f>
        <v>85</v>
      </c>
      <c r="G144" s="10">
        <f>IF(ISNUMBER('Rates from Ireland Fedex Priort'!G143),_xlfn.CEILING.MATH('Rates from Ireland Fedex Priort'!G143,1)+IF($A144="EU",Variables!$B$6,Variables!$B$3),'Rates from Ireland Fedex Priort'!G143)</f>
        <v>94</v>
      </c>
      <c r="H144" s="10">
        <f>IF(ISNUMBER('Rates from Ireland Fedex Priort'!H143),_xlfn.CEILING.MATH('Rates from Ireland Fedex Priort'!H143,1)+IF($A144="EU",Variables!$B$6,Variables!$B$3),'Rates from Ireland Fedex Priort'!H143)</f>
        <v>97</v>
      </c>
      <c r="I144" s="10">
        <f>IF(ISNUMBER('Rates from Ireland Fedex Priort'!I143),_xlfn.CEILING.MATH('Rates from Ireland Fedex Priort'!I143,1)+IF($A144="EU",Variables!$B$6,Variables!$B$3),'Rates from Ireland Fedex Priort'!I143)</f>
        <v>107</v>
      </c>
      <c r="J144" s="10" t="str">
        <f>IF(ISNUMBER('Rates from Ireland Fedex Priort'!J143),_xlfn.CEILING.MATH('Rates from Ireland Fedex Priort'!J143,1)+IF($A144="EU",Variables!$B$6,Variables!$B$3),'Rates from Ireland Fedex Priort'!J143)</f>
        <v>No service</v>
      </c>
      <c r="K144" s="10" t="str">
        <f>IF(ISNUMBER('Rates from Ireland Fedex Priort'!K143),_xlfn.CEILING.MATH('Rates from Ireland Fedex Priort'!K143,1)+IF($A144="EU",Variables!$B$6,Variables!$B$3),'Rates from Ireland Fedex Priort'!K143)</f>
        <v>No service</v>
      </c>
      <c r="L144" s="10" t="str">
        <f>IF(ISNUMBER('Rates from Ireland Fedex Priort'!L143),_xlfn.CEILING.MATH('Rates from Ireland Fedex Priort'!L143,1)+IF($A144="EU",Variables!$B$6,Variables!$B$3),'Rates from Ireland Fedex Priort'!L143)</f>
        <v>No service</v>
      </c>
      <c r="M144" s="10" t="str">
        <f>IF(ISNUMBER('Rates from Ireland Fedex Priort'!M143),_xlfn.CEILING.MATH('Rates from Ireland Fedex Priort'!M143,1)+IF($A144="EU",Variables!$B$6,Variables!$B$3),'Rates from Ireland Fedex Priort'!M143)</f>
        <v>No service</v>
      </c>
      <c r="N144" s="10" t="str">
        <f>IF(ISNUMBER('Rates from Ireland Fedex Priort'!N143),_xlfn.CEILING.MATH('Rates from Ireland Fedex Priort'!N143,1)+IF($A144="EU",Variables!$B$6,Variables!$B$3),'Rates from Ireland Fedex Priort'!N143)</f>
        <v>No service</v>
      </c>
      <c r="O144" s="11" t="s">
        <v>61</v>
      </c>
      <c r="P144" s="11" t="s">
        <v>187</v>
      </c>
      <c r="Q144" s="12">
        <v>80</v>
      </c>
      <c r="R144" s="11" t="s">
        <v>25</v>
      </c>
      <c r="S144" s="3" t="s">
        <v>26</v>
      </c>
      <c r="T144" s="38" t="s">
        <v>27</v>
      </c>
    </row>
    <row r="145" spans="1:20" ht="15.75" customHeight="1" x14ac:dyDescent="0.3">
      <c r="A145" s="39" t="str">
        <f>IF('Rates from Ireland Fedex Priort'!A144="","",'Rates from Ireland Fedex Priort'!A144)</f>
        <v>EU</v>
      </c>
      <c r="B145" s="8" t="str">
        <f>IF('Rates from Ireland Fedex Priort'!B144="","",'Rates from Ireland Fedex Priort'!B144)</f>
        <v>Ireland</v>
      </c>
      <c r="C145" s="9" t="str">
        <f>IF('Rates from Ireland Fedex Priort'!C144="","",'Rates from Ireland Fedex Priort'!C144)</f>
        <v>Monaco</v>
      </c>
      <c r="D145" s="10">
        <f>IF(ISNUMBER('Rates from Ireland Fedex Priort'!D144),_xlfn.CEILING.MATH('Rates from Ireland Fedex Priort'!D144,1)+IF($A145="EU",Variables!$B$5,Variables!$B$2),'Rates from Ireland Fedex Priort'!D144)</f>
        <v>58</v>
      </c>
      <c r="E145" s="10">
        <f>IF(ISNUMBER('Rates from Ireland Fedex Priort'!E144),_xlfn.CEILING.MATH('Rates from Ireland Fedex Priort'!E144,1)+IF($A145="EU",Variables!$B$6,Variables!$B$3),'Rates from Ireland Fedex Priort'!E144)</f>
        <v>60</v>
      </c>
      <c r="F145" s="10">
        <f>IF(ISNUMBER('Rates from Ireland Fedex Priort'!F144),_xlfn.CEILING.MATH('Rates from Ireland Fedex Priort'!F144,1)+IF($A145="EU",Variables!$B$6,Variables!$B$3),'Rates from Ireland Fedex Priort'!F144)</f>
        <v>60</v>
      </c>
      <c r="G145" s="10">
        <f>IF(ISNUMBER('Rates from Ireland Fedex Priort'!G144),_xlfn.CEILING.MATH('Rates from Ireland Fedex Priort'!G144,1)+IF($A145="EU",Variables!$B$6,Variables!$B$3),'Rates from Ireland Fedex Priort'!G144)</f>
        <v>62</v>
      </c>
      <c r="H145" s="10">
        <f>IF(ISNUMBER('Rates from Ireland Fedex Priort'!H144),_xlfn.CEILING.MATH('Rates from Ireland Fedex Priort'!H144,1)+IF($A145="EU",Variables!$B$6,Variables!$B$3),'Rates from Ireland Fedex Priort'!H144)</f>
        <v>66</v>
      </c>
      <c r="I145" s="10">
        <f>IF(ISNUMBER('Rates from Ireland Fedex Priort'!I144),_xlfn.CEILING.MATH('Rates from Ireland Fedex Priort'!I144,1)+IF($A145="EU",Variables!$B$6,Variables!$B$3),'Rates from Ireland Fedex Priort'!I144)</f>
        <v>72</v>
      </c>
      <c r="J145" s="10">
        <f>IF(ISNUMBER('Rates from Ireland Fedex Priort'!J144),_xlfn.CEILING.MATH('Rates from Ireland Fedex Priort'!J144,1)+IF($A145="EU",Variables!$B$6,Variables!$B$3),'Rates from Ireland Fedex Priort'!J144)</f>
        <v>77</v>
      </c>
      <c r="K145" s="10">
        <f>IF(ISNUMBER('Rates from Ireland Fedex Priort'!K144),_xlfn.CEILING.MATH('Rates from Ireland Fedex Priort'!K144,1)+IF($A145="EU",Variables!$B$6,Variables!$B$3),'Rates from Ireland Fedex Priort'!K144)</f>
        <v>82</v>
      </c>
      <c r="L145" s="10">
        <f>IF(ISNUMBER('Rates from Ireland Fedex Priort'!L144),_xlfn.CEILING.MATH('Rates from Ireland Fedex Priort'!L144,1)+IF($A145="EU",Variables!$B$6,Variables!$B$3),'Rates from Ireland Fedex Priort'!L144)</f>
        <v>91</v>
      </c>
      <c r="M145" s="10">
        <f>IF(ISNUMBER('Rates from Ireland Fedex Priort'!M144),_xlfn.CEILING.MATH('Rates from Ireland Fedex Priort'!M144,1)+IF($A145="EU",Variables!$B$6,Variables!$B$3),'Rates from Ireland Fedex Priort'!M144)</f>
        <v>102</v>
      </c>
      <c r="N145" s="10">
        <f>IF(ISNUMBER('Rates from Ireland Fedex Priort'!N144),_xlfn.CEILING.MATH('Rates from Ireland Fedex Priort'!N144,1)+IF($A145="EU",Variables!$B$6,Variables!$B$3),'Rates from Ireland Fedex Priort'!N144)</f>
        <v>113</v>
      </c>
      <c r="O145" s="15" t="s">
        <v>189</v>
      </c>
      <c r="P145" s="15" t="s">
        <v>61</v>
      </c>
      <c r="Q145" s="16">
        <v>80</v>
      </c>
      <c r="R145" s="15" t="s">
        <v>25</v>
      </c>
      <c r="S145" s="17" t="s">
        <v>26</v>
      </c>
      <c r="T145" s="40" t="s">
        <v>27</v>
      </c>
    </row>
    <row r="146" spans="1:20" ht="15.75" customHeight="1" x14ac:dyDescent="0.3">
      <c r="A146" s="39" t="str">
        <f>IF('Rates from Ireland Fedex Priort'!A145="","",'Rates from Ireland Fedex Priort'!A145)</f>
        <v>EU</v>
      </c>
      <c r="B146" s="8" t="str">
        <f>IF('Rates from Ireland Fedex Priort'!B145="","",'Rates from Ireland Fedex Priort'!B145)</f>
        <v>Ireland</v>
      </c>
      <c r="C146" s="9" t="str">
        <f>IF('Rates from Ireland Fedex Priort'!C145="","",'Rates from Ireland Fedex Priort'!C145)</f>
        <v>Mongolia</v>
      </c>
      <c r="D146" s="10">
        <f>IF(ISNUMBER('Rates from Ireland Fedex Priort'!D145),_xlfn.CEILING.MATH('Rates from Ireland Fedex Priort'!D145,1)+IF($A146="EU",Variables!$B$5,Variables!$B$2),'Rates from Ireland Fedex Priort'!D145)</f>
        <v>72</v>
      </c>
      <c r="E146" s="10">
        <f>IF(ISNUMBER('Rates from Ireland Fedex Priort'!E145),_xlfn.CEILING.MATH('Rates from Ireland Fedex Priort'!E145,1)+IF($A146="EU",Variables!$B$6,Variables!$B$3),'Rates from Ireland Fedex Priort'!E145)</f>
        <v>83</v>
      </c>
      <c r="F146" s="10">
        <f>IF(ISNUMBER('Rates from Ireland Fedex Priort'!F145),_xlfn.CEILING.MATH('Rates from Ireland Fedex Priort'!F145,1)+IF($A146="EU",Variables!$B$6,Variables!$B$3),'Rates from Ireland Fedex Priort'!F145)</f>
        <v>88</v>
      </c>
      <c r="G146" s="10">
        <f>IF(ISNUMBER('Rates from Ireland Fedex Priort'!G145),_xlfn.CEILING.MATH('Rates from Ireland Fedex Priort'!G145,1)+IF($A146="EU",Variables!$B$6,Variables!$B$3),'Rates from Ireland Fedex Priort'!G145)</f>
        <v>106</v>
      </c>
      <c r="H146" s="10">
        <f>IF(ISNUMBER('Rates from Ireland Fedex Priort'!H145),_xlfn.CEILING.MATH('Rates from Ireland Fedex Priort'!H145,1)+IF($A146="EU",Variables!$B$6,Variables!$B$3),'Rates from Ireland Fedex Priort'!H145)</f>
        <v>134</v>
      </c>
      <c r="I146" s="10">
        <f>IF(ISNUMBER('Rates from Ireland Fedex Priort'!I145),_xlfn.CEILING.MATH('Rates from Ireland Fedex Priort'!I145,1)+IF($A146="EU",Variables!$B$6,Variables!$B$3),'Rates from Ireland Fedex Priort'!I145)</f>
        <v>242</v>
      </c>
      <c r="J146" s="10" t="str">
        <f>IF(ISNUMBER('Rates from Ireland Fedex Priort'!J145),_xlfn.CEILING.MATH('Rates from Ireland Fedex Priort'!J145,1)+IF($A146="EU",Variables!$B$6,Variables!$B$3),'Rates from Ireland Fedex Priort'!J145)</f>
        <v>No service</v>
      </c>
      <c r="K146" s="10" t="str">
        <f>IF(ISNUMBER('Rates from Ireland Fedex Priort'!K145),_xlfn.CEILING.MATH('Rates from Ireland Fedex Priort'!K145,1)+IF($A146="EU",Variables!$B$6,Variables!$B$3),'Rates from Ireland Fedex Priort'!K145)</f>
        <v>No service</v>
      </c>
      <c r="L146" s="10" t="str">
        <f>IF(ISNUMBER('Rates from Ireland Fedex Priort'!L145),_xlfn.CEILING.MATH('Rates from Ireland Fedex Priort'!L145,1)+IF($A146="EU",Variables!$B$6,Variables!$B$3),'Rates from Ireland Fedex Priort'!L145)</f>
        <v>No service</v>
      </c>
      <c r="M146" s="10" t="str">
        <f>IF(ISNUMBER('Rates from Ireland Fedex Priort'!M145),_xlfn.CEILING.MATH('Rates from Ireland Fedex Priort'!M145,1)+IF($A146="EU",Variables!$B$6,Variables!$B$3),'Rates from Ireland Fedex Priort'!M145)</f>
        <v>No service</v>
      </c>
      <c r="N146" s="10" t="str">
        <f>IF(ISNUMBER('Rates from Ireland Fedex Priort'!N145),_xlfn.CEILING.MATH('Rates from Ireland Fedex Priort'!N145,1)+IF($A146="EU",Variables!$B$6,Variables!$B$3),'Rates from Ireland Fedex Priort'!N145)</f>
        <v>No service</v>
      </c>
      <c r="O146" s="11" t="s">
        <v>35</v>
      </c>
      <c r="P146" s="11" t="s">
        <v>36</v>
      </c>
      <c r="Q146" s="12">
        <v>80</v>
      </c>
      <c r="R146" s="11" t="s">
        <v>25</v>
      </c>
      <c r="S146" s="3" t="s">
        <v>26</v>
      </c>
      <c r="T146" s="38" t="s">
        <v>27</v>
      </c>
    </row>
    <row r="147" spans="1:20" ht="15.75" customHeight="1" x14ac:dyDescent="0.3">
      <c r="A147" s="39" t="str">
        <f>IF('Rates from Ireland Fedex Priort'!A146="","",'Rates from Ireland Fedex Priort'!A146)</f>
        <v>EU</v>
      </c>
      <c r="B147" s="8" t="str">
        <f>IF('Rates from Ireland Fedex Priort'!B146="","",'Rates from Ireland Fedex Priort'!B146)</f>
        <v>Ireland</v>
      </c>
      <c r="C147" s="9" t="str">
        <f>IF('Rates from Ireland Fedex Priort'!C146="","",'Rates from Ireland Fedex Priort'!C146)</f>
        <v>Montenegro</v>
      </c>
      <c r="D147" s="10">
        <f>IF(ISNUMBER('Rates from Ireland Fedex Priort'!D146),_xlfn.CEILING.MATH('Rates from Ireland Fedex Priort'!D146,1)+IF($A147="EU",Variables!$B$5,Variables!$B$2),'Rates from Ireland Fedex Priort'!D146)</f>
        <v>76</v>
      </c>
      <c r="E147" s="10">
        <f>IF(ISNUMBER('Rates from Ireland Fedex Priort'!E146),_xlfn.CEILING.MATH('Rates from Ireland Fedex Priort'!E146,1)+IF($A147="EU",Variables!$B$6,Variables!$B$3),'Rates from Ireland Fedex Priort'!E146)</f>
        <v>85</v>
      </c>
      <c r="F147" s="10">
        <f>IF(ISNUMBER('Rates from Ireland Fedex Priort'!F146),_xlfn.CEILING.MATH('Rates from Ireland Fedex Priort'!F146,1)+IF($A147="EU",Variables!$B$6,Variables!$B$3),'Rates from Ireland Fedex Priort'!F146)</f>
        <v>88</v>
      </c>
      <c r="G147" s="10">
        <f>IF(ISNUMBER('Rates from Ireland Fedex Priort'!G146),_xlfn.CEILING.MATH('Rates from Ireland Fedex Priort'!G146,1)+IF($A147="EU",Variables!$B$6,Variables!$B$3),'Rates from Ireland Fedex Priort'!G146)</f>
        <v>97</v>
      </c>
      <c r="H147" s="10">
        <f>IF(ISNUMBER('Rates from Ireland Fedex Priort'!H146),_xlfn.CEILING.MATH('Rates from Ireland Fedex Priort'!H146,1)+IF($A147="EU",Variables!$B$6,Variables!$B$3),'Rates from Ireland Fedex Priort'!H146)</f>
        <v>102</v>
      </c>
      <c r="I147" s="10">
        <f>IF(ISNUMBER('Rates from Ireland Fedex Priort'!I146),_xlfn.CEILING.MATH('Rates from Ireland Fedex Priort'!I146,1)+IF($A147="EU",Variables!$B$6,Variables!$B$3),'Rates from Ireland Fedex Priort'!I146)</f>
        <v>109</v>
      </c>
      <c r="J147" s="10" t="str">
        <f>IF(ISNUMBER('Rates from Ireland Fedex Priort'!J146),_xlfn.CEILING.MATH('Rates from Ireland Fedex Priort'!J146,1)+IF($A147="EU",Variables!$B$6,Variables!$B$3),'Rates from Ireland Fedex Priort'!J146)</f>
        <v>No service</v>
      </c>
      <c r="K147" s="10" t="str">
        <f>IF(ISNUMBER('Rates from Ireland Fedex Priort'!K146),_xlfn.CEILING.MATH('Rates from Ireland Fedex Priort'!K146,1)+IF($A147="EU",Variables!$B$6,Variables!$B$3),'Rates from Ireland Fedex Priort'!K146)</f>
        <v>No service</v>
      </c>
      <c r="L147" s="10" t="str">
        <f>IF(ISNUMBER('Rates from Ireland Fedex Priort'!L146),_xlfn.CEILING.MATH('Rates from Ireland Fedex Priort'!L146,1)+IF($A147="EU",Variables!$B$6,Variables!$B$3),'Rates from Ireland Fedex Priort'!L146)</f>
        <v>No service</v>
      </c>
      <c r="M147" s="10" t="str">
        <f>IF(ISNUMBER('Rates from Ireland Fedex Priort'!M146),_xlfn.CEILING.MATH('Rates from Ireland Fedex Priort'!M146,1)+IF($A147="EU",Variables!$B$6,Variables!$B$3),'Rates from Ireland Fedex Priort'!M146)</f>
        <v>No service</v>
      </c>
      <c r="N147" s="10" t="str">
        <f>IF(ISNUMBER('Rates from Ireland Fedex Priort'!N146),_xlfn.CEILING.MATH('Rates from Ireland Fedex Priort'!N146,1)+IF($A147="EU",Variables!$B$6,Variables!$B$3),'Rates from Ireland Fedex Priort'!N146)</f>
        <v>No service</v>
      </c>
      <c r="O147" s="11" t="s">
        <v>41</v>
      </c>
      <c r="P147" s="11" t="s">
        <v>192</v>
      </c>
      <c r="Q147" s="12">
        <v>80</v>
      </c>
      <c r="R147" s="11" t="s">
        <v>25</v>
      </c>
      <c r="S147" s="3" t="s">
        <v>26</v>
      </c>
      <c r="T147" s="38" t="s">
        <v>27</v>
      </c>
    </row>
    <row r="148" spans="1:20" ht="15.75" customHeight="1" x14ac:dyDescent="0.3">
      <c r="A148" s="39" t="str">
        <f>IF('Rates from Ireland Fedex Priort'!A147="","",'Rates from Ireland Fedex Priort'!A147)</f>
        <v>EU</v>
      </c>
      <c r="B148" s="8" t="str">
        <f>IF('Rates from Ireland Fedex Priort'!B147="","",'Rates from Ireland Fedex Priort'!B147)</f>
        <v>Ireland</v>
      </c>
      <c r="C148" s="9" t="str">
        <f>IF('Rates from Ireland Fedex Priort'!C147="","",'Rates from Ireland Fedex Priort'!C147)</f>
        <v>Montserrat (BOT)</v>
      </c>
      <c r="D148" s="10">
        <f>IF(ISNUMBER('Rates from Ireland Fedex Priort'!D147),_xlfn.CEILING.MATH('Rates from Ireland Fedex Priort'!D147,1)+IF($A148="EU",Variables!$B$5,Variables!$B$2),'Rates from Ireland Fedex Priort'!D147)</f>
        <v>68</v>
      </c>
      <c r="E148" s="10">
        <f>IF(ISNUMBER('Rates from Ireland Fedex Priort'!E147),_xlfn.CEILING.MATH('Rates from Ireland Fedex Priort'!E147,1)+IF($A148="EU",Variables!$B$6,Variables!$B$3),'Rates from Ireland Fedex Priort'!E147)</f>
        <v>77</v>
      </c>
      <c r="F148" s="10">
        <f>IF(ISNUMBER('Rates from Ireland Fedex Priort'!F147),_xlfn.CEILING.MATH('Rates from Ireland Fedex Priort'!F147,1)+IF($A148="EU",Variables!$B$6,Variables!$B$3),'Rates from Ireland Fedex Priort'!F147)</f>
        <v>81</v>
      </c>
      <c r="G148" s="10">
        <f>IF(ISNUMBER('Rates from Ireland Fedex Priort'!G147),_xlfn.CEILING.MATH('Rates from Ireland Fedex Priort'!G147,1)+IF($A148="EU",Variables!$B$6,Variables!$B$3),'Rates from Ireland Fedex Priort'!G147)</f>
        <v>96</v>
      </c>
      <c r="H148" s="10">
        <f>IF(ISNUMBER('Rates from Ireland Fedex Priort'!H147),_xlfn.CEILING.MATH('Rates from Ireland Fedex Priort'!H147,1)+IF($A148="EU",Variables!$B$6,Variables!$B$3),'Rates from Ireland Fedex Priort'!H147)</f>
        <v>117</v>
      </c>
      <c r="I148" s="10">
        <f>IF(ISNUMBER('Rates from Ireland Fedex Priort'!I147),_xlfn.CEILING.MATH('Rates from Ireland Fedex Priort'!I147,1)+IF($A148="EU",Variables!$B$6,Variables!$B$3),'Rates from Ireland Fedex Priort'!I147)</f>
        <v>219</v>
      </c>
      <c r="J148" s="10" t="str">
        <f>IF(ISNUMBER('Rates from Ireland Fedex Priort'!J147),_xlfn.CEILING.MATH('Rates from Ireland Fedex Priort'!J147,1)+IF($A148="EU",Variables!$B$6,Variables!$B$3),'Rates from Ireland Fedex Priort'!J147)</f>
        <v>No service</v>
      </c>
      <c r="K148" s="10" t="str">
        <f>IF(ISNUMBER('Rates from Ireland Fedex Priort'!K147),_xlfn.CEILING.MATH('Rates from Ireland Fedex Priort'!K147,1)+IF($A148="EU",Variables!$B$6,Variables!$B$3),'Rates from Ireland Fedex Priort'!K147)</f>
        <v>No service</v>
      </c>
      <c r="L148" s="10" t="str">
        <f>IF(ISNUMBER('Rates from Ireland Fedex Priort'!L147),_xlfn.CEILING.MATH('Rates from Ireland Fedex Priort'!L147,1)+IF($A148="EU",Variables!$B$6,Variables!$B$3),'Rates from Ireland Fedex Priort'!L147)</f>
        <v>No service</v>
      </c>
      <c r="M148" s="10" t="str">
        <f>IF(ISNUMBER('Rates from Ireland Fedex Priort'!M147),_xlfn.CEILING.MATH('Rates from Ireland Fedex Priort'!M147,1)+IF($A148="EU",Variables!$B$6,Variables!$B$3),'Rates from Ireland Fedex Priort'!M147)</f>
        <v>No service</v>
      </c>
      <c r="N148" s="10" t="str">
        <f>IF(ISNUMBER('Rates from Ireland Fedex Priort'!N147),_xlfn.CEILING.MATH('Rates from Ireland Fedex Priort'!N147,1)+IF($A148="EU",Variables!$B$6,Variables!$B$3),'Rates from Ireland Fedex Priort'!N147)</f>
        <v>No service</v>
      </c>
      <c r="O148" s="11" t="s">
        <v>41</v>
      </c>
      <c r="P148" s="11" t="s">
        <v>23</v>
      </c>
      <c r="Q148" s="12">
        <v>80</v>
      </c>
      <c r="R148" s="11" t="s">
        <v>25</v>
      </c>
      <c r="S148" s="3" t="s">
        <v>26</v>
      </c>
      <c r="T148" s="38" t="s">
        <v>27</v>
      </c>
    </row>
    <row r="149" spans="1:20" ht="15.75" customHeight="1" x14ac:dyDescent="0.3">
      <c r="A149" s="39" t="str">
        <f>IF('Rates from Ireland Fedex Priort'!A148="","",'Rates from Ireland Fedex Priort'!A148)</f>
        <v>EU</v>
      </c>
      <c r="B149" s="8" t="str">
        <f>IF('Rates from Ireland Fedex Priort'!B148="","",'Rates from Ireland Fedex Priort'!B148)</f>
        <v>Ireland</v>
      </c>
      <c r="C149" s="9" t="str">
        <f>IF('Rates from Ireland Fedex Priort'!C148="","",'Rates from Ireland Fedex Priort'!C148)</f>
        <v>Morocco</v>
      </c>
      <c r="D149" s="10">
        <f>IF(ISNUMBER('Rates from Ireland Fedex Priort'!D148),_xlfn.CEILING.MATH('Rates from Ireland Fedex Priort'!D148,1)+IF($A149="EU",Variables!$B$5,Variables!$B$2),'Rates from Ireland Fedex Priort'!D148)</f>
        <v>62</v>
      </c>
      <c r="E149" s="10">
        <f>IF(ISNUMBER('Rates from Ireland Fedex Priort'!E148),_xlfn.CEILING.MATH('Rates from Ireland Fedex Priort'!E148,1)+IF($A149="EU",Variables!$B$6,Variables!$B$3),'Rates from Ireland Fedex Priort'!E148)</f>
        <v>69</v>
      </c>
      <c r="F149" s="10">
        <f>IF(ISNUMBER('Rates from Ireland Fedex Priort'!F148),_xlfn.CEILING.MATH('Rates from Ireland Fedex Priort'!F148,1)+IF($A149="EU",Variables!$B$6,Variables!$B$3),'Rates from Ireland Fedex Priort'!F148)</f>
        <v>72</v>
      </c>
      <c r="G149" s="10">
        <f>IF(ISNUMBER('Rates from Ireland Fedex Priort'!G148),_xlfn.CEILING.MATH('Rates from Ireland Fedex Priort'!G148,1)+IF($A149="EU",Variables!$B$6,Variables!$B$3),'Rates from Ireland Fedex Priort'!G148)</f>
        <v>86</v>
      </c>
      <c r="H149" s="10">
        <f>IF(ISNUMBER('Rates from Ireland Fedex Priort'!H148),_xlfn.CEILING.MATH('Rates from Ireland Fedex Priort'!H148,1)+IF($A149="EU",Variables!$B$6,Variables!$B$3),'Rates from Ireland Fedex Priort'!H148)</f>
        <v>111</v>
      </c>
      <c r="I149" s="10">
        <f>IF(ISNUMBER('Rates from Ireland Fedex Priort'!I148),_xlfn.CEILING.MATH('Rates from Ireland Fedex Priort'!I148,1)+IF($A149="EU",Variables!$B$6,Variables!$B$3),'Rates from Ireland Fedex Priort'!I148)</f>
        <v>174</v>
      </c>
      <c r="J149" s="10" t="str">
        <f>IF(ISNUMBER('Rates from Ireland Fedex Priort'!J148),_xlfn.CEILING.MATH('Rates from Ireland Fedex Priort'!J148,1)+IF($A149="EU",Variables!$B$6,Variables!$B$3),'Rates from Ireland Fedex Priort'!J148)</f>
        <v>No service</v>
      </c>
      <c r="K149" s="10" t="str">
        <f>IF(ISNUMBER('Rates from Ireland Fedex Priort'!K148),_xlfn.CEILING.MATH('Rates from Ireland Fedex Priort'!K148,1)+IF($A149="EU",Variables!$B$6,Variables!$B$3),'Rates from Ireland Fedex Priort'!K148)</f>
        <v>No service</v>
      </c>
      <c r="L149" s="10" t="str">
        <f>IF(ISNUMBER('Rates from Ireland Fedex Priort'!L148),_xlfn.CEILING.MATH('Rates from Ireland Fedex Priort'!L148,1)+IF($A149="EU",Variables!$B$6,Variables!$B$3),'Rates from Ireland Fedex Priort'!L148)</f>
        <v>No service</v>
      </c>
      <c r="M149" s="10" t="str">
        <f>IF(ISNUMBER('Rates from Ireland Fedex Priort'!M148),_xlfn.CEILING.MATH('Rates from Ireland Fedex Priort'!M148,1)+IF($A149="EU",Variables!$B$6,Variables!$B$3),'Rates from Ireland Fedex Priort'!M148)</f>
        <v>No service</v>
      </c>
      <c r="N149" s="10" t="str">
        <f>IF(ISNUMBER('Rates from Ireland Fedex Priort'!N148),_xlfn.CEILING.MATH('Rates from Ireland Fedex Priort'!N148,1)+IF($A149="EU",Variables!$B$6,Variables!$B$3),'Rates from Ireland Fedex Priort'!N148)</f>
        <v>No service</v>
      </c>
      <c r="O149" s="11" t="s">
        <v>29</v>
      </c>
      <c r="P149" s="11" t="s">
        <v>30</v>
      </c>
      <c r="Q149" s="12">
        <v>80</v>
      </c>
      <c r="R149" s="11" t="s">
        <v>25</v>
      </c>
      <c r="S149" s="3" t="s">
        <v>26</v>
      </c>
      <c r="T149" s="38" t="s">
        <v>27</v>
      </c>
    </row>
    <row r="150" spans="1:20" ht="15.75" customHeight="1" x14ac:dyDescent="0.3">
      <c r="A150" s="39" t="str">
        <f>IF('Rates from Ireland Fedex Priort'!A149="","",'Rates from Ireland Fedex Priort'!A149)</f>
        <v>EU</v>
      </c>
      <c r="B150" s="8" t="str">
        <f>IF('Rates from Ireland Fedex Priort'!B149="","",'Rates from Ireland Fedex Priort'!B149)</f>
        <v>Ireland</v>
      </c>
      <c r="C150" s="9" t="str">
        <f>IF('Rates from Ireland Fedex Priort'!C149="","",'Rates from Ireland Fedex Priort'!C149)</f>
        <v>Mozambique</v>
      </c>
      <c r="D150" s="10">
        <f>IF(ISNUMBER('Rates from Ireland Fedex Priort'!D149),_xlfn.CEILING.MATH('Rates from Ireland Fedex Priort'!D149,1)+IF($A150="EU",Variables!$B$5,Variables!$B$2),'Rates from Ireland Fedex Priort'!D149)</f>
        <v>72</v>
      </c>
      <c r="E150" s="10">
        <f>IF(ISNUMBER('Rates from Ireland Fedex Priort'!E149),_xlfn.CEILING.MATH('Rates from Ireland Fedex Priort'!E149,1)+IF($A150="EU",Variables!$B$6,Variables!$B$3),'Rates from Ireland Fedex Priort'!E149)</f>
        <v>83</v>
      </c>
      <c r="F150" s="10">
        <f>IF(ISNUMBER('Rates from Ireland Fedex Priort'!F149),_xlfn.CEILING.MATH('Rates from Ireland Fedex Priort'!F149,1)+IF($A150="EU",Variables!$B$6,Variables!$B$3),'Rates from Ireland Fedex Priort'!F149)</f>
        <v>88</v>
      </c>
      <c r="G150" s="10">
        <f>IF(ISNUMBER('Rates from Ireland Fedex Priort'!G149),_xlfn.CEILING.MATH('Rates from Ireland Fedex Priort'!G149,1)+IF($A150="EU",Variables!$B$6,Variables!$B$3),'Rates from Ireland Fedex Priort'!G149)</f>
        <v>106</v>
      </c>
      <c r="H150" s="10">
        <f>IF(ISNUMBER('Rates from Ireland Fedex Priort'!H149),_xlfn.CEILING.MATH('Rates from Ireland Fedex Priort'!H149,1)+IF($A150="EU",Variables!$B$6,Variables!$B$3),'Rates from Ireland Fedex Priort'!H149)</f>
        <v>134</v>
      </c>
      <c r="I150" s="10">
        <f>IF(ISNUMBER('Rates from Ireland Fedex Priort'!I149),_xlfn.CEILING.MATH('Rates from Ireland Fedex Priort'!I149,1)+IF($A150="EU",Variables!$B$6,Variables!$B$3),'Rates from Ireland Fedex Priort'!I149)</f>
        <v>242</v>
      </c>
      <c r="J150" s="10" t="str">
        <f>IF(ISNUMBER('Rates from Ireland Fedex Priort'!J149),_xlfn.CEILING.MATH('Rates from Ireland Fedex Priort'!J149,1)+IF($A150="EU",Variables!$B$6,Variables!$B$3),'Rates from Ireland Fedex Priort'!J149)</f>
        <v>No service</v>
      </c>
      <c r="K150" s="10" t="str">
        <f>IF(ISNUMBER('Rates from Ireland Fedex Priort'!K149),_xlfn.CEILING.MATH('Rates from Ireland Fedex Priort'!K149,1)+IF($A150="EU",Variables!$B$6,Variables!$B$3),'Rates from Ireland Fedex Priort'!K149)</f>
        <v>No service</v>
      </c>
      <c r="L150" s="10" t="str">
        <f>IF(ISNUMBER('Rates from Ireland Fedex Priort'!L149),_xlfn.CEILING.MATH('Rates from Ireland Fedex Priort'!L149,1)+IF($A150="EU",Variables!$B$6,Variables!$B$3),'Rates from Ireland Fedex Priort'!L149)</f>
        <v>No service</v>
      </c>
      <c r="M150" s="10" t="str">
        <f>IF(ISNUMBER('Rates from Ireland Fedex Priort'!M149),_xlfn.CEILING.MATH('Rates from Ireland Fedex Priort'!M149,1)+IF($A150="EU",Variables!$B$6,Variables!$B$3),'Rates from Ireland Fedex Priort'!M149)</f>
        <v>No service</v>
      </c>
      <c r="N150" s="10" t="str">
        <f>IF(ISNUMBER('Rates from Ireland Fedex Priort'!N149),_xlfn.CEILING.MATH('Rates from Ireland Fedex Priort'!N149,1)+IF($A150="EU",Variables!$B$6,Variables!$B$3),'Rates from Ireland Fedex Priort'!N149)</f>
        <v>No service</v>
      </c>
      <c r="O150" s="11" t="s">
        <v>35</v>
      </c>
      <c r="P150" s="11" t="s">
        <v>36</v>
      </c>
      <c r="Q150" s="12">
        <v>80</v>
      </c>
      <c r="R150" s="11" t="s">
        <v>25</v>
      </c>
      <c r="S150" s="3" t="s">
        <v>26</v>
      </c>
      <c r="T150" s="38" t="s">
        <v>27</v>
      </c>
    </row>
    <row r="151" spans="1:20" ht="15.75" customHeight="1" x14ac:dyDescent="0.3">
      <c r="A151" s="39" t="str">
        <f>IF('Rates from Ireland Fedex Priort'!A150="","",'Rates from Ireland Fedex Priort'!A150)</f>
        <v>EU</v>
      </c>
      <c r="B151" s="8" t="str">
        <f>IF('Rates from Ireland Fedex Priort'!B150="","",'Rates from Ireland Fedex Priort'!B150)</f>
        <v>Ireland</v>
      </c>
      <c r="C151" s="9" t="str">
        <f>IF('Rates from Ireland Fedex Priort'!C150="","",'Rates from Ireland Fedex Priort'!C150)</f>
        <v>Myanmar</v>
      </c>
      <c r="D151" s="10" t="str">
        <f>IF(ISNUMBER('Rates from Ireland Fedex Priort'!D150),_xlfn.CEILING.MATH('Rates from Ireland Fedex Priort'!D150,1)+IF($A151="EU",Variables!$B$5,Variables!$B$2),'Rates from Ireland Fedex Priort'!D150)</f>
        <v>No service</v>
      </c>
      <c r="E151" s="10" t="str">
        <f>IF(ISNUMBER('Rates from Ireland Fedex Priort'!E150),_xlfn.CEILING.MATH('Rates from Ireland Fedex Priort'!E150,1)+IF($A151="EU",Variables!$B$6,Variables!$B$3),'Rates from Ireland Fedex Priort'!E150)</f>
        <v>No service</v>
      </c>
      <c r="F151" s="10" t="str">
        <f>IF(ISNUMBER('Rates from Ireland Fedex Priort'!F150),_xlfn.CEILING.MATH('Rates from Ireland Fedex Priort'!F150,1)+IF($A151="EU",Variables!$B$6,Variables!$B$3),'Rates from Ireland Fedex Priort'!F150)</f>
        <v>No service</v>
      </c>
      <c r="G151" s="10" t="str">
        <f>IF(ISNUMBER('Rates from Ireland Fedex Priort'!G150),_xlfn.CEILING.MATH('Rates from Ireland Fedex Priort'!G150,1)+IF($A151="EU",Variables!$B$6,Variables!$B$3),'Rates from Ireland Fedex Priort'!G150)</f>
        <v>No service</v>
      </c>
      <c r="H151" s="10" t="str">
        <f>IF(ISNUMBER('Rates from Ireland Fedex Priort'!H150),_xlfn.CEILING.MATH('Rates from Ireland Fedex Priort'!H150,1)+IF($A151="EU",Variables!$B$6,Variables!$B$3),'Rates from Ireland Fedex Priort'!H150)</f>
        <v>No service</v>
      </c>
      <c r="I151" s="10" t="str">
        <f>IF(ISNUMBER('Rates from Ireland Fedex Priort'!I150),_xlfn.CEILING.MATH('Rates from Ireland Fedex Priort'!I150,1)+IF($A151="EU",Variables!$B$6,Variables!$B$3),'Rates from Ireland Fedex Priort'!I150)</f>
        <v>No service</v>
      </c>
      <c r="J151" s="10" t="str">
        <f>IF(ISNUMBER('Rates from Ireland Fedex Priort'!J150),_xlfn.CEILING.MATH('Rates from Ireland Fedex Priort'!J150,1)+IF($A151="EU",Variables!$B$6,Variables!$B$3),'Rates from Ireland Fedex Priort'!J150)</f>
        <v>No service</v>
      </c>
      <c r="K151" s="10" t="str">
        <f>IF(ISNUMBER('Rates from Ireland Fedex Priort'!K150),_xlfn.CEILING.MATH('Rates from Ireland Fedex Priort'!K150,1)+IF($A151="EU",Variables!$B$6,Variables!$B$3),'Rates from Ireland Fedex Priort'!K150)</f>
        <v>No service</v>
      </c>
      <c r="L151" s="10" t="str">
        <f>IF(ISNUMBER('Rates from Ireland Fedex Priort'!L150),_xlfn.CEILING.MATH('Rates from Ireland Fedex Priort'!L150,1)+IF($A151="EU",Variables!$B$6,Variables!$B$3),'Rates from Ireland Fedex Priort'!L150)</f>
        <v>No service</v>
      </c>
      <c r="M151" s="10" t="str">
        <f>IF(ISNUMBER('Rates from Ireland Fedex Priort'!M150),_xlfn.CEILING.MATH('Rates from Ireland Fedex Priort'!M150,1)+IF($A151="EU",Variables!$B$6,Variables!$B$3),'Rates from Ireland Fedex Priort'!M150)</f>
        <v>No service</v>
      </c>
      <c r="N151" s="10" t="str">
        <f>IF(ISNUMBER('Rates from Ireland Fedex Priort'!N150),_xlfn.CEILING.MATH('Rates from Ireland Fedex Priort'!N150,1)+IF($A151="EU",Variables!$B$6,Variables!$B$3),'Rates from Ireland Fedex Priort'!N150)</f>
        <v>No service</v>
      </c>
      <c r="O151" s="11"/>
      <c r="P151" s="11"/>
      <c r="Q151" s="11"/>
      <c r="R151" s="11"/>
      <c r="S151" s="3" t="s">
        <v>26</v>
      </c>
      <c r="T151" s="38" t="s">
        <v>27</v>
      </c>
    </row>
    <row r="152" spans="1:20" ht="15.75" customHeight="1" x14ac:dyDescent="0.3">
      <c r="A152" s="39" t="str">
        <f>IF('Rates from Ireland Fedex Priort'!A151="","",'Rates from Ireland Fedex Priort'!A151)</f>
        <v>EU</v>
      </c>
      <c r="B152" s="8" t="str">
        <f>IF('Rates from Ireland Fedex Priort'!B151="","",'Rates from Ireland Fedex Priort'!B151)</f>
        <v>Ireland</v>
      </c>
      <c r="C152" s="9" t="str">
        <f>IF('Rates from Ireland Fedex Priort'!C151="","",'Rates from Ireland Fedex Priort'!C151)</f>
        <v>Namibia</v>
      </c>
      <c r="D152" s="10">
        <f>IF(ISNUMBER('Rates from Ireland Fedex Priort'!D151),_xlfn.CEILING.MATH('Rates from Ireland Fedex Priort'!D151,1)+IF($A152="EU",Variables!$B$5,Variables!$B$2),'Rates from Ireland Fedex Priort'!D151)</f>
        <v>72</v>
      </c>
      <c r="E152" s="10">
        <f>IF(ISNUMBER('Rates from Ireland Fedex Priort'!E151),_xlfn.CEILING.MATH('Rates from Ireland Fedex Priort'!E151,1)+IF($A152="EU",Variables!$B$6,Variables!$B$3),'Rates from Ireland Fedex Priort'!E151)</f>
        <v>83</v>
      </c>
      <c r="F152" s="10">
        <f>IF(ISNUMBER('Rates from Ireland Fedex Priort'!F151),_xlfn.CEILING.MATH('Rates from Ireland Fedex Priort'!F151,1)+IF($A152="EU",Variables!$B$6,Variables!$B$3),'Rates from Ireland Fedex Priort'!F151)</f>
        <v>88</v>
      </c>
      <c r="G152" s="10">
        <f>IF(ISNUMBER('Rates from Ireland Fedex Priort'!G151),_xlfn.CEILING.MATH('Rates from Ireland Fedex Priort'!G151,1)+IF($A152="EU",Variables!$B$6,Variables!$B$3),'Rates from Ireland Fedex Priort'!G151)</f>
        <v>106</v>
      </c>
      <c r="H152" s="10">
        <f>IF(ISNUMBER('Rates from Ireland Fedex Priort'!H151),_xlfn.CEILING.MATH('Rates from Ireland Fedex Priort'!H151,1)+IF($A152="EU",Variables!$B$6,Variables!$B$3),'Rates from Ireland Fedex Priort'!H151)</f>
        <v>134</v>
      </c>
      <c r="I152" s="10">
        <f>IF(ISNUMBER('Rates from Ireland Fedex Priort'!I151),_xlfn.CEILING.MATH('Rates from Ireland Fedex Priort'!I151,1)+IF($A152="EU",Variables!$B$6,Variables!$B$3),'Rates from Ireland Fedex Priort'!I151)</f>
        <v>242</v>
      </c>
      <c r="J152" s="10" t="str">
        <f>IF(ISNUMBER('Rates from Ireland Fedex Priort'!J151),_xlfn.CEILING.MATH('Rates from Ireland Fedex Priort'!J151,1)+IF($A152="EU",Variables!$B$6,Variables!$B$3),'Rates from Ireland Fedex Priort'!J151)</f>
        <v>No service</v>
      </c>
      <c r="K152" s="10" t="str">
        <f>IF(ISNUMBER('Rates from Ireland Fedex Priort'!K151),_xlfn.CEILING.MATH('Rates from Ireland Fedex Priort'!K151,1)+IF($A152="EU",Variables!$B$6,Variables!$B$3),'Rates from Ireland Fedex Priort'!K151)</f>
        <v>No service</v>
      </c>
      <c r="L152" s="10" t="str">
        <f>IF(ISNUMBER('Rates from Ireland Fedex Priort'!L151),_xlfn.CEILING.MATH('Rates from Ireland Fedex Priort'!L151,1)+IF($A152="EU",Variables!$B$6,Variables!$B$3),'Rates from Ireland Fedex Priort'!L151)</f>
        <v>No service</v>
      </c>
      <c r="M152" s="10" t="str">
        <f>IF(ISNUMBER('Rates from Ireland Fedex Priort'!M151),_xlfn.CEILING.MATH('Rates from Ireland Fedex Priort'!M151,1)+IF($A152="EU",Variables!$B$6,Variables!$B$3),'Rates from Ireland Fedex Priort'!M151)</f>
        <v>No service</v>
      </c>
      <c r="N152" s="10" t="str">
        <f>IF(ISNUMBER('Rates from Ireland Fedex Priort'!N151),_xlfn.CEILING.MATH('Rates from Ireland Fedex Priort'!N151,1)+IF($A152="EU",Variables!$B$6,Variables!$B$3),'Rates from Ireland Fedex Priort'!N151)</f>
        <v>No service</v>
      </c>
      <c r="O152" s="11" t="s">
        <v>35</v>
      </c>
      <c r="P152" s="11" t="s">
        <v>36</v>
      </c>
      <c r="Q152" s="12">
        <v>80</v>
      </c>
      <c r="R152" s="11" t="s">
        <v>25</v>
      </c>
      <c r="S152" s="3" t="s">
        <v>26</v>
      </c>
      <c r="T152" s="38" t="s">
        <v>27</v>
      </c>
    </row>
    <row r="153" spans="1:20" ht="15.75" customHeight="1" x14ac:dyDescent="0.3">
      <c r="A153" s="39" t="str">
        <f>IF('Rates from Ireland Fedex Priort'!A152="","",'Rates from Ireland Fedex Priort'!A152)</f>
        <v>EU</v>
      </c>
      <c r="B153" s="8" t="str">
        <f>IF('Rates from Ireland Fedex Priort'!B152="","",'Rates from Ireland Fedex Priort'!B152)</f>
        <v>Ireland</v>
      </c>
      <c r="C153" s="9" t="str">
        <f>IF('Rates from Ireland Fedex Priort'!C152="","",'Rates from Ireland Fedex Priort'!C152)</f>
        <v>Nauru</v>
      </c>
      <c r="D153" s="10" t="str">
        <f>IF(ISNUMBER('Rates from Ireland Fedex Priort'!D152),_xlfn.CEILING.MATH('Rates from Ireland Fedex Priort'!D152,1)+IF($A153="EU",Variables!$B$5,Variables!$B$2),'Rates from Ireland Fedex Priort'!D152)</f>
        <v>No service</v>
      </c>
      <c r="E153" s="10" t="str">
        <f>IF(ISNUMBER('Rates from Ireland Fedex Priort'!E152),_xlfn.CEILING.MATH('Rates from Ireland Fedex Priort'!E152,1)+IF($A153="EU",Variables!$B$6,Variables!$B$3),'Rates from Ireland Fedex Priort'!E152)</f>
        <v>No service</v>
      </c>
      <c r="F153" s="10" t="str">
        <f>IF(ISNUMBER('Rates from Ireland Fedex Priort'!F152),_xlfn.CEILING.MATH('Rates from Ireland Fedex Priort'!F152,1)+IF($A153="EU",Variables!$B$6,Variables!$B$3),'Rates from Ireland Fedex Priort'!F152)</f>
        <v>No service</v>
      </c>
      <c r="G153" s="10" t="str">
        <f>IF(ISNUMBER('Rates from Ireland Fedex Priort'!G152),_xlfn.CEILING.MATH('Rates from Ireland Fedex Priort'!G152,1)+IF($A153="EU",Variables!$B$6,Variables!$B$3),'Rates from Ireland Fedex Priort'!G152)</f>
        <v>No service</v>
      </c>
      <c r="H153" s="10" t="str">
        <f>IF(ISNUMBER('Rates from Ireland Fedex Priort'!H152),_xlfn.CEILING.MATH('Rates from Ireland Fedex Priort'!H152,1)+IF($A153="EU",Variables!$B$6,Variables!$B$3),'Rates from Ireland Fedex Priort'!H152)</f>
        <v>No service</v>
      </c>
      <c r="I153" s="10" t="str">
        <f>IF(ISNUMBER('Rates from Ireland Fedex Priort'!I152),_xlfn.CEILING.MATH('Rates from Ireland Fedex Priort'!I152,1)+IF($A153="EU",Variables!$B$6,Variables!$B$3),'Rates from Ireland Fedex Priort'!I152)</f>
        <v>No service</v>
      </c>
      <c r="J153" s="10" t="str">
        <f>IF(ISNUMBER('Rates from Ireland Fedex Priort'!J152),_xlfn.CEILING.MATH('Rates from Ireland Fedex Priort'!J152,1)+IF($A153="EU",Variables!$B$6,Variables!$B$3),'Rates from Ireland Fedex Priort'!J152)</f>
        <v>No service</v>
      </c>
      <c r="K153" s="10" t="str">
        <f>IF(ISNUMBER('Rates from Ireland Fedex Priort'!K152),_xlfn.CEILING.MATH('Rates from Ireland Fedex Priort'!K152,1)+IF($A153="EU",Variables!$B$6,Variables!$B$3),'Rates from Ireland Fedex Priort'!K152)</f>
        <v>No service</v>
      </c>
      <c r="L153" s="10" t="str">
        <f>IF(ISNUMBER('Rates from Ireland Fedex Priort'!L152),_xlfn.CEILING.MATH('Rates from Ireland Fedex Priort'!L152,1)+IF($A153="EU",Variables!$B$6,Variables!$B$3),'Rates from Ireland Fedex Priort'!L152)</f>
        <v>No service</v>
      </c>
      <c r="M153" s="10" t="str">
        <f>IF(ISNUMBER('Rates from Ireland Fedex Priort'!M152),_xlfn.CEILING.MATH('Rates from Ireland Fedex Priort'!M152,1)+IF($A153="EU",Variables!$B$6,Variables!$B$3),'Rates from Ireland Fedex Priort'!M152)</f>
        <v>No service</v>
      </c>
      <c r="N153" s="10" t="str">
        <f>IF(ISNUMBER('Rates from Ireland Fedex Priort'!N152),_xlfn.CEILING.MATH('Rates from Ireland Fedex Priort'!N152,1)+IF($A153="EU",Variables!$B$6,Variables!$B$3),'Rates from Ireland Fedex Priort'!N152)</f>
        <v>No service</v>
      </c>
      <c r="O153" s="11"/>
      <c r="P153" s="11"/>
      <c r="Q153" s="11"/>
      <c r="R153" s="11"/>
      <c r="S153" s="3" t="s">
        <v>26</v>
      </c>
      <c r="T153" s="38" t="s">
        <v>27</v>
      </c>
    </row>
    <row r="154" spans="1:20" ht="15.75" customHeight="1" x14ac:dyDescent="0.3">
      <c r="A154" s="39" t="str">
        <f>IF('Rates from Ireland Fedex Priort'!A153="","",'Rates from Ireland Fedex Priort'!A153)</f>
        <v>EU</v>
      </c>
      <c r="B154" s="8" t="str">
        <f>IF('Rates from Ireland Fedex Priort'!B153="","",'Rates from Ireland Fedex Priort'!B153)</f>
        <v>Ireland</v>
      </c>
      <c r="C154" s="9" t="str">
        <f>IF('Rates from Ireland Fedex Priort'!C153="","",'Rates from Ireland Fedex Priort'!C153)</f>
        <v>Nepal</v>
      </c>
      <c r="D154" s="10">
        <f>IF(ISNUMBER('Rates from Ireland Fedex Priort'!D153),_xlfn.CEILING.MATH('Rates from Ireland Fedex Priort'!D153,1)+IF($A154="EU",Variables!$B$5,Variables!$B$2),'Rates from Ireland Fedex Priort'!D153)</f>
        <v>62</v>
      </c>
      <c r="E154" s="10">
        <f>IF(ISNUMBER('Rates from Ireland Fedex Priort'!E153),_xlfn.CEILING.MATH('Rates from Ireland Fedex Priort'!E153,1)+IF($A154="EU",Variables!$B$6,Variables!$B$3),'Rates from Ireland Fedex Priort'!E153)</f>
        <v>69</v>
      </c>
      <c r="F154" s="10">
        <f>IF(ISNUMBER('Rates from Ireland Fedex Priort'!F153),_xlfn.CEILING.MATH('Rates from Ireland Fedex Priort'!F153,1)+IF($A154="EU",Variables!$B$6,Variables!$B$3),'Rates from Ireland Fedex Priort'!F153)</f>
        <v>72</v>
      </c>
      <c r="G154" s="10">
        <f>IF(ISNUMBER('Rates from Ireland Fedex Priort'!G153),_xlfn.CEILING.MATH('Rates from Ireland Fedex Priort'!G153,1)+IF($A154="EU",Variables!$B$6,Variables!$B$3),'Rates from Ireland Fedex Priort'!G153)</f>
        <v>86</v>
      </c>
      <c r="H154" s="10">
        <f>IF(ISNUMBER('Rates from Ireland Fedex Priort'!H153),_xlfn.CEILING.MATH('Rates from Ireland Fedex Priort'!H153,1)+IF($A154="EU",Variables!$B$6,Variables!$B$3),'Rates from Ireland Fedex Priort'!H153)</f>
        <v>111</v>
      </c>
      <c r="I154" s="10">
        <f>IF(ISNUMBER('Rates from Ireland Fedex Priort'!I153),_xlfn.CEILING.MATH('Rates from Ireland Fedex Priort'!I153,1)+IF($A154="EU",Variables!$B$6,Variables!$B$3),'Rates from Ireland Fedex Priort'!I153)</f>
        <v>174</v>
      </c>
      <c r="J154" s="10" t="str">
        <f>IF(ISNUMBER('Rates from Ireland Fedex Priort'!J153),_xlfn.CEILING.MATH('Rates from Ireland Fedex Priort'!J153,1)+IF($A154="EU",Variables!$B$6,Variables!$B$3),'Rates from Ireland Fedex Priort'!J153)</f>
        <v>No service</v>
      </c>
      <c r="K154" s="10" t="str">
        <f>IF(ISNUMBER('Rates from Ireland Fedex Priort'!K153),_xlfn.CEILING.MATH('Rates from Ireland Fedex Priort'!K153,1)+IF($A154="EU",Variables!$B$6,Variables!$B$3),'Rates from Ireland Fedex Priort'!K153)</f>
        <v>No service</v>
      </c>
      <c r="L154" s="10" t="str">
        <f>IF(ISNUMBER('Rates from Ireland Fedex Priort'!L153),_xlfn.CEILING.MATH('Rates from Ireland Fedex Priort'!L153,1)+IF($A154="EU",Variables!$B$6,Variables!$B$3),'Rates from Ireland Fedex Priort'!L153)</f>
        <v>No service</v>
      </c>
      <c r="M154" s="10" t="str">
        <f>IF(ISNUMBER('Rates from Ireland Fedex Priort'!M153),_xlfn.CEILING.MATH('Rates from Ireland Fedex Priort'!M153,1)+IF($A154="EU",Variables!$B$6,Variables!$B$3),'Rates from Ireland Fedex Priort'!M153)</f>
        <v>No service</v>
      </c>
      <c r="N154" s="10" t="str">
        <f>IF(ISNUMBER('Rates from Ireland Fedex Priort'!N153),_xlfn.CEILING.MATH('Rates from Ireland Fedex Priort'!N153,1)+IF($A154="EU",Variables!$B$6,Variables!$B$3),'Rates from Ireland Fedex Priort'!N153)</f>
        <v>No service</v>
      </c>
      <c r="O154" s="11" t="s">
        <v>29</v>
      </c>
      <c r="P154" s="11" t="s">
        <v>30</v>
      </c>
      <c r="Q154" s="12">
        <v>80</v>
      </c>
      <c r="R154" s="11" t="s">
        <v>25</v>
      </c>
      <c r="S154" s="3" t="s">
        <v>26</v>
      </c>
      <c r="T154" s="38" t="s">
        <v>27</v>
      </c>
    </row>
    <row r="155" spans="1:20" ht="15.75" customHeight="1" x14ac:dyDescent="0.3">
      <c r="A155" s="39" t="str">
        <f>IF('Rates from Ireland Fedex Priort'!A154="","",'Rates from Ireland Fedex Priort'!A154)</f>
        <v>EU</v>
      </c>
      <c r="B155" s="8" t="str">
        <f>IF('Rates from Ireland Fedex Priort'!B154="","",'Rates from Ireland Fedex Priort'!B154)</f>
        <v>Ireland</v>
      </c>
      <c r="C155" s="9" t="str">
        <f>IF('Rates from Ireland Fedex Priort'!C154="","",'Rates from Ireland Fedex Priort'!C154)</f>
        <v>Netherlands</v>
      </c>
      <c r="D155" s="10">
        <f>IF(ISNUMBER('Rates from Ireland Fedex Priort'!D154),_xlfn.CEILING.MATH('Rates from Ireland Fedex Priort'!D154,1)+IF($A155="EU",Variables!$B$5,Variables!$B$2),'Rates from Ireland Fedex Priort'!D154)</f>
        <v>62</v>
      </c>
      <c r="E155" s="10">
        <f>IF(ISNUMBER('Rates from Ireland Fedex Priort'!E154),_xlfn.CEILING.MATH('Rates from Ireland Fedex Priort'!E154,1)+IF($A155="EU",Variables!$B$6,Variables!$B$3),'Rates from Ireland Fedex Priort'!E154)</f>
        <v>64</v>
      </c>
      <c r="F155" s="10">
        <f>IF(ISNUMBER('Rates from Ireland Fedex Priort'!F154),_xlfn.CEILING.MATH('Rates from Ireland Fedex Priort'!F154,1)+IF($A155="EU",Variables!$B$6,Variables!$B$3),'Rates from Ireland Fedex Priort'!F154)</f>
        <v>67</v>
      </c>
      <c r="G155" s="10">
        <f>IF(ISNUMBER('Rates from Ireland Fedex Priort'!G154),_xlfn.CEILING.MATH('Rates from Ireland Fedex Priort'!G154,1)+IF($A155="EU",Variables!$B$6,Variables!$B$3),'Rates from Ireland Fedex Priort'!G154)</f>
        <v>69</v>
      </c>
      <c r="H155" s="10">
        <f>IF(ISNUMBER('Rates from Ireland Fedex Priort'!H154),_xlfn.CEILING.MATH('Rates from Ireland Fedex Priort'!H154,1)+IF($A155="EU",Variables!$B$6,Variables!$B$3),'Rates from Ireland Fedex Priort'!H154)</f>
        <v>72</v>
      </c>
      <c r="I155" s="10">
        <f>IF(ISNUMBER('Rates from Ireland Fedex Priort'!I154),_xlfn.CEILING.MATH('Rates from Ireland Fedex Priort'!I154,1)+IF($A155="EU",Variables!$B$6,Variables!$B$3),'Rates from Ireland Fedex Priort'!I154)</f>
        <v>77</v>
      </c>
      <c r="J155" s="10">
        <f>IF(ISNUMBER('Rates from Ireland Fedex Priort'!J154),_xlfn.CEILING.MATH('Rates from Ireland Fedex Priort'!J154,1)+IF($A155="EU",Variables!$B$6,Variables!$B$3),'Rates from Ireland Fedex Priort'!J154)</f>
        <v>85</v>
      </c>
      <c r="K155" s="10">
        <f>IF(ISNUMBER('Rates from Ireland Fedex Priort'!K154),_xlfn.CEILING.MATH('Rates from Ireland Fedex Priort'!K154,1)+IF($A155="EU",Variables!$B$6,Variables!$B$3),'Rates from Ireland Fedex Priort'!K154)</f>
        <v>92</v>
      </c>
      <c r="L155" s="10">
        <f>IF(ISNUMBER('Rates from Ireland Fedex Priort'!L154),_xlfn.CEILING.MATH('Rates from Ireland Fedex Priort'!L154,1)+IF($A155="EU",Variables!$B$6,Variables!$B$3),'Rates from Ireland Fedex Priort'!L154)</f>
        <v>119</v>
      </c>
      <c r="M155" s="10">
        <f>IF(ISNUMBER('Rates from Ireland Fedex Priort'!M154),_xlfn.CEILING.MATH('Rates from Ireland Fedex Priort'!M154,1)+IF($A155="EU",Variables!$B$6,Variables!$B$3),'Rates from Ireland Fedex Priort'!M154)</f>
        <v>127</v>
      </c>
      <c r="N155" s="10">
        <f>IF(ISNUMBER('Rates from Ireland Fedex Priort'!N154),_xlfn.CEILING.MATH('Rates from Ireland Fedex Priort'!N154,1)+IF($A155="EU",Variables!$B$6,Variables!$B$3),'Rates from Ireland Fedex Priort'!N154)</f>
        <v>132</v>
      </c>
      <c r="O155" s="15" t="s">
        <v>178</v>
      </c>
      <c r="P155" s="15" t="s">
        <v>201</v>
      </c>
      <c r="Q155" s="16">
        <v>80</v>
      </c>
      <c r="R155" s="15" t="s">
        <v>25</v>
      </c>
      <c r="S155" s="17" t="s">
        <v>26</v>
      </c>
      <c r="T155" s="40" t="s">
        <v>27</v>
      </c>
    </row>
    <row r="156" spans="1:20" ht="15.75" customHeight="1" x14ac:dyDescent="0.3">
      <c r="A156" s="39" t="str">
        <f>IF('Rates from Ireland Fedex Priort'!A155="","",'Rates from Ireland Fedex Priort'!A155)</f>
        <v>EU</v>
      </c>
      <c r="B156" s="8" t="str">
        <f>IF('Rates from Ireland Fedex Priort'!B155="","",'Rates from Ireland Fedex Priort'!B155)</f>
        <v>Ireland</v>
      </c>
      <c r="C156" s="9" t="str">
        <f>IF('Rates from Ireland Fedex Priort'!C155="","",'Rates from Ireland Fedex Priort'!C155)</f>
        <v>New Caledonia (France)</v>
      </c>
      <c r="D156" s="10">
        <f>IF(ISNUMBER('Rates from Ireland Fedex Priort'!D155),_xlfn.CEILING.MATH('Rates from Ireland Fedex Priort'!D155,1)+IF($A156="EU",Variables!$B$5,Variables!$B$2),'Rates from Ireland Fedex Priort'!D155)</f>
        <v>72</v>
      </c>
      <c r="E156" s="10">
        <f>IF(ISNUMBER('Rates from Ireland Fedex Priort'!E155),_xlfn.CEILING.MATH('Rates from Ireland Fedex Priort'!E155,1)+IF($A156="EU",Variables!$B$6,Variables!$B$3),'Rates from Ireland Fedex Priort'!E155)</f>
        <v>83</v>
      </c>
      <c r="F156" s="10">
        <f>IF(ISNUMBER('Rates from Ireland Fedex Priort'!F155),_xlfn.CEILING.MATH('Rates from Ireland Fedex Priort'!F155,1)+IF($A156="EU",Variables!$B$6,Variables!$B$3),'Rates from Ireland Fedex Priort'!F155)</f>
        <v>88</v>
      </c>
      <c r="G156" s="10">
        <f>IF(ISNUMBER('Rates from Ireland Fedex Priort'!G155),_xlfn.CEILING.MATH('Rates from Ireland Fedex Priort'!G155,1)+IF($A156="EU",Variables!$B$6,Variables!$B$3),'Rates from Ireland Fedex Priort'!G155)</f>
        <v>106</v>
      </c>
      <c r="H156" s="10">
        <f>IF(ISNUMBER('Rates from Ireland Fedex Priort'!H155),_xlfn.CEILING.MATH('Rates from Ireland Fedex Priort'!H155,1)+IF($A156="EU",Variables!$B$6,Variables!$B$3),'Rates from Ireland Fedex Priort'!H155)</f>
        <v>134</v>
      </c>
      <c r="I156" s="10">
        <f>IF(ISNUMBER('Rates from Ireland Fedex Priort'!I155),_xlfn.CEILING.MATH('Rates from Ireland Fedex Priort'!I155,1)+IF($A156="EU",Variables!$B$6,Variables!$B$3),'Rates from Ireland Fedex Priort'!I155)</f>
        <v>242</v>
      </c>
      <c r="J156" s="10" t="str">
        <f>IF(ISNUMBER('Rates from Ireland Fedex Priort'!J155),_xlfn.CEILING.MATH('Rates from Ireland Fedex Priort'!J155,1)+IF($A156="EU",Variables!$B$6,Variables!$B$3),'Rates from Ireland Fedex Priort'!J155)</f>
        <v>No service</v>
      </c>
      <c r="K156" s="10" t="str">
        <f>IF(ISNUMBER('Rates from Ireland Fedex Priort'!K155),_xlfn.CEILING.MATH('Rates from Ireland Fedex Priort'!K155,1)+IF($A156="EU",Variables!$B$6,Variables!$B$3),'Rates from Ireland Fedex Priort'!K155)</f>
        <v>No service</v>
      </c>
      <c r="L156" s="10" t="str">
        <f>IF(ISNUMBER('Rates from Ireland Fedex Priort'!L155),_xlfn.CEILING.MATH('Rates from Ireland Fedex Priort'!L155,1)+IF($A156="EU",Variables!$B$6,Variables!$B$3),'Rates from Ireland Fedex Priort'!L155)</f>
        <v>No service</v>
      </c>
      <c r="M156" s="10" t="str">
        <f>IF(ISNUMBER('Rates from Ireland Fedex Priort'!M155),_xlfn.CEILING.MATH('Rates from Ireland Fedex Priort'!M155,1)+IF($A156="EU",Variables!$B$6,Variables!$B$3),'Rates from Ireland Fedex Priort'!M155)</f>
        <v>No service</v>
      </c>
      <c r="N156" s="10" t="str">
        <f>IF(ISNUMBER('Rates from Ireland Fedex Priort'!N155),_xlfn.CEILING.MATH('Rates from Ireland Fedex Priort'!N155,1)+IF($A156="EU",Variables!$B$6,Variables!$B$3),'Rates from Ireland Fedex Priort'!N155)</f>
        <v>No service</v>
      </c>
      <c r="O156" s="11" t="s">
        <v>35</v>
      </c>
      <c r="P156" s="11" t="s">
        <v>36</v>
      </c>
      <c r="Q156" s="12">
        <v>80</v>
      </c>
      <c r="R156" s="11" t="s">
        <v>25</v>
      </c>
      <c r="S156" s="3" t="s">
        <v>26</v>
      </c>
      <c r="T156" s="38" t="s">
        <v>27</v>
      </c>
    </row>
    <row r="157" spans="1:20" ht="15.75" customHeight="1" x14ac:dyDescent="0.3">
      <c r="A157" s="39" t="str">
        <f>IF('Rates from Ireland Fedex Priort'!A156="","",'Rates from Ireland Fedex Priort'!A156)</f>
        <v>EU</v>
      </c>
      <c r="B157" s="8" t="str">
        <f>IF('Rates from Ireland Fedex Priort'!B156="","",'Rates from Ireland Fedex Priort'!B156)</f>
        <v>Ireland</v>
      </c>
      <c r="C157" s="9" t="str">
        <f>IF('Rates from Ireland Fedex Priort'!C156="","",'Rates from Ireland Fedex Priort'!C156)</f>
        <v>New Zealand</v>
      </c>
      <c r="D157" s="10">
        <f>IF(ISNUMBER('Rates from Ireland Fedex Priort'!D156),_xlfn.CEILING.MATH('Rates from Ireland Fedex Priort'!D156,1)+IF($A157="EU",Variables!$B$5,Variables!$B$2),'Rates from Ireland Fedex Priort'!D156)</f>
        <v>88</v>
      </c>
      <c r="E157" s="10">
        <f>IF(ISNUMBER('Rates from Ireland Fedex Priort'!E156),_xlfn.CEILING.MATH('Rates from Ireland Fedex Priort'!E156,1)+IF($A157="EU",Variables!$B$6,Variables!$B$3),'Rates from Ireland Fedex Priort'!E156)</f>
        <v>104</v>
      </c>
      <c r="F157" s="10">
        <f>IF(ISNUMBER('Rates from Ireland Fedex Priort'!F156),_xlfn.CEILING.MATH('Rates from Ireland Fedex Priort'!F156,1)+IF($A157="EU",Variables!$B$6,Variables!$B$3),'Rates from Ireland Fedex Priort'!F156)</f>
        <v>113</v>
      </c>
      <c r="G157" s="10">
        <f>IF(ISNUMBER('Rates from Ireland Fedex Priort'!G156),_xlfn.CEILING.MATH('Rates from Ireland Fedex Priort'!G156,1)+IF($A157="EU",Variables!$B$6,Variables!$B$3),'Rates from Ireland Fedex Priort'!G156)</f>
        <v>148</v>
      </c>
      <c r="H157" s="10">
        <f>IF(ISNUMBER('Rates from Ireland Fedex Priort'!H156),_xlfn.CEILING.MATH('Rates from Ireland Fedex Priort'!H156,1)+IF($A157="EU",Variables!$B$6,Variables!$B$3),'Rates from Ireland Fedex Priort'!H156)</f>
        <v>194</v>
      </c>
      <c r="I157" s="10">
        <f>IF(ISNUMBER('Rates from Ireland Fedex Priort'!I156),_xlfn.CEILING.MATH('Rates from Ireland Fedex Priort'!I156,1)+IF($A157="EU",Variables!$B$6,Variables!$B$3),'Rates from Ireland Fedex Priort'!I156)</f>
        <v>275</v>
      </c>
      <c r="J157" s="10" t="str">
        <f>IF(ISNUMBER('Rates from Ireland Fedex Priort'!J156),_xlfn.CEILING.MATH('Rates from Ireland Fedex Priort'!J156,1)+IF($A157="EU",Variables!$B$6,Variables!$B$3),'Rates from Ireland Fedex Priort'!J156)</f>
        <v>No service</v>
      </c>
      <c r="K157" s="10" t="str">
        <f>IF(ISNUMBER('Rates from Ireland Fedex Priort'!K156),_xlfn.CEILING.MATH('Rates from Ireland Fedex Priort'!K156,1)+IF($A157="EU",Variables!$B$6,Variables!$B$3),'Rates from Ireland Fedex Priort'!K156)</f>
        <v>No service</v>
      </c>
      <c r="L157" s="10" t="str">
        <f>IF(ISNUMBER('Rates from Ireland Fedex Priort'!L156),_xlfn.CEILING.MATH('Rates from Ireland Fedex Priort'!L156,1)+IF($A157="EU",Variables!$B$6,Variables!$B$3),'Rates from Ireland Fedex Priort'!L156)</f>
        <v>No service</v>
      </c>
      <c r="M157" s="10" t="str">
        <f>IF(ISNUMBER('Rates from Ireland Fedex Priort'!M156),_xlfn.CEILING.MATH('Rates from Ireland Fedex Priort'!M156,1)+IF($A157="EU",Variables!$B$6,Variables!$B$3),'Rates from Ireland Fedex Priort'!M156)</f>
        <v>No service</v>
      </c>
      <c r="N157" s="10" t="str">
        <f>IF(ISNUMBER('Rates from Ireland Fedex Priort'!N156),_xlfn.CEILING.MATH('Rates from Ireland Fedex Priort'!N156,1)+IF($A157="EU",Variables!$B$6,Variables!$B$3),'Rates from Ireland Fedex Priort'!N156)</f>
        <v>No service</v>
      </c>
      <c r="O157" s="11" t="s">
        <v>41</v>
      </c>
      <c r="P157" s="11" t="s">
        <v>23</v>
      </c>
      <c r="Q157" s="12">
        <v>80</v>
      </c>
      <c r="R157" s="11" t="s">
        <v>25</v>
      </c>
      <c r="S157" s="3" t="s">
        <v>26</v>
      </c>
      <c r="T157" s="38" t="s">
        <v>27</v>
      </c>
    </row>
    <row r="158" spans="1:20" ht="15.75" customHeight="1" x14ac:dyDescent="0.3">
      <c r="A158" s="39" t="str">
        <f>IF('Rates from Ireland Fedex Priort'!A157="","",'Rates from Ireland Fedex Priort'!A157)</f>
        <v>EU</v>
      </c>
      <c r="B158" s="8" t="str">
        <f>IF('Rates from Ireland Fedex Priort'!B157="","",'Rates from Ireland Fedex Priort'!B157)</f>
        <v>Ireland</v>
      </c>
      <c r="C158" s="9" t="str">
        <f>IF('Rates from Ireland Fedex Priort'!C157="","",'Rates from Ireland Fedex Priort'!C157)</f>
        <v>Nicaragua</v>
      </c>
      <c r="D158" s="10">
        <f>IF(ISNUMBER('Rates from Ireland Fedex Priort'!D157),_xlfn.CEILING.MATH('Rates from Ireland Fedex Priort'!D157,1)+IF($A158="EU",Variables!$B$5,Variables!$B$2),'Rates from Ireland Fedex Priort'!D157)</f>
        <v>68</v>
      </c>
      <c r="E158" s="10">
        <f>IF(ISNUMBER('Rates from Ireland Fedex Priort'!E157),_xlfn.CEILING.MATH('Rates from Ireland Fedex Priort'!E157,1)+IF($A158="EU",Variables!$B$6,Variables!$B$3),'Rates from Ireland Fedex Priort'!E157)</f>
        <v>77</v>
      </c>
      <c r="F158" s="10">
        <f>IF(ISNUMBER('Rates from Ireland Fedex Priort'!F157),_xlfn.CEILING.MATH('Rates from Ireland Fedex Priort'!F157,1)+IF($A158="EU",Variables!$B$6,Variables!$B$3),'Rates from Ireland Fedex Priort'!F157)</f>
        <v>81</v>
      </c>
      <c r="G158" s="10">
        <f>IF(ISNUMBER('Rates from Ireland Fedex Priort'!G157),_xlfn.CEILING.MATH('Rates from Ireland Fedex Priort'!G157,1)+IF($A158="EU",Variables!$B$6,Variables!$B$3),'Rates from Ireland Fedex Priort'!G157)</f>
        <v>96</v>
      </c>
      <c r="H158" s="10">
        <f>IF(ISNUMBER('Rates from Ireland Fedex Priort'!H157),_xlfn.CEILING.MATH('Rates from Ireland Fedex Priort'!H157,1)+IF($A158="EU",Variables!$B$6,Variables!$B$3),'Rates from Ireland Fedex Priort'!H157)</f>
        <v>117</v>
      </c>
      <c r="I158" s="10">
        <f>IF(ISNUMBER('Rates from Ireland Fedex Priort'!I157),_xlfn.CEILING.MATH('Rates from Ireland Fedex Priort'!I157,1)+IF($A158="EU",Variables!$B$6,Variables!$B$3),'Rates from Ireland Fedex Priort'!I157)</f>
        <v>219</v>
      </c>
      <c r="J158" s="10" t="str">
        <f>IF(ISNUMBER('Rates from Ireland Fedex Priort'!J157),_xlfn.CEILING.MATH('Rates from Ireland Fedex Priort'!J157,1)+IF($A158="EU",Variables!$B$6,Variables!$B$3),'Rates from Ireland Fedex Priort'!J157)</f>
        <v>No service</v>
      </c>
      <c r="K158" s="10" t="str">
        <f>IF(ISNUMBER('Rates from Ireland Fedex Priort'!K157),_xlfn.CEILING.MATH('Rates from Ireland Fedex Priort'!K157,1)+IF($A158="EU",Variables!$B$6,Variables!$B$3),'Rates from Ireland Fedex Priort'!K157)</f>
        <v>No service</v>
      </c>
      <c r="L158" s="10" t="str">
        <f>IF(ISNUMBER('Rates from Ireland Fedex Priort'!L157),_xlfn.CEILING.MATH('Rates from Ireland Fedex Priort'!L157,1)+IF($A158="EU",Variables!$B$6,Variables!$B$3),'Rates from Ireland Fedex Priort'!L157)</f>
        <v>No service</v>
      </c>
      <c r="M158" s="10" t="str">
        <f>IF(ISNUMBER('Rates from Ireland Fedex Priort'!M157),_xlfn.CEILING.MATH('Rates from Ireland Fedex Priort'!M157,1)+IF($A158="EU",Variables!$B$6,Variables!$B$3),'Rates from Ireland Fedex Priort'!M157)</f>
        <v>No service</v>
      </c>
      <c r="N158" s="10" t="str">
        <f>IF(ISNUMBER('Rates from Ireland Fedex Priort'!N157),_xlfn.CEILING.MATH('Rates from Ireland Fedex Priort'!N157,1)+IF($A158="EU",Variables!$B$6,Variables!$B$3),'Rates from Ireland Fedex Priort'!N157)</f>
        <v>No service</v>
      </c>
      <c r="O158" s="11" t="s">
        <v>41</v>
      </c>
      <c r="P158" s="11" t="s">
        <v>23</v>
      </c>
      <c r="Q158" s="12">
        <v>80</v>
      </c>
      <c r="R158" s="11" t="s">
        <v>25</v>
      </c>
      <c r="S158" s="3" t="s">
        <v>26</v>
      </c>
      <c r="T158" s="38" t="s">
        <v>27</v>
      </c>
    </row>
    <row r="159" spans="1:20" ht="15.75" customHeight="1" x14ac:dyDescent="0.3">
      <c r="A159" s="39" t="str">
        <f>IF('Rates from Ireland Fedex Priort'!A158="","",'Rates from Ireland Fedex Priort'!A158)</f>
        <v>EU</v>
      </c>
      <c r="B159" s="8" t="str">
        <f>IF('Rates from Ireland Fedex Priort'!B158="","",'Rates from Ireland Fedex Priort'!B158)</f>
        <v>Ireland</v>
      </c>
      <c r="C159" s="9" t="str">
        <f>IF('Rates from Ireland Fedex Priort'!C158="","",'Rates from Ireland Fedex Priort'!C158)</f>
        <v>Niger</v>
      </c>
      <c r="D159" s="10">
        <f>IF(ISNUMBER('Rates from Ireland Fedex Priort'!D158),_xlfn.CEILING.MATH('Rates from Ireland Fedex Priort'!D158,1)+IF($A159="EU",Variables!$B$5,Variables!$B$2),'Rates from Ireland Fedex Priort'!D158)</f>
        <v>72</v>
      </c>
      <c r="E159" s="10">
        <f>IF(ISNUMBER('Rates from Ireland Fedex Priort'!E158),_xlfn.CEILING.MATH('Rates from Ireland Fedex Priort'!E158,1)+IF($A159="EU",Variables!$B$6,Variables!$B$3),'Rates from Ireland Fedex Priort'!E158)</f>
        <v>83</v>
      </c>
      <c r="F159" s="10">
        <f>IF(ISNUMBER('Rates from Ireland Fedex Priort'!F158),_xlfn.CEILING.MATH('Rates from Ireland Fedex Priort'!F158,1)+IF($A159="EU",Variables!$B$6,Variables!$B$3),'Rates from Ireland Fedex Priort'!F158)</f>
        <v>88</v>
      </c>
      <c r="G159" s="10">
        <f>IF(ISNUMBER('Rates from Ireland Fedex Priort'!G158),_xlfn.CEILING.MATH('Rates from Ireland Fedex Priort'!G158,1)+IF($A159="EU",Variables!$B$6,Variables!$B$3),'Rates from Ireland Fedex Priort'!G158)</f>
        <v>106</v>
      </c>
      <c r="H159" s="10">
        <f>IF(ISNUMBER('Rates from Ireland Fedex Priort'!H158),_xlfn.CEILING.MATH('Rates from Ireland Fedex Priort'!H158,1)+IF($A159="EU",Variables!$B$6,Variables!$B$3),'Rates from Ireland Fedex Priort'!H158)</f>
        <v>134</v>
      </c>
      <c r="I159" s="10">
        <f>IF(ISNUMBER('Rates from Ireland Fedex Priort'!I158),_xlfn.CEILING.MATH('Rates from Ireland Fedex Priort'!I158,1)+IF($A159="EU",Variables!$B$6,Variables!$B$3),'Rates from Ireland Fedex Priort'!I158)</f>
        <v>242</v>
      </c>
      <c r="J159" s="10" t="str">
        <f>IF(ISNUMBER('Rates from Ireland Fedex Priort'!J158),_xlfn.CEILING.MATH('Rates from Ireland Fedex Priort'!J158,1)+IF($A159="EU",Variables!$B$6,Variables!$B$3),'Rates from Ireland Fedex Priort'!J158)</f>
        <v>No service</v>
      </c>
      <c r="K159" s="10" t="str">
        <f>IF(ISNUMBER('Rates from Ireland Fedex Priort'!K158),_xlfn.CEILING.MATH('Rates from Ireland Fedex Priort'!K158,1)+IF($A159="EU",Variables!$B$6,Variables!$B$3),'Rates from Ireland Fedex Priort'!K158)</f>
        <v>No service</v>
      </c>
      <c r="L159" s="10" t="str">
        <f>IF(ISNUMBER('Rates from Ireland Fedex Priort'!L158),_xlfn.CEILING.MATH('Rates from Ireland Fedex Priort'!L158,1)+IF($A159="EU",Variables!$B$6,Variables!$B$3),'Rates from Ireland Fedex Priort'!L158)</f>
        <v>No service</v>
      </c>
      <c r="M159" s="10" t="str">
        <f>IF(ISNUMBER('Rates from Ireland Fedex Priort'!M158),_xlfn.CEILING.MATH('Rates from Ireland Fedex Priort'!M158,1)+IF($A159="EU",Variables!$B$6,Variables!$B$3),'Rates from Ireland Fedex Priort'!M158)</f>
        <v>No service</v>
      </c>
      <c r="N159" s="10" t="str">
        <f>IF(ISNUMBER('Rates from Ireland Fedex Priort'!N158),_xlfn.CEILING.MATH('Rates from Ireland Fedex Priort'!N158,1)+IF($A159="EU",Variables!$B$6,Variables!$B$3),'Rates from Ireland Fedex Priort'!N158)</f>
        <v>No service</v>
      </c>
      <c r="O159" s="11" t="s">
        <v>35</v>
      </c>
      <c r="P159" s="11" t="s">
        <v>36</v>
      </c>
      <c r="Q159" s="12">
        <v>80</v>
      </c>
      <c r="R159" s="11" t="s">
        <v>25</v>
      </c>
      <c r="S159" s="3" t="s">
        <v>26</v>
      </c>
      <c r="T159" s="38" t="s">
        <v>27</v>
      </c>
    </row>
    <row r="160" spans="1:20" ht="15.75" customHeight="1" x14ac:dyDescent="0.3">
      <c r="A160" s="39" t="str">
        <f>IF('Rates from Ireland Fedex Priort'!A159="","",'Rates from Ireland Fedex Priort'!A159)</f>
        <v>EU</v>
      </c>
      <c r="B160" s="8" t="str">
        <f>IF('Rates from Ireland Fedex Priort'!B159="","",'Rates from Ireland Fedex Priort'!B159)</f>
        <v>Ireland</v>
      </c>
      <c r="C160" s="9" t="str">
        <f>IF('Rates from Ireland Fedex Priort'!C159="","",'Rates from Ireland Fedex Priort'!C159)</f>
        <v>Nigeria</v>
      </c>
      <c r="D160" s="10">
        <f>IF(ISNUMBER('Rates from Ireland Fedex Priort'!D159),_xlfn.CEILING.MATH('Rates from Ireland Fedex Priort'!D159,1)+IF($A160="EU",Variables!$B$5,Variables!$B$2),'Rates from Ireland Fedex Priort'!D159)</f>
        <v>72</v>
      </c>
      <c r="E160" s="10">
        <f>IF(ISNUMBER('Rates from Ireland Fedex Priort'!E159),_xlfn.CEILING.MATH('Rates from Ireland Fedex Priort'!E159,1)+IF($A160="EU",Variables!$B$6,Variables!$B$3),'Rates from Ireland Fedex Priort'!E159)</f>
        <v>83</v>
      </c>
      <c r="F160" s="10">
        <f>IF(ISNUMBER('Rates from Ireland Fedex Priort'!F159),_xlfn.CEILING.MATH('Rates from Ireland Fedex Priort'!F159,1)+IF($A160="EU",Variables!$B$6,Variables!$B$3),'Rates from Ireland Fedex Priort'!F159)</f>
        <v>88</v>
      </c>
      <c r="G160" s="10">
        <f>IF(ISNUMBER('Rates from Ireland Fedex Priort'!G159),_xlfn.CEILING.MATH('Rates from Ireland Fedex Priort'!G159,1)+IF($A160="EU",Variables!$B$6,Variables!$B$3),'Rates from Ireland Fedex Priort'!G159)</f>
        <v>106</v>
      </c>
      <c r="H160" s="10">
        <f>IF(ISNUMBER('Rates from Ireland Fedex Priort'!H159),_xlfn.CEILING.MATH('Rates from Ireland Fedex Priort'!H159,1)+IF($A160="EU",Variables!$B$6,Variables!$B$3),'Rates from Ireland Fedex Priort'!H159)</f>
        <v>134</v>
      </c>
      <c r="I160" s="10">
        <f>IF(ISNUMBER('Rates from Ireland Fedex Priort'!I159),_xlfn.CEILING.MATH('Rates from Ireland Fedex Priort'!I159,1)+IF($A160="EU",Variables!$B$6,Variables!$B$3),'Rates from Ireland Fedex Priort'!I159)</f>
        <v>242</v>
      </c>
      <c r="J160" s="10" t="str">
        <f>IF(ISNUMBER('Rates from Ireland Fedex Priort'!J159),_xlfn.CEILING.MATH('Rates from Ireland Fedex Priort'!J159,1)+IF($A160="EU",Variables!$B$6,Variables!$B$3),'Rates from Ireland Fedex Priort'!J159)</f>
        <v>No service</v>
      </c>
      <c r="K160" s="10" t="str">
        <f>IF(ISNUMBER('Rates from Ireland Fedex Priort'!K159),_xlfn.CEILING.MATH('Rates from Ireland Fedex Priort'!K159,1)+IF($A160="EU",Variables!$B$6,Variables!$B$3),'Rates from Ireland Fedex Priort'!K159)</f>
        <v>No service</v>
      </c>
      <c r="L160" s="10" t="str">
        <f>IF(ISNUMBER('Rates from Ireland Fedex Priort'!L159),_xlfn.CEILING.MATH('Rates from Ireland Fedex Priort'!L159,1)+IF($A160="EU",Variables!$B$6,Variables!$B$3),'Rates from Ireland Fedex Priort'!L159)</f>
        <v>No service</v>
      </c>
      <c r="M160" s="10" t="str">
        <f>IF(ISNUMBER('Rates from Ireland Fedex Priort'!M159),_xlfn.CEILING.MATH('Rates from Ireland Fedex Priort'!M159,1)+IF($A160="EU",Variables!$B$6,Variables!$B$3),'Rates from Ireland Fedex Priort'!M159)</f>
        <v>No service</v>
      </c>
      <c r="N160" s="10" t="str">
        <f>IF(ISNUMBER('Rates from Ireland Fedex Priort'!N159),_xlfn.CEILING.MATH('Rates from Ireland Fedex Priort'!N159,1)+IF($A160="EU",Variables!$B$6,Variables!$B$3),'Rates from Ireland Fedex Priort'!N159)</f>
        <v>No service</v>
      </c>
      <c r="O160" s="11" t="s">
        <v>35</v>
      </c>
      <c r="P160" s="11" t="s">
        <v>36</v>
      </c>
      <c r="Q160" s="12">
        <v>80</v>
      </c>
      <c r="R160" s="11" t="s">
        <v>25</v>
      </c>
      <c r="S160" s="3" t="s">
        <v>26</v>
      </c>
      <c r="T160" s="38" t="s">
        <v>27</v>
      </c>
    </row>
    <row r="161" spans="1:20" ht="15.75" customHeight="1" x14ac:dyDescent="0.3">
      <c r="A161" s="39" t="str">
        <f>IF('Rates from Ireland Fedex Priort'!A160="","",'Rates from Ireland Fedex Priort'!A160)</f>
        <v>EU</v>
      </c>
      <c r="B161" s="8" t="str">
        <f>IF('Rates from Ireland Fedex Priort'!B160="","",'Rates from Ireland Fedex Priort'!B160)</f>
        <v>Ireland</v>
      </c>
      <c r="C161" s="9" t="str">
        <f>IF('Rates from Ireland Fedex Priort'!C160="","",'Rates from Ireland Fedex Priort'!C160)</f>
        <v>Niue</v>
      </c>
      <c r="D161" s="10" t="str">
        <f>IF(ISNUMBER('Rates from Ireland Fedex Priort'!D160),_xlfn.CEILING.MATH('Rates from Ireland Fedex Priort'!D160,1)+IF($A161="EU",Variables!$B$5,Variables!$B$2),'Rates from Ireland Fedex Priort'!D160)</f>
        <v>No service</v>
      </c>
      <c r="E161" s="10" t="str">
        <f>IF(ISNUMBER('Rates from Ireland Fedex Priort'!E160),_xlfn.CEILING.MATH('Rates from Ireland Fedex Priort'!E160,1)+IF($A161="EU",Variables!$B$6,Variables!$B$3),'Rates from Ireland Fedex Priort'!E160)</f>
        <v>No service</v>
      </c>
      <c r="F161" s="10" t="str">
        <f>IF(ISNUMBER('Rates from Ireland Fedex Priort'!F160),_xlfn.CEILING.MATH('Rates from Ireland Fedex Priort'!F160,1)+IF($A161="EU",Variables!$B$6,Variables!$B$3),'Rates from Ireland Fedex Priort'!F160)</f>
        <v>No service</v>
      </c>
      <c r="G161" s="10" t="str">
        <f>IF(ISNUMBER('Rates from Ireland Fedex Priort'!G160),_xlfn.CEILING.MATH('Rates from Ireland Fedex Priort'!G160,1)+IF($A161="EU",Variables!$B$6,Variables!$B$3),'Rates from Ireland Fedex Priort'!G160)</f>
        <v>No service</v>
      </c>
      <c r="H161" s="10" t="str">
        <f>IF(ISNUMBER('Rates from Ireland Fedex Priort'!H160),_xlfn.CEILING.MATH('Rates from Ireland Fedex Priort'!H160,1)+IF($A161="EU",Variables!$B$6,Variables!$B$3),'Rates from Ireland Fedex Priort'!H160)</f>
        <v>No service</v>
      </c>
      <c r="I161" s="10" t="str">
        <f>IF(ISNUMBER('Rates from Ireland Fedex Priort'!I160),_xlfn.CEILING.MATH('Rates from Ireland Fedex Priort'!I160,1)+IF($A161="EU",Variables!$B$6,Variables!$B$3),'Rates from Ireland Fedex Priort'!I160)</f>
        <v>No service</v>
      </c>
      <c r="J161" s="10" t="str">
        <f>IF(ISNUMBER('Rates from Ireland Fedex Priort'!J160),_xlfn.CEILING.MATH('Rates from Ireland Fedex Priort'!J160,1)+IF($A161="EU",Variables!$B$6,Variables!$B$3),'Rates from Ireland Fedex Priort'!J160)</f>
        <v>No service</v>
      </c>
      <c r="K161" s="10" t="str">
        <f>IF(ISNUMBER('Rates from Ireland Fedex Priort'!K160),_xlfn.CEILING.MATH('Rates from Ireland Fedex Priort'!K160,1)+IF($A161="EU",Variables!$B$6,Variables!$B$3),'Rates from Ireland Fedex Priort'!K160)</f>
        <v>No service</v>
      </c>
      <c r="L161" s="10" t="str">
        <f>IF(ISNUMBER('Rates from Ireland Fedex Priort'!L160),_xlfn.CEILING.MATH('Rates from Ireland Fedex Priort'!L160,1)+IF($A161="EU",Variables!$B$6,Variables!$B$3),'Rates from Ireland Fedex Priort'!L160)</f>
        <v>No service</v>
      </c>
      <c r="M161" s="10" t="str">
        <f>IF(ISNUMBER('Rates from Ireland Fedex Priort'!M160),_xlfn.CEILING.MATH('Rates from Ireland Fedex Priort'!M160,1)+IF($A161="EU",Variables!$B$6,Variables!$B$3),'Rates from Ireland Fedex Priort'!M160)</f>
        <v>No service</v>
      </c>
      <c r="N161" s="10" t="str">
        <f>IF(ISNUMBER('Rates from Ireland Fedex Priort'!N160),_xlfn.CEILING.MATH('Rates from Ireland Fedex Priort'!N160,1)+IF($A161="EU",Variables!$B$6,Variables!$B$3),'Rates from Ireland Fedex Priort'!N160)</f>
        <v>No service</v>
      </c>
      <c r="O161" s="11"/>
      <c r="P161" s="11"/>
      <c r="Q161" s="11"/>
      <c r="R161" s="11"/>
      <c r="S161" s="3" t="s">
        <v>26</v>
      </c>
      <c r="T161" s="38" t="s">
        <v>27</v>
      </c>
    </row>
    <row r="162" spans="1:20" ht="15.75" customHeight="1" x14ac:dyDescent="0.3">
      <c r="A162" s="39" t="str">
        <f>IF('Rates from Ireland Fedex Priort'!A161="","",'Rates from Ireland Fedex Priort'!A161)</f>
        <v>EU</v>
      </c>
      <c r="B162" s="8" t="str">
        <f>IF('Rates from Ireland Fedex Priort'!B161="","",'Rates from Ireland Fedex Priort'!B161)</f>
        <v>Ireland</v>
      </c>
      <c r="C162" s="9" t="str">
        <f>IF('Rates from Ireland Fedex Priort'!C161="","",'Rates from Ireland Fedex Priort'!C161)</f>
        <v>Norfolk Island (Australia)</v>
      </c>
      <c r="D162" s="10" t="str">
        <f>IF(ISNUMBER('Rates from Ireland Fedex Priort'!D161),_xlfn.CEILING.MATH('Rates from Ireland Fedex Priort'!D161,1)+IF($A162="EU",Variables!$B$5,Variables!$B$2),'Rates from Ireland Fedex Priort'!D161)</f>
        <v>No service</v>
      </c>
      <c r="E162" s="10" t="str">
        <f>IF(ISNUMBER('Rates from Ireland Fedex Priort'!E161),_xlfn.CEILING.MATH('Rates from Ireland Fedex Priort'!E161,1)+IF($A162="EU",Variables!$B$6,Variables!$B$3),'Rates from Ireland Fedex Priort'!E161)</f>
        <v>No service</v>
      </c>
      <c r="F162" s="10" t="str">
        <f>IF(ISNUMBER('Rates from Ireland Fedex Priort'!F161),_xlfn.CEILING.MATH('Rates from Ireland Fedex Priort'!F161,1)+IF($A162="EU",Variables!$B$6,Variables!$B$3),'Rates from Ireland Fedex Priort'!F161)</f>
        <v>No service</v>
      </c>
      <c r="G162" s="10" t="str">
        <f>IF(ISNUMBER('Rates from Ireland Fedex Priort'!G161),_xlfn.CEILING.MATH('Rates from Ireland Fedex Priort'!G161,1)+IF($A162="EU",Variables!$B$6,Variables!$B$3),'Rates from Ireland Fedex Priort'!G161)</f>
        <v>No service</v>
      </c>
      <c r="H162" s="10" t="str">
        <f>IF(ISNUMBER('Rates from Ireland Fedex Priort'!H161),_xlfn.CEILING.MATH('Rates from Ireland Fedex Priort'!H161,1)+IF($A162="EU",Variables!$B$6,Variables!$B$3),'Rates from Ireland Fedex Priort'!H161)</f>
        <v>No service</v>
      </c>
      <c r="I162" s="10" t="str">
        <f>IF(ISNUMBER('Rates from Ireland Fedex Priort'!I161),_xlfn.CEILING.MATH('Rates from Ireland Fedex Priort'!I161,1)+IF($A162="EU",Variables!$B$6,Variables!$B$3),'Rates from Ireland Fedex Priort'!I161)</f>
        <v>No service</v>
      </c>
      <c r="J162" s="10" t="str">
        <f>IF(ISNUMBER('Rates from Ireland Fedex Priort'!J161),_xlfn.CEILING.MATH('Rates from Ireland Fedex Priort'!J161,1)+IF($A162="EU",Variables!$B$6,Variables!$B$3),'Rates from Ireland Fedex Priort'!J161)</f>
        <v>No service</v>
      </c>
      <c r="K162" s="10" t="str">
        <f>IF(ISNUMBER('Rates from Ireland Fedex Priort'!K161),_xlfn.CEILING.MATH('Rates from Ireland Fedex Priort'!K161,1)+IF($A162="EU",Variables!$B$6,Variables!$B$3),'Rates from Ireland Fedex Priort'!K161)</f>
        <v>No service</v>
      </c>
      <c r="L162" s="10" t="str">
        <f>IF(ISNUMBER('Rates from Ireland Fedex Priort'!L161),_xlfn.CEILING.MATH('Rates from Ireland Fedex Priort'!L161,1)+IF($A162="EU",Variables!$B$6,Variables!$B$3),'Rates from Ireland Fedex Priort'!L161)</f>
        <v>No service</v>
      </c>
      <c r="M162" s="10" t="str">
        <f>IF(ISNUMBER('Rates from Ireland Fedex Priort'!M161),_xlfn.CEILING.MATH('Rates from Ireland Fedex Priort'!M161,1)+IF($A162="EU",Variables!$B$6,Variables!$B$3),'Rates from Ireland Fedex Priort'!M161)</f>
        <v>No service</v>
      </c>
      <c r="N162" s="10" t="str">
        <f>IF(ISNUMBER('Rates from Ireland Fedex Priort'!N161),_xlfn.CEILING.MATH('Rates from Ireland Fedex Priort'!N161,1)+IF($A162="EU",Variables!$B$6,Variables!$B$3),'Rates from Ireland Fedex Priort'!N161)</f>
        <v>No service</v>
      </c>
      <c r="O162" s="11"/>
      <c r="P162" s="11"/>
      <c r="Q162" s="11"/>
      <c r="R162" s="11"/>
      <c r="S162" s="3" t="s">
        <v>26</v>
      </c>
      <c r="T162" s="38" t="s">
        <v>27</v>
      </c>
    </row>
    <row r="163" spans="1:20" ht="15.75" customHeight="1" x14ac:dyDescent="0.3">
      <c r="A163" s="39" t="str">
        <f>IF('Rates from Ireland Fedex Priort'!A162="","",'Rates from Ireland Fedex Priort'!A162)</f>
        <v>EU</v>
      </c>
      <c r="B163" s="8" t="str">
        <f>IF('Rates from Ireland Fedex Priort'!B162="","",'Rates from Ireland Fedex Priort'!B162)</f>
        <v>Ireland</v>
      </c>
      <c r="C163" s="9" t="str">
        <f>IF('Rates from Ireland Fedex Priort'!C162="","",'Rates from Ireland Fedex Priort'!C162)</f>
        <v>North Korea</v>
      </c>
      <c r="D163" s="10" t="str">
        <f>IF(ISNUMBER('Rates from Ireland Fedex Priort'!D162),_xlfn.CEILING.MATH('Rates from Ireland Fedex Priort'!D162,1)+IF($A163="EU",Variables!$B$5,Variables!$B$2),'Rates from Ireland Fedex Priort'!D162)</f>
        <v>No service</v>
      </c>
      <c r="E163" s="10" t="str">
        <f>IF(ISNUMBER('Rates from Ireland Fedex Priort'!E162),_xlfn.CEILING.MATH('Rates from Ireland Fedex Priort'!E162,1)+IF($A163="EU",Variables!$B$6,Variables!$B$3),'Rates from Ireland Fedex Priort'!E162)</f>
        <v>No service</v>
      </c>
      <c r="F163" s="10" t="str">
        <f>IF(ISNUMBER('Rates from Ireland Fedex Priort'!F162),_xlfn.CEILING.MATH('Rates from Ireland Fedex Priort'!F162,1)+IF($A163="EU",Variables!$B$6,Variables!$B$3),'Rates from Ireland Fedex Priort'!F162)</f>
        <v>No service</v>
      </c>
      <c r="G163" s="10" t="str">
        <f>IF(ISNUMBER('Rates from Ireland Fedex Priort'!G162),_xlfn.CEILING.MATH('Rates from Ireland Fedex Priort'!G162,1)+IF($A163="EU",Variables!$B$6,Variables!$B$3),'Rates from Ireland Fedex Priort'!G162)</f>
        <v>No service</v>
      </c>
      <c r="H163" s="10" t="str">
        <f>IF(ISNUMBER('Rates from Ireland Fedex Priort'!H162),_xlfn.CEILING.MATH('Rates from Ireland Fedex Priort'!H162,1)+IF($A163="EU",Variables!$B$6,Variables!$B$3),'Rates from Ireland Fedex Priort'!H162)</f>
        <v>No service</v>
      </c>
      <c r="I163" s="10" t="str">
        <f>IF(ISNUMBER('Rates from Ireland Fedex Priort'!I162),_xlfn.CEILING.MATH('Rates from Ireland Fedex Priort'!I162,1)+IF($A163="EU",Variables!$B$6,Variables!$B$3),'Rates from Ireland Fedex Priort'!I162)</f>
        <v>No service</v>
      </c>
      <c r="J163" s="10" t="str">
        <f>IF(ISNUMBER('Rates from Ireland Fedex Priort'!J162),_xlfn.CEILING.MATH('Rates from Ireland Fedex Priort'!J162,1)+IF($A163="EU",Variables!$B$6,Variables!$B$3),'Rates from Ireland Fedex Priort'!J162)</f>
        <v>No service</v>
      </c>
      <c r="K163" s="10" t="str">
        <f>IF(ISNUMBER('Rates from Ireland Fedex Priort'!K162),_xlfn.CEILING.MATH('Rates from Ireland Fedex Priort'!K162,1)+IF($A163="EU",Variables!$B$6,Variables!$B$3),'Rates from Ireland Fedex Priort'!K162)</f>
        <v>No service</v>
      </c>
      <c r="L163" s="10" t="str">
        <f>IF(ISNUMBER('Rates from Ireland Fedex Priort'!L162),_xlfn.CEILING.MATH('Rates from Ireland Fedex Priort'!L162,1)+IF($A163="EU",Variables!$B$6,Variables!$B$3),'Rates from Ireland Fedex Priort'!L162)</f>
        <v>No service</v>
      </c>
      <c r="M163" s="10" t="str">
        <f>IF(ISNUMBER('Rates from Ireland Fedex Priort'!M162),_xlfn.CEILING.MATH('Rates from Ireland Fedex Priort'!M162,1)+IF($A163="EU",Variables!$B$6,Variables!$B$3),'Rates from Ireland Fedex Priort'!M162)</f>
        <v>No service</v>
      </c>
      <c r="N163" s="10" t="str">
        <f>IF(ISNUMBER('Rates from Ireland Fedex Priort'!N162),_xlfn.CEILING.MATH('Rates from Ireland Fedex Priort'!N162,1)+IF($A163="EU",Variables!$B$6,Variables!$B$3),'Rates from Ireland Fedex Priort'!N162)</f>
        <v>No service</v>
      </c>
      <c r="O163" s="11"/>
      <c r="P163" s="11"/>
      <c r="Q163" s="11"/>
      <c r="R163" s="11"/>
      <c r="S163" s="3" t="s">
        <v>26</v>
      </c>
      <c r="T163" s="38" t="s">
        <v>27</v>
      </c>
    </row>
    <row r="164" spans="1:20" ht="15.75" customHeight="1" x14ac:dyDescent="0.3">
      <c r="A164" s="39" t="str">
        <f>IF('Rates from Ireland Fedex Priort'!A163="","",'Rates from Ireland Fedex Priort'!A163)</f>
        <v>EU</v>
      </c>
      <c r="B164" s="8" t="str">
        <f>IF('Rates from Ireland Fedex Priort'!B163="","",'Rates from Ireland Fedex Priort'!B163)</f>
        <v>Ireland</v>
      </c>
      <c r="C164" s="9" t="str">
        <f>IF('Rates from Ireland Fedex Priort'!C163="","",'Rates from Ireland Fedex Priort'!C163)</f>
        <v>North Macedonia</v>
      </c>
      <c r="D164" s="10">
        <f>IF(ISNUMBER('Rates from Ireland Fedex Priort'!D163),_xlfn.CEILING.MATH('Rates from Ireland Fedex Priort'!D163,1)+IF($A164="EU",Variables!$B$5,Variables!$B$2),'Rates from Ireland Fedex Priort'!D163)</f>
        <v>76</v>
      </c>
      <c r="E164" s="10">
        <f>IF(ISNUMBER('Rates from Ireland Fedex Priort'!E163),_xlfn.CEILING.MATH('Rates from Ireland Fedex Priort'!E163,1)+IF($A164="EU",Variables!$B$6,Variables!$B$3),'Rates from Ireland Fedex Priort'!E163)</f>
        <v>85</v>
      </c>
      <c r="F164" s="10">
        <f>IF(ISNUMBER('Rates from Ireland Fedex Priort'!F163),_xlfn.CEILING.MATH('Rates from Ireland Fedex Priort'!F163,1)+IF($A164="EU",Variables!$B$6,Variables!$B$3),'Rates from Ireland Fedex Priort'!F163)</f>
        <v>88</v>
      </c>
      <c r="G164" s="10">
        <f>IF(ISNUMBER('Rates from Ireland Fedex Priort'!G163),_xlfn.CEILING.MATH('Rates from Ireland Fedex Priort'!G163,1)+IF($A164="EU",Variables!$B$6,Variables!$B$3),'Rates from Ireland Fedex Priort'!G163)</f>
        <v>97</v>
      </c>
      <c r="H164" s="10">
        <f>IF(ISNUMBER('Rates from Ireland Fedex Priort'!H163),_xlfn.CEILING.MATH('Rates from Ireland Fedex Priort'!H163,1)+IF($A164="EU",Variables!$B$6,Variables!$B$3),'Rates from Ireland Fedex Priort'!H163)</f>
        <v>102</v>
      </c>
      <c r="I164" s="10">
        <f>IF(ISNUMBER('Rates from Ireland Fedex Priort'!I163),_xlfn.CEILING.MATH('Rates from Ireland Fedex Priort'!I163,1)+IF($A164="EU",Variables!$B$6,Variables!$B$3),'Rates from Ireland Fedex Priort'!I163)</f>
        <v>109</v>
      </c>
      <c r="J164" s="10" t="str">
        <f>IF(ISNUMBER('Rates from Ireland Fedex Priort'!J163),_xlfn.CEILING.MATH('Rates from Ireland Fedex Priort'!J163,1)+IF($A164="EU",Variables!$B$6,Variables!$B$3),'Rates from Ireland Fedex Priort'!J163)</f>
        <v>No service</v>
      </c>
      <c r="K164" s="10" t="str">
        <f>IF(ISNUMBER('Rates from Ireland Fedex Priort'!K163),_xlfn.CEILING.MATH('Rates from Ireland Fedex Priort'!K163,1)+IF($A164="EU",Variables!$B$6,Variables!$B$3),'Rates from Ireland Fedex Priort'!K163)</f>
        <v>No service</v>
      </c>
      <c r="L164" s="10" t="str">
        <f>IF(ISNUMBER('Rates from Ireland Fedex Priort'!L163),_xlfn.CEILING.MATH('Rates from Ireland Fedex Priort'!L163,1)+IF($A164="EU",Variables!$B$6,Variables!$B$3),'Rates from Ireland Fedex Priort'!L163)</f>
        <v>No service</v>
      </c>
      <c r="M164" s="10" t="str">
        <f>IF(ISNUMBER('Rates from Ireland Fedex Priort'!M163),_xlfn.CEILING.MATH('Rates from Ireland Fedex Priort'!M163,1)+IF($A164="EU",Variables!$B$6,Variables!$B$3),'Rates from Ireland Fedex Priort'!M163)</f>
        <v>No service</v>
      </c>
      <c r="N164" s="10" t="str">
        <f>IF(ISNUMBER('Rates from Ireland Fedex Priort'!N163),_xlfn.CEILING.MATH('Rates from Ireland Fedex Priort'!N163,1)+IF($A164="EU",Variables!$B$6,Variables!$B$3),'Rates from Ireland Fedex Priort'!N163)</f>
        <v>No service</v>
      </c>
      <c r="O164" s="11" t="s">
        <v>61</v>
      </c>
      <c r="P164" s="11" t="s">
        <v>211</v>
      </c>
      <c r="Q164" s="12">
        <v>80</v>
      </c>
      <c r="R164" s="11" t="s">
        <v>25</v>
      </c>
      <c r="S164" s="3" t="s">
        <v>26</v>
      </c>
      <c r="T164" s="38" t="s">
        <v>27</v>
      </c>
    </row>
    <row r="165" spans="1:20" ht="15.75" customHeight="1" x14ac:dyDescent="0.3">
      <c r="A165" s="39" t="str">
        <f>IF('Rates from Ireland Fedex Priort'!A164="","",'Rates from Ireland Fedex Priort'!A164)</f>
        <v>EU</v>
      </c>
      <c r="B165" s="8" t="str">
        <f>IF('Rates from Ireland Fedex Priort'!B164="","",'Rates from Ireland Fedex Priort'!B164)</f>
        <v>Ireland</v>
      </c>
      <c r="C165" s="9" t="str">
        <f>IF('Rates from Ireland Fedex Priort'!C164="","",'Rates from Ireland Fedex Priort'!C164)</f>
        <v>Northern Cyprus</v>
      </c>
      <c r="D165" s="10">
        <f>IF(ISNUMBER('Rates from Ireland Fedex Priort'!D164),_xlfn.CEILING.MATH('Rates from Ireland Fedex Priort'!D164,1)+IF($A165="EU",Variables!$B$5,Variables!$B$2),'Rates from Ireland Fedex Priort'!D164)</f>
        <v>76</v>
      </c>
      <c r="E165" s="10">
        <f>IF(ISNUMBER('Rates from Ireland Fedex Priort'!E164),_xlfn.CEILING.MATH('Rates from Ireland Fedex Priort'!E164,1)+IF($A165="EU",Variables!$B$6,Variables!$B$3),'Rates from Ireland Fedex Priort'!E164)</f>
        <v>85</v>
      </c>
      <c r="F165" s="10">
        <f>IF(ISNUMBER('Rates from Ireland Fedex Priort'!F164),_xlfn.CEILING.MATH('Rates from Ireland Fedex Priort'!F164,1)+IF($A165="EU",Variables!$B$6,Variables!$B$3),'Rates from Ireland Fedex Priort'!F164)</f>
        <v>88</v>
      </c>
      <c r="G165" s="10">
        <f>IF(ISNUMBER('Rates from Ireland Fedex Priort'!G164),_xlfn.CEILING.MATH('Rates from Ireland Fedex Priort'!G164,1)+IF($A165="EU",Variables!$B$6,Variables!$B$3),'Rates from Ireland Fedex Priort'!G164)</f>
        <v>97</v>
      </c>
      <c r="H165" s="10">
        <f>IF(ISNUMBER('Rates from Ireland Fedex Priort'!H164),_xlfn.CEILING.MATH('Rates from Ireland Fedex Priort'!H164,1)+IF($A165="EU",Variables!$B$6,Variables!$B$3),'Rates from Ireland Fedex Priort'!H164)</f>
        <v>102</v>
      </c>
      <c r="I165" s="10">
        <f>IF(ISNUMBER('Rates from Ireland Fedex Priort'!I164),_xlfn.CEILING.MATH('Rates from Ireland Fedex Priort'!I164,1)+IF($A165="EU",Variables!$B$6,Variables!$B$3),'Rates from Ireland Fedex Priort'!I164)</f>
        <v>109</v>
      </c>
      <c r="J165" s="10" t="str">
        <f>IF(ISNUMBER('Rates from Ireland Fedex Priort'!J164),_xlfn.CEILING.MATH('Rates from Ireland Fedex Priort'!J164,1)+IF($A165="EU",Variables!$B$6,Variables!$B$3),'Rates from Ireland Fedex Priort'!J164)</f>
        <v>No service</v>
      </c>
      <c r="K165" s="10" t="str">
        <f>IF(ISNUMBER('Rates from Ireland Fedex Priort'!K164),_xlfn.CEILING.MATH('Rates from Ireland Fedex Priort'!K164,1)+IF($A165="EU",Variables!$B$6,Variables!$B$3),'Rates from Ireland Fedex Priort'!K164)</f>
        <v>No service</v>
      </c>
      <c r="L165" s="10" t="str">
        <f>IF(ISNUMBER('Rates from Ireland Fedex Priort'!L164),_xlfn.CEILING.MATH('Rates from Ireland Fedex Priort'!L164,1)+IF($A165="EU",Variables!$B$6,Variables!$B$3),'Rates from Ireland Fedex Priort'!L164)</f>
        <v>No service</v>
      </c>
      <c r="M165" s="10" t="str">
        <f>IF(ISNUMBER('Rates from Ireland Fedex Priort'!M164),_xlfn.CEILING.MATH('Rates from Ireland Fedex Priort'!M164,1)+IF($A165="EU",Variables!$B$6,Variables!$B$3),'Rates from Ireland Fedex Priort'!M164)</f>
        <v>No service</v>
      </c>
      <c r="N165" s="10" t="str">
        <f>IF(ISNUMBER('Rates from Ireland Fedex Priort'!N164),_xlfn.CEILING.MATH('Rates from Ireland Fedex Priort'!N164,1)+IF($A165="EU",Variables!$B$6,Variables!$B$3),'Rates from Ireland Fedex Priort'!N164)</f>
        <v>No service</v>
      </c>
      <c r="O165" s="11" t="s">
        <v>61</v>
      </c>
      <c r="P165" s="11" t="s">
        <v>211</v>
      </c>
      <c r="Q165" s="12">
        <v>80</v>
      </c>
      <c r="R165" s="11" t="s">
        <v>25</v>
      </c>
      <c r="S165" s="3" t="s">
        <v>26</v>
      </c>
      <c r="T165" s="38" t="s">
        <v>27</v>
      </c>
    </row>
    <row r="166" spans="1:20" ht="15.75" customHeight="1" x14ac:dyDescent="0.3">
      <c r="A166" s="39" t="str">
        <f>IF('Rates from Ireland Fedex Priort'!A165="","",'Rates from Ireland Fedex Priort'!A165)</f>
        <v>EU</v>
      </c>
      <c r="B166" s="8" t="str">
        <f>IF('Rates from Ireland Fedex Priort'!B165="","",'Rates from Ireland Fedex Priort'!B165)</f>
        <v>Ireland</v>
      </c>
      <c r="C166" s="9" t="str">
        <f>IF('Rates from Ireland Fedex Priort'!C165="","",'Rates from Ireland Fedex Priort'!C165)</f>
        <v>Northern Mariana Islands (US)</v>
      </c>
      <c r="D166" s="10">
        <f>IF(ISNUMBER('Rates from Ireland Fedex Priort'!D165),_xlfn.CEILING.MATH('Rates from Ireland Fedex Priort'!D165,1)+IF($A166="EU",Variables!$B$5,Variables!$B$2),'Rates from Ireland Fedex Priort'!D165)</f>
        <v>72</v>
      </c>
      <c r="E166" s="10">
        <f>IF(ISNUMBER('Rates from Ireland Fedex Priort'!E165),_xlfn.CEILING.MATH('Rates from Ireland Fedex Priort'!E165,1)+IF($A166="EU",Variables!$B$6,Variables!$B$3),'Rates from Ireland Fedex Priort'!E165)</f>
        <v>83</v>
      </c>
      <c r="F166" s="10">
        <f>IF(ISNUMBER('Rates from Ireland Fedex Priort'!F165),_xlfn.CEILING.MATH('Rates from Ireland Fedex Priort'!F165,1)+IF($A166="EU",Variables!$B$6,Variables!$B$3),'Rates from Ireland Fedex Priort'!F165)</f>
        <v>88</v>
      </c>
      <c r="G166" s="10">
        <f>IF(ISNUMBER('Rates from Ireland Fedex Priort'!G165),_xlfn.CEILING.MATH('Rates from Ireland Fedex Priort'!G165,1)+IF($A166="EU",Variables!$B$6,Variables!$B$3),'Rates from Ireland Fedex Priort'!G165)</f>
        <v>106</v>
      </c>
      <c r="H166" s="10">
        <f>IF(ISNUMBER('Rates from Ireland Fedex Priort'!H165),_xlfn.CEILING.MATH('Rates from Ireland Fedex Priort'!H165,1)+IF($A166="EU",Variables!$B$6,Variables!$B$3),'Rates from Ireland Fedex Priort'!H165)</f>
        <v>134</v>
      </c>
      <c r="I166" s="10">
        <f>IF(ISNUMBER('Rates from Ireland Fedex Priort'!I165),_xlfn.CEILING.MATH('Rates from Ireland Fedex Priort'!I165,1)+IF($A166="EU",Variables!$B$6,Variables!$B$3),'Rates from Ireland Fedex Priort'!I165)</f>
        <v>242</v>
      </c>
      <c r="J166" s="10" t="str">
        <f>IF(ISNUMBER('Rates from Ireland Fedex Priort'!J165),_xlfn.CEILING.MATH('Rates from Ireland Fedex Priort'!J165,1)+IF($A166="EU",Variables!$B$6,Variables!$B$3),'Rates from Ireland Fedex Priort'!J165)</f>
        <v>No service</v>
      </c>
      <c r="K166" s="10" t="str">
        <f>IF(ISNUMBER('Rates from Ireland Fedex Priort'!K165),_xlfn.CEILING.MATH('Rates from Ireland Fedex Priort'!K165,1)+IF($A166="EU",Variables!$B$6,Variables!$B$3),'Rates from Ireland Fedex Priort'!K165)</f>
        <v>No service</v>
      </c>
      <c r="L166" s="10" t="str">
        <f>IF(ISNUMBER('Rates from Ireland Fedex Priort'!L165),_xlfn.CEILING.MATH('Rates from Ireland Fedex Priort'!L165,1)+IF($A166="EU",Variables!$B$6,Variables!$B$3),'Rates from Ireland Fedex Priort'!L165)</f>
        <v>No service</v>
      </c>
      <c r="M166" s="10" t="str">
        <f>IF(ISNUMBER('Rates from Ireland Fedex Priort'!M165),_xlfn.CEILING.MATH('Rates from Ireland Fedex Priort'!M165,1)+IF($A166="EU",Variables!$B$6,Variables!$B$3),'Rates from Ireland Fedex Priort'!M165)</f>
        <v>No service</v>
      </c>
      <c r="N166" s="10" t="str">
        <f>IF(ISNUMBER('Rates from Ireland Fedex Priort'!N165),_xlfn.CEILING.MATH('Rates from Ireland Fedex Priort'!N165,1)+IF($A166="EU",Variables!$B$6,Variables!$B$3),'Rates from Ireland Fedex Priort'!N165)</f>
        <v>No service</v>
      </c>
      <c r="O166" s="11" t="s">
        <v>35</v>
      </c>
      <c r="P166" s="11" t="s">
        <v>36</v>
      </c>
      <c r="Q166" s="12">
        <v>80</v>
      </c>
      <c r="R166" s="11" t="s">
        <v>25</v>
      </c>
      <c r="S166" s="3" t="s">
        <v>26</v>
      </c>
      <c r="T166" s="38" t="s">
        <v>27</v>
      </c>
    </row>
    <row r="167" spans="1:20" ht="15.75" customHeight="1" x14ac:dyDescent="0.3">
      <c r="A167" s="39" t="str">
        <f>IF('Rates from Ireland Fedex Priort'!A166="","",'Rates from Ireland Fedex Priort'!A166)</f>
        <v>EU</v>
      </c>
      <c r="B167" s="8" t="str">
        <f>IF('Rates from Ireland Fedex Priort'!B166="","",'Rates from Ireland Fedex Priort'!B166)</f>
        <v>Ireland</v>
      </c>
      <c r="C167" s="9" t="str">
        <f>IF('Rates from Ireland Fedex Priort'!C166="","",'Rates from Ireland Fedex Priort'!C166)</f>
        <v>Norway</v>
      </c>
      <c r="D167" s="10">
        <f>IF(ISNUMBER('Rates from Ireland Fedex Priort'!D166),_xlfn.CEILING.MATH('Rates from Ireland Fedex Priort'!D166,1)+IF($A167="EU",Variables!$B$5,Variables!$B$2),'Rates from Ireland Fedex Priort'!D166)</f>
        <v>64</v>
      </c>
      <c r="E167" s="10">
        <f>IF(ISNUMBER('Rates from Ireland Fedex Priort'!E166),_xlfn.CEILING.MATH('Rates from Ireland Fedex Priort'!E166,1)+IF($A167="EU",Variables!$B$6,Variables!$B$3),'Rates from Ireland Fedex Priort'!E166)</f>
        <v>100</v>
      </c>
      <c r="F167" s="10">
        <f>IF(ISNUMBER('Rates from Ireland Fedex Priort'!F166),_xlfn.CEILING.MATH('Rates from Ireland Fedex Priort'!F166,1)+IF($A167="EU",Variables!$B$6,Variables!$B$3),'Rates from Ireland Fedex Priort'!F166)</f>
        <v>100</v>
      </c>
      <c r="G167" s="10">
        <f>IF(ISNUMBER('Rates from Ireland Fedex Priort'!G166),_xlfn.CEILING.MATH('Rates from Ireland Fedex Priort'!G166,1)+IF($A167="EU",Variables!$B$6,Variables!$B$3),'Rates from Ireland Fedex Priort'!G166)</f>
        <v>105</v>
      </c>
      <c r="H167" s="10">
        <f>IF(ISNUMBER('Rates from Ireland Fedex Priort'!H166),_xlfn.CEILING.MATH('Rates from Ireland Fedex Priort'!H166,1)+IF($A167="EU",Variables!$B$6,Variables!$B$3),'Rates from Ireland Fedex Priort'!H166)</f>
        <v>117</v>
      </c>
      <c r="I167" s="10">
        <f>IF(ISNUMBER('Rates from Ireland Fedex Priort'!I166),_xlfn.CEILING.MATH('Rates from Ireland Fedex Priort'!I166,1)+IF($A167="EU",Variables!$B$6,Variables!$B$3),'Rates from Ireland Fedex Priort'!I166)</f>
        <v>124</v>
      </c>
      <c r="J167" s="10" t="str">
        <f>IF(ISNUMBER('Rates from Ireland Fedex Priort'!J166),_xlfn.CEILING.MATH('Rates from Ireland Fedex Priort'!J166,1)+IF($A167="EU",Variables!$B$6,Variables!$B$3),'Rates from Ireland Fedex Priort'!J166)</f>
        <v>No service</v>
      </c>
      <c r="K167" s="10" t="str">
        <f>IF(ISNUMBER('Rates from Ireland Fedex Priort'!K166),_xlfn.CEILING.MATH('Rates from Ireland Fedex Priort'!K166,1)+IF($A167="EU",Variables!$B$6,Variables!$B$3),'Rates from Ireland Fedex Priort'!K166)</f>
        <v>No service</v>
      </c>
      <c r="L167" s="10" t="str">
        <f>IF(ISNUMBER('Rates from Ireland Fedex Priort'!L166),_xlfn.CEILING.MATH('Rates from Ireland Fedex Priort'!L166,1)+IF($A167="EU",Variables!$B$6,Variables!$B$3),'Rates from Ireland Fedex Priort'!L166)</f>
        <v>No service</v>
      </c>
      <c r="M167" s="10" t="str">
        <f>IF(ISNUMBER('Rates from Ireland Fedex Priort'!M166),_xlfn.CEILING.MATH('Rates from Ireland Fedex Priort'!M166,1)+IF($A167="EU",Variables!$B$6,Variables!$B$3),'Rates from Ireland Fedex Priort'!M166)</f>
        <v>No service</v>
      </c>
      <c r="N167" s="10" t="str">
        <f>IF(ISNUMBER('Rates from Ireland Fedex Priort'!N166),_xlfn.CEILING.MATH('Rates from Ireland Fedex Priort'!N166,1)+IF($A167="EU",Variables!$B$6,Variables!$B$3),'Rates from Ireland Fedex Priort'!N166)</f>
        <v>No service</v>
      </c>
      <c r="O167" s="11" t="s">
        <v>29</v>
      </c>
      <c r="P167" s="11" t="s">
        <v>69</v>
      </c>
      <c r="Q167" s="12">
        <v>80</v>
      </c>
      <c r="R167" s="11" t="s">
        <v>25</v>
      </c>
      <c r="S167" s="3" t="s">
        <v>26</v>
      </c>
      <c r="T167" s="38" t="s">
        <v>27</v>
      </c>
    </row>
    <row r="168" spans="1:20" ht="15.75" customHeight="1" x14ac:dyDescent="0.3">
      <c r="A168" s="39" t="str">
        <f>IF('Rates from Ireland Fedex Priort'!A167="","",'Rates from Ireland Fedex Priort'!A167)</f>
        <v>EU</v>
      </c>
      <c r="B168" s="8" t="str">
        <f>IF('Rates from Ireland Fedex Priort'!B167="","",'Rates from Ireland Fedex Priort'!B167)</f>
        <v>Ireland</v>
      </c>
      <c r="C168" s="9" t="str">
        <f>IF('Rates from Ireland Fedex Priort'!C167="","",'Rates from Ireland Fedex Priort'!C167)</f>
        <v>Oman</v>
      </c>
      <c r="D168" s="10">
        <f>IF(ISNUMBER('Rates from Ireland Fedex Priort'!D167),_xlfn.CEILING.MATH('Rates from Ireland Fedex Priort'!D167,1)+IF($A168="EU",Variables!$B$5,Variables!$B$2),'Rates from Ireland Fedex Priort'!D167)</f>
        <v>62</v>
      </c>
      <c r="E168" s="10">
        <f>IF(ISNUMBER('Rates from Ireland Fedex Priort'!E167),_xlfn.CEILING.MATH('Rates from Ireland Fedex Priort'!E167,1)+IF($A168="EU",Variables!$B$6,Variables!$B$3),'Rates from Ireland Fedex Priort'!E167)</f>
        <v>69</v>
      </c>
      <c r="F168" s="10">
        <f>IF(ISNUMBER('Rates from Ireland Fedex Priort'!F167),_xlfn.CEILING.MATH('Rates from Ireland Fedex Priort'!F167,1)+IF($A168="EU",Variables!$B$6,Variables!$B$3),'Rates from Ireland Fedex Priort'!F167)</f>
        <v>72</v>
      </c>
      <c r="G168" s="10">
        <f>IF(ISNUMBER('Rates from Ireland Fedex Priort'!G167),_xlfn.CEILING.MATH('Rates from Ireland Fedex Priort'!G167,1)+IF($A168="EU",Variables!$B$6,Variables!$B$3),'Rates from Ireland Fedex Priort'!G167)</f>
        <v>86</v>
      </c>
      <c r="H168" s="10">
        <f>IF(ISNUMBER('Rates from Ireland Fedex Priort'!H167),_xlfn.CEILING.MATH('Rates from Ireland Fedex Priort'!H167,1)+IF($A168="EU",Variables!$B$6,Variables!$B$3),'Rates from Ireland Fedex Priort'!H167)</f>
        <v>111</v>
      </c>
      <c r="I168" s="10">
        <f>IF(ISNUMBER('Rates from Ireland Fedex Priort'!I167),_xlfn.CEILING.MATH('Rates from Ireland Fedex Priort'!I167,1)+IF($A168="EU",Variables!$B$6,Variables!$B$3),'Rates from Ireland Fedex Priort'!I167)</f>
        <v>174</v>
      </c>
      <c r="J168" s="10" t="str">
        <f>IF(ISNUMBER('Rates from Ireland Fedex Priort'!J167),_xlfn.CEILING.MATH('Rates from Ireland Fedex Priort'!J167,1)+IF($A168="EU",Variables!$B$6,Variables!$B$3),'Rates from Ireland Fedex Priort'!J167)</f>
        <v>No service</v>
      </c>
      <c r="K168" s="10" t="str">
        <f>IF(ISNUMBER('Rates from Ireland Fedex Priort'!K167),_xlfn.CEILING.MATH('Rates from Ireland Fedex Priort'!K167,1)+IF($A168="EU",Variables!$B$6,Variables!$B$3),'Rates from Ireland Fedex Priort'!K167)</f>
        <v>No service</v>
      </c>
      <c r="L168" s="10" t="str">
        <f>IF(ISNUMBER('Rates from Ireland Fedex Priort'!L167),_xlfn.CEILING.MATH('Rates from Ireland Fedex Priort'!L167,1)+IF($A168="EU",Variables!$B$6,Variables!$B$3),'Rates from Ireland Fedex Priort'!L167)</f>
        <v>No service</v>
      </c>
      <c r="M168" s="10" t="str">
        <f>IF(ISNUMBER('Rates from Ireland Fedex Priort'!M167),_xlfn.CEILING.MATH('Rates from Ireland Fedex Priort'!M167,1)+IF($A168="EU",Variables!$B$6,Variables!$B$3),'Rates from Ireland Fedex Priort'!M167)</f>
        <v>No service</v>
      </c>
      <c r="N168" s="10" t="str">
        <f>IF(ISNUMBER('Rates from Ireland Fedex Priort'!N167),_xlfn.CEILING.MATH('Rates from Ireland Fedex Priort'!N167,1)+IF($A168="EU",Variables!$B$6,Variables!$B$3),'Rates from Ireland Fedex Priort'!N167)</f>
        <v>No service</v>
      </c>
      <c r="O168" s="11" t="s">
        <v>29</v>
      </c>
      <c r="P168" s="11" t="s">
        <v>30</v>
      </c>
      <c r="Q168" s="12">
        <v>80</v>
      </c>
      <c r="R168" s="11" t="s">
        <v>25</v>
      </c>
      <c r="S168" s="3" t="s">
        <v>26</v>
      </c>
      <c r="T168" s="38" t="s">
        <v>27</v>
      </c>
    </row>
    <row r="169" spans="1:20" ht="15.75" customHeight="1" x14ac:dyDescent="0.3">
      <c r="A169" s="39" t="str">
        <f>IF('Rates from Ireland Fedex Priort'!A168="","",'Rates from Ireland Fedex Priort'!A168)</f>
        <v>EU</v>
      </c>
      <c r="B169" s="8" t="str">
        <f>IF('Rates from Ireland Fedex Priort'!B168="","",'Rates from Ireland Fedex Priort'!B168)</f>
        <v>Ireland</v>
      </c>
      <c r="C169" s="9" t="str">
        <f>IF('Rates from Ireland Fedex Priort'!C168="","",'Rates from Ireland Fedex Priort'!C168)</f>
        <v>Pakistan</v>
      </c>
      <c r="D169" s="10">
        <f>IF(ISNUMBER('Rates from Ireland Fedex Priort'!D168),_xlfn.CEILING.MATH('Rates from Ireland Fedex Priort'!D168,1)+IF($A169="EU",Variables!$B$5,Variables!$B$2),'Rates from Ireland Fedex Priort'!D168)</f>
        <v>62</v>
      </c>
      <c r="E169" s="10">
        <f>IF(ISNUMBER('Rates from Ireland Fedex Priort'!E168),_xlfn.CEILING.MATH('Rates from Ireland Fedex Priort'!E168,1)+IF($A169="EU",Variables!$B$6,Variables!$B$3),'Rates from Ireland Fedex Priort'!E168)</f>
        <v>69</v>
      </c>
      <c r="F169" s="10">
        <f>IF(ISNUMBER('Rates from Ireland Fedex Priort'!F168),_xlfn.CEILING.MATH('Rates from Ireland Fedex Priort'!F168,1)+IF($A169="EU",Variables!$B$6,Variables!$B$3),'Rates from Ireland Fedex Priort'!F168)</f>
        <v>72</v>
      </c>
      <c r="G169" s="10">
        <f>IF(ISNUMBER('Rates from Ireland Fedex Priort'!G168),_xlfn.CEILING.MATH('Rates from Ireland Fedex Priort'!G168,1)+IF($A169="EU",Variables!$B$6,Variables!$B$3),'Rates from Ireland Fedex Priort'!G168)</f>
        <v>86</v>
      </c>
      <c r="H169" s="10">
        <f>IF(ISNUMBER('Rates from Ireland Fedex Priort'!H168),_xlfn.CEILING.MATH('Rates from Ireland Fedex Priort'!H168,1)+IF($A169="EU",Variables!$B$6,Variables!$B$3),'Rates from Ireland Fedex Priort'!H168)</f>
        <v>111</v>
      </c>
      <c r="I169" s="10">
        <f>IF(ISNUMBER('Rates from Ireland Fedex Priort'!I168),_xlfn.CEILING.MATH('Rates from Ireland Fedex Priort'!I168,1)+IF($A169="EU",Variables!$B$6,Variables!$B$3),'Rates from Ireland Fedex Priort'!I168)</f>
        <v>174</v>
      </c>
      <c r="J169" s="10" t="str">
        <f>IF(ISNUMBER('Rates from Ireland Fedex Priort'!J168),_xlfn.CEILING.MATH('Rates from Ireland Fedex Priort'!J168,1)+IF($A169="EU",Variables!$B$6,Variables!$B$3),'Rates from Ireland Fedex Priort'!J168)</f>
        <v>No service</v>
      </c>
      <c r="K169" s="10" t="str">
        <f>IF(ISNUMBER('Rates from Ireland Fedex Priort'!K168),_xlfn.CEILING.MATH('Rates from Ireland Fedex Priort'!K168,1)+IF($A169="EU",Variables!$B$6,Variables!$B$3),'Rates from Ireland Fedex Priort'!K168)</f>
        <v>No service</v>
      </c>
      <c r="L169" s="10" t="str">
        <f>IF(ISNUMBER('Rates from Ireland Fedex Priort'!L168),_xlfn.CEILING.MATH('Rates from Ireland Fedex Priort'!L168,1)+IF($A169="EU",Variables!$B$6,Variables!$B$3),'Rates from Ireland Fedex Priort'!L168)</f>
        <v>No service</v>
      </c>
      <c r="M169" s="10" t="str">
        <f>IF(ISNUMBER('Rates from Ireland Fedex Priort'!M168),_xlfn.CEILING.MATH('Rates from Ireland Fedex Priort'!M168,1)+IF($A169="EU",Variables!$B$6,Variables!$B$3),'Rates from Ireland Fedex Priort'!M168)</f>
        <v>No service</v>
      </c>
      <c r="N169" s="10" t="str">
        <f>IF(ISNUMBER('Rates from Ireland Fedex Priort'!N168),_xlfn.CEILING.MATH('Rates from Ireland Fedex Priort'!N168,1)+IF($A169="EU",Variables!$B$6,Variables!$B$3),'Rates from Ireland Fedex Priort'!N168)</f>
        <v>No service</v>
      </c>
      <c r="O169" s="11" t="s">
        <v>29</v>
      </c>
      <c r="P169" s="11" t="s">
        <v>30</v>
      </c>
      <c r="Q169" s="12">
        <v>80</v>
      </c>
      <c r="R169" s="11" t="s">
        <v>25</v>
      </c>
      <c r="S169" s="3" t="s">
        <v>26</v>
      </c>
      <c r="T169" s="38" t="s">
        <v>27</v>
      </c>
    </row>
    <row r="170" spans="1:20" ht="15.75" customHeight="1" x14ac:dyDescent="0.3">
      <c r="A170" s="39" t="str">
        <f>IF('Rates from Ireland Fedex Priort'!A169="","",'Rates from Ireland Fedex Priort'!A169)</f>
        <v>EU</v>
      </c>
      <c r="B170" s="8" t="str">
        <f>IF('Rates from Ireland Fedex Priort'!B169="","",'Rates from Ireland Fedex Priort'!B169)</f>
        <v>Ireland</v>
      </c>
      <c r="C170" s="9" t="str">
        <f>IF('Rates from Ireland Fedex Priort'!C169="","",'Rates from Ireland Fedex Priort'!C169)</f>
        <v>Palau</v>
      </c>
      <c r="D170" s="10">
        <f>IF(ISNUMBER('Rates from Ireland Fedex Priort'!D169),_xlfn.CEILING.MATH('Rates from Ireland Fedex Priort'!D169,1)+IF($A170="EU",Variables!$B$5,Variables!$B$2),'Rates from Ireland Fedex Priort'!D169)</f>
        <v>72</v>
      </c>
      <c r="E170" s="10">
        <f>IF(ISNUMBER('Rates from Ireland Fedex Priort'!E169),_xlfn.CEILING.MATH('Rates from Ireland Fedex Priort'!E169,1)+IF($A170="EU",Variables!$B$6,Variables!$B$3),'Rates from Ireland Fedex Priort'!E169)</f>
        <v>83</v>
      </c>
      <c r="F170" s="10">
        <f>IF(ISNUMBER('Rates from Ireland Fedex Priort'!F169),_xlfn.CEILING.MATH('Rates from Ireland Fedex Priort'!F169,1)+IF($A170="EU",Variables!$B$6,Variables!$B$3),'Rates from Ireland Fedex Priort'!F169)</f>
        <v>88</v>
      </c>
      <c r="G170" s="10">
        <f>IF(ISNUMBER('Rates from Ireland Fedex Priort'!G169),_xlfn.CEILING.MATH('Rates from Ireland Fedex Priort'!G169,1)+IF($A170="EU",Variables!$B$6,Variables!$B$3),'Rates from Ireland Fedex Priort'!G169)</f>
        <v>106</v>
      </c>
      <c r="H170" s="10">
        <f>IF(ISNUMBER('Rates from Ireland Fedex Priort'!H169),_xlfn.CEILING.MATH('Rates from Ireland Fedex Priort'!H169,1)+IF($A170="EU",Variables!$B$6,Variables!$B$3),'Rates from Ireland Fedex Priort'!H169)</f>
        <v>134</v>
      </c>
      <c r="I170" s="10">
        <f>IF(ISNUMBER('Rates from Ireland Fedex Priort'!I169),_xlfn.CEILING.MATH('Rates from Ireland Fedex Priort'!I169,1)+IF($A170="EU",Variables!$B$6,Variables!$B$3),'Rates from Ireland Fedex Priort'!I169)</f>
        <v>242</v>
      </c>
      <c r="J170" s="10" t="str">
        <f>IF(ISNUMBER('Rates from Ireland Fedex Priort'!J169),_xlfn.CEILING.MATH('Rates from Ireland Fedex Priort'!J169,1)+IF($A170="EU",Variables!$B$6,Variables!$B$3),'Rates from Ireland Fedex Priort'!J169)</f>
        <v>No service</v>
      </c>
      <c r="K170" s="10" t="str">
        <f>IF(ISNUMBER('Rates from Ireland Fedex Priort'!K169),_xlfn.CEILING.MATH('Rates from Ireland Fedex Priort'!K169,1)+IF($A170="EU",Variables!$B$6,Variables!$B$3),'Rates from Ireland Fedex Priort'!K169)</f>
        <v>No service</v>
      </c>
      <c r="L170" s="10" t="str">
        <f>IF(ISNUMBER('Rates from Ireland Fedex Priort'!L169),_xlfn.CEILING.MATH('Rates from Ireland Fedex Priort'!L169,1)+IF($A170="EU",Variables!$B$6,Variables!$B$3),'Rates from Ireland Fedex Priort'!L169)</f>
        <v>No service</v>
      </c>
      <c r="M170" s="10" t="str">
        <f>IF(ISNUMBER('Rates from Ireland Fedex Priort'!M169),_xlfn.CEILING.MATH('Rates from Ireland Fedex Priort'!M169,1)+IF($A170="EU",Variables!$B$6,Variables!$B$3),'Rates from Ireland Fedex Priort'!M169)</f>
        <v>No service</v>
      </c>
      <c r="N170" s="10" t="str">
        <f>IF(ISNUMBER('Rates from Ireland Fedex Priort'!N169),_xlfn.CEILING.MATH('Rates from Ireland Fedex Priort'!N169,1)+IF($A170="EU",Variables!$B$6,Variables!$B$3),'Rates from Ireland Fedex Priort'!N169)</f>
        <v>No service</v>
      </c>
      <c r="O170" s="11" t="s">
        <v>35</v>
      </c>
      <c r="P170" s="11" t="s">
        <v>36</v>
      </c>
      <c r="Q170" s="12">
        <v>80</v>
      </c>
      <c r="R170" s="11" t="s">
        <v>25</v>
      </c>
      <c r="S170" s="3" t="s">
        <v>26</v>
      </c>
      <c r="T170" s="38" t="s">
        <v>27</v>
      </c>
    </row>
    <row r="171" spans="1:20" ht="15.75" customHeight="1" x14ac:dyDescent="0.3">
      <c r="A171" s="39" t="str">
        <f>IF('Rates from Ireland Fedex Priort'!A170="","",'Rates from Ireland Fedex Priort'!A170)</f>
        <v>EU</v>
      </c>
      <c r="B171" s="8" t="str">
        <f>IF('Rates from Ireland Fedex Priort'!B170="","",'Rates from Ireland Fedex Priort'!B170)</f>
        <v>Ireland</v>
      </c>
      <c r="C171" s="9" t="str">
        <f>IF('Rates from Ireland Fedex Priort'!C170="","",'Rates from Ireland Fedex Priort'!C170)</f>
        <v>Palestine</v>
      </c>
      <c r="D171" s="10">
        <f>IF(ISNUMBER('Rates from Ireland Fedex Priort'!D170),_xlfn.CEILING.MATH('Rates from Ireland Fedex Priort'!D170,1)+IF($A171="EU",Variables!$B$5,Variables!$B$2),'Rates from Ireland Fedex Priort'!D170)</f>
        <v>62</v>
      </c>
      <c r="E171" s="10">
        <f>IF(ISNUMBER('Rates from Ireland Fedex Priort'!E170),_xlfn.CEILING.MATH('Rates from Ireland Fedex Priort'!E170,1)+IF($A171="EU",Variables!$B$6,Variables!$B$3),'Rates from Ireland Fedex Priort'!E170)</f>
        <v>69</v>
      </c>
      <c r="F171" s="10">
        <f>IF(ISNUMBER('Rates from Ireland Fedex Priort'!F170),_xlfn.CEILING.MATH('Rates from Ireland Fedex Priort'!F170,1)+IF($A171="EU",Variables!$B$6,Variables!$B$3),'Rates from Ireland Fedex Priort'!F170)</f>
        <v>72</v>
      </c>
      <c r="G171" s="10">
        <f>IF(ISNUMBER('Rates from Ireland Fedex Priort'!G170),_xlfn.CEILING.MATH('Rates from Ireland Fedex Priort'!G170,1)+IF($A171="EU",Variables!$B$6,Variables!$B$3),'Rates from Ireland Fedex Priort'!G170)</f>
        <v>86</v>
      </c>
      <c r="H171" s="10">
        <f>IF(ISNUMBER('Rates from Ireland Fedex Priort'!H170),_xlfn.CEILING.MATH('Rates from Ireland Fedex Priort'!H170,1)+IF($A171="EU",Variables!$B$6,Variables!$B$3),'Rates from Ireland Fedex Priort'!H170)</f>
        <v>111</v>
      </c>
      <c r="I171" s="10">
        <f>IF(ISNUMBER('Rates from Ireland Fedex Priort'!I170),_xlfn.CEILING.MATH('Rates from Ireland Fedex Priort'!I170,1)+IF($A171="EU",Variables!$B$6,Variables!$B$3),'Rates from Ireland Fedex Priort'!I170)</f>
        <v>174</v>
      </c>
      <c r="J171" s="10" t="str">
        <f>IF(ISNUMBER('Rates from Ireland Fedex Priort'!J170),_xlfn.CEILING.MATH('Rates from Ireland Fedex Priort'!J170,1)+IF($A171="EU",Variables!$B$6,Variables!$B$3),'Rates from Ireland Fedex Priort'!J170)</f>
        <v>No service</v>
      </c>
      <c r="K171" s="10" t="str">
        <f>IF(ISNUMBER('Rates from Ireland Fedex Priort'!K170),_xlfn.CEILING.MATH('Rates from Ireland Fedex Priort'!K170,1)+IF($A171="EU",Variables!$B$6,Variables!$B$3),'Rates from Ireland Fedex Priort'!K170)</f>
        <v>No service</v>
      </c>
      <c r="L171" s="10" t="str">
        <f>IF(ISNUMBER('Rates from Ireland Fedex Priort'!L170),_xlfn.CEILING.MATH('Rates from Ireland Fedex Priort'!L170,1)+IF($A171="EU",Variables!$B$6,Variables!$B$3),'Rates from Ireland Fedex Priort'!L170)</f>
        <v>No service</v>
      </c>
      <c r="M171" s="10" t="str">
        <f>IF(ISNUMBER('Rates from Ireland Fedex Priort'!M170),_xlfn.CEILING.MATH('Rates from Ireland Fedex Priort'!M170,1)+IF($A171="EU",Variables!$B$6,Variables!$B$3),'Rates from Ireland Fedex Priort'!M170)</f>
        <v>No service</v>
      </c>
      <c r="N171" s="10" t="str">
        <f>IF(ISNUMBER('Rates from Ireland Fedex Priort'!N170),_xlfn.CEILING.MATH('Rates from Ireland Fedex Priort'!N170,1)+IF($A171="EU",Variables!$B$6,Variables!$B$3),'Rates from Ireland Fedex Priort'!N170)</f>
        <v>No service</v>
      </c>
      <c r="O171" s="11" t="s">
        <v>29</v>
      </c>
      <c r="P171" s="11" t="s">
        <v>30</v>
      </c>
      <c r="Q171" s="12">
        <v>80</v>
      </c>
      <c r="R171" s="11" t="s">
        <v>25</v>
      </c>
      <c r="S171" s="3" t="s">
        <v>26</v>
      </c>
      <c r="T171" s="38" t="s">
        <v>27</v>
      </c>
    </row>
    <row r="172" spans="1:20" ht="15.75" customHeight="1" x14ac:dyDescent="0.3">
      <c r="A172" s="39" t="str">
        <f>IF('Rates from Ireland Fedex Priort'!A171="","",'Rates from Ireland Fedex Priort'!A171)</f>
        <v>EU</v>
      </c>
      <c r="B172" s="8" t="str">
        <f>IF('Rates from Ireland Fedex Priort'!B171="","",'Rates from Ireland Fedex Priort'!B171)</f>
        <v>Ireland</v>
      </c>
      <c r="C172" s="9" t="str">
        <f>IF('Rates from Ireland Fedex Priort'!C171="","",'Rates from Ireland Fedex Priort'!C171)</f>
        <v>Panama</v>
      </c>
      <c r="D172" s="10">
        <f>IF(ISNUMBER('Rates from Ireland Fedex Priort'!D171),_xlfn.CEILING.MATH('Rates from Ireland Fedex Priort'!D171,1)+IF($A172="EU",Variables!$B$5,Variables!$B$2),'Rates from Ireland Fedex Priort'!D171)</f>
        <v>68</v>
      </c>
      <c r="E172" s="10">
        <f>IF(ISNUMBER('Rates from Ireland Fedex Priort'!E171),_xlfn.CEILING.MATH('Rates from Ireland Fedex Priort'!E171,1)+IF($A172="EU",Variables!$B$6,Variables!$B$3),'Rates from Ireland Fedex Priort'!E171)</f>
        <v>77</v>
      </c>
      <c r="F172" s="10">
        <f>IF(ISNUMBER('Rates from Ireland Fedex Priort'!F171),_xlfn.CEILING.MATH('Rates from Ireland Fedex Priort'!F171,1)+IF($A172="EU",Variables!$B$6,Variables!$B$3),'Rates from Ireland Fedex Priort'!F171)</f>
        <v>81</v>
      </c>
      <c r="G172" s="10">
        <f>IF(ISNUMBER('Rates from Ireland Fedex Priort'!G171),_xlfn.CEILING.MATH('Rates from Ireland Fedex Priort'!G171,1)+IF($A172="EU",Variables!$B$6,Variables!$B$3),'Rates from Ireland Fedex Priort'!G171)</f>
        <v>96</v>
      </c>
      <c r="H172" s="10">
        <f>IF(ISNUMBER('Rates from Ireland Fedex Priort'!H171),_xlfn.CEILING.MATH('Rates from Ireland Fedex Priort'!H171,1)+IF($A172="EU",Variables!$B$6,Variables!$B$3),'Rates from Ireland Fedex Priort'!H171)</f>
        <v>117</v>
      </c>
      <c r="I172" s="10">
        <f>IF(ISNUMBER('Rates from Ireland Fedex Priort'!I171),_xlfn.CEILING.MATH('Rates from Ireland Fedex Priort'!I171,1)+IF($A172="EU",Variables!$B$6,Variables!$B$3),'Rates from Ireland Fedex Priort'!I171)</f>
        <v>219</v>
      </c>
      <c r="J172" s="10" t="str">
        <f>IF(ISNUMBER('Rates from Ireland Fedex Priort'!J171),_xlfn.CEILING.MATH('Rates from Ireland Fedex Priort'!J171,1)+IF($A172="EU",Variables!$B$6,Variables!$B$3),'Rates from Ireland Fedex Priort'!J171)</f>
        <v>No service</v>
      </c>
      <c r="K172" s="10" t="str">
        <f>IF(ISNUMBER('Rates from Ireland Fedex Priort'!K171),_xlfn.CEILING.MATH('Rates from Ireland Fedex Priort'!K171,1)+IF($A172="EU",Variables!$B$6,Variables!$B$3),'Rates from Ireland Fedex Priort'!K171)</f>
        <v>No service</v>
      </c>
      <c r="L172" s="10" t="str">
        <f>IF(ISNUMBER('Rates from Ireland Fedex Priort'!L171),_xlfn.CEILING.MATH('Rates from Ireland Fedex Priort'!L171,1)+IF($A172="EU",Variables!$B$6,Variables!$B$3),'Rates from Ireland Fedex Priort'!L171)</f>
        <v>No service</v>
      </c>
      <c r="M172" s="10" t="str">
        <f>IF(ISNUMBER('Rates from Ireland Fedex Priort'!M171),_xlfn.CEILING.MATH('Rates from Ireland Fedex Priort'!M171,1)+IF($A172="EU",Variables!$B$6,Variables!$B$3),'Rates from Ireland Fedex Priort'!M171)</f>
        <v>No service</v>
      </c>
      <c r="N172" s="10" t="str">
        <f>IF(ISNUMBER('Rates from Ireland Fedex Priort'!N171),_xlfn.CEILING.MATH('Rates from Ireland Fedex Priort'!N171,1)+IF($A172="EU",Variables!$B$6,Variables!$B$3),'Rates from Ireland Fedex Priort'!N171)</f>
        <v>No service</v>
      </c>
      <c r="O172" s="11" t="s">
        <v>41</v>
      </c>
      <c r="P172" s="11" t="s">
        <v>23</v>
      </c>
      <c r="Q172" s="12">
        <v>80</v>
      </c>
      <c r="R172" s="11" t="s">
        <v>25</v>
      </c>
      <c r="S172" s="3" t="s">
        <v>26</v>
      </c>
      <c r="T172" s="38" t="s">
        <v>27</v>
      </c>
    </row>
    <row r="173" spans="1:20" ht="15.75" customHeight="1" x14ac:dyDescent="0.3">
      <c r="A173" s="39" t="str">
        <f>IF('Rates from Ireland Fedex Priort'!A172="","",'Rates from Ireland Fedex Priort'!A172)</f>
        <v>EU</v>
      </c>
      <c r="B173" s="8" t="str">
        <f>IF('Rates from Ireland Fedex Priort'!B172="","",'Rates from Ireland Fedex Priort'!B172)</f>
        <v>Ireland</v>
      </c>
      <c r="C173" s="9" t="str">
        <f>IF('Rates from Ireland Fedex Priort'!C172="","",'Rates from Ireland Fedex Priort'!C172)</f>
        <v>Papua New Guinea</v>
      </c>
      <c r="D173" s="10">
        <f>IF(ISNUMBER('Rates from Ireland Fedex Priort'!D172),_xlfn.CEILING.MATH('Rates from Ireland Fedex Priort'!D172,1)+IF($A173="EU",Variables!$B$5,Variables!$B$2),'Rates from Ireland Fedex Priort'!D172)</f>
        <v>72</v>
      </c>
      <c r="E173" s="10">
        <f>IF(ISNUMBER('Rates from Ireland Fedex Priort'!E172),_xlfn.CEILING.MATH('Rates from Ireland Fedex Priort'!E172,1)+IF($A173="EU",Variables!$B$6,Variables!$B$3),'Rates from Ireland Fedex Priort'!E172)</f>
        <v>83</v>
      </c>
      <c r="F173" s="10">
        <f>IF(ISNUMBER('Rates from Ireland Fedex Priort'!F172),_xlfn.CEILING.MATH('Rates from Ireland Fedex Priort'!F172,1)+IF($A173="EU",Variables!$B$6,Variables!$B$3),'Rates from Ireland Fedex Priort'!F172)</f>
        <v>88</v>
      </c>
      <c r="G173" s="10">
        <f>IF(ISNUMBER('Rates from Ireland Fedex Priort'!G172),_xlfn.CEILING.MATH('Rates from Ireland Fedex Priort'!G172,1)+IF($A173="EU",Variables!$B$6,Variables!$B$3),'Rates from Ireland Fedex Priort'!G172)</f>
        <v>106</v>
      </c>
      <c r="H173" s="10">
        <f>IF(ISNUMBER('Rates from Ireland Fedex Priort'!H172),_xlfn.CEILING.MATH('Rates from Ireland Fedex Priort'!H172,1)+IF($A173="EU",Variables!$B$6,Variables!$B$3),'Rates from Ireland Fedex Priort'!H172)</f>
        <v>134</v>
      </c>
      <c r="I173" s="10">
        <f>IF(ISNUMBER('Rates from Ireland Fedex Priort'!I172),_xlfn.CEILING.MATH('Rates from Ireland Fedex Priort'!I172,1)+IF($A173="EU",Variables!$B$6,Variables!$B$3),'Rates from Ireland Fedex Priort'!I172)</f>
        <v>242</v>
      </c>
      <c r="J173" s="10" t="str">
        <f>IF(ISNUMBER('Rates from Ireland Fedex Priort'!J172),_xlfn.CEILING.MATH('Rates from Ireland Fedex Priort'!J172,1)+IF($A173="EU",Variables!$B$6,Variables!$B$3),'Rates from Ireland Fedex Priort'!J172)</f>
        <v>No service</v>
      </c>
      <c r="K173" s="10" t="str">
        <f>IF(ISNUMBER('Rates from Ireland Fedex Priort'!K172),_xlfn.CEILING.MATH('Rates from Ireland Fedex Priort'!K172,1)+IF($A173="EU",Variables!$B$6,Variables!$B$3),'Rates from Ireland Fedex Priort'!K172)</f>
        <v>No service</v>
      </c>
      <c r="L173" s="10" t="str">
        <f>IF(ISNUMBER('Rates from Ireland Fedex Priort'!L172),_xlfn.CEILING.MATH('Rates from Ireland Fedex Priort'!L172,1)+IF($A173="EU",Variables!$B$6,Variables!$B$3),'Rates from Ireland Fedex Priort'!L172)</f>
        <v>No service</v>
      </c>
      <c r="M173" s="10" t="str">
        <f>IF(ISNUMBER('Rates from Ireland Fedex Priort'!M172),_xlfn.CEILING.MATH('Rates from Ireland Fedex Priort'!M172,1)+IF($A173="EU",Variables!$B$6,Variables!$B$3),'Rates from Ireland Fedex Priort'!M172)</f>
        <v>No service</v>
      </c>
      <c r="N173" s="10" t="str">
        <f>IF(ISNUMBER('Rates from Ireland Fedex Priort'!N172),_xlfn.CEILING.MATH('Rates from Ireland Fedex Priort'!N172,1)+IF($A173="EU",Variables!$B$6,Variables!$B$3),'Rates from Ireland Fedex Priort'!N172)</f>
        <v>No service</v>
      </c>
      <c r="O173" s="11" t="s">
        <v>35</v>
      </c>
      <c r="P173" s="11" t="s">
        <v>36</v>
      </c>
      <c r="Q173" s="12">
        <v>80</v>
      </c>
      <c r="R173" s="11" t="s">
        <v>25</v>
      </c>
      <c r="S173" s="3" t="s">
        <v>26</v>
      </c>
      <c r="T173" s="38" t="s">
        <v>27</v>
      </c>
    </row>
    <row r="174" spans="1:20" ht="15.75" customHeight="1" x14ac:dyDescent="0.3">
      <c r="A174" s="39" t="str">
        <f>IF('Rates from Ireland Fedex Priort'!A173="","",'Rates from Ireland Fedex Priort'!A173)</f>
        <v>EU</v>
      </c>
      <c r="B174" s="8" t="str">
        <f>IF('Rates from Ireland Fedex Priort'!B173="","",'Rates from Ireland Fedex Priort'!B173)</f>
        <v>Ireland</v>
      </c>
      <c r="C174" s="9" t="str">
        <f>IF('Rates from Ireland Fedex Priort'!C173="","",'Rates from Ireland Fedex Priort'!C173)</f>
        <v>Paraguay</v>
      </c>
      <c r="D174" s="10">
        <f>IF(ISNUMBER('Rates from Ireland Fedex Priort'!D173),_xlfn.CEILING.MATH('Rates from Ireland Fedex Priort'!D173,1)+IF($A174="EU",Variables!$B$5,Variables!$B$2),'Rates from Ireland Fedex Priort'!D173)</f>
        <v>68</v>
      </c>
      <c r="E174" s="10">
        <f>IF(ISNUMBER('Rates from Ireland Fedex Priort'!E173),_xlfn.CEILING.MATH('Rates from Ireland Fedex Priort'!E173,1)+IF($A174="EU",Variables!$B$6,Variables!$B$3),'Rates from Ireland Fedex Priort'!E173)</f>
        <v>77</v>
      </c>
      <c r="F174" s="10">
        <f>IF(ISNUMBER('Rates from Ireland Fedex Priort'!F173),_xlfn.CEILING.MATH('Rates from Ireland Fedex Priort'!F173,1)+IF($A174="EU",Variables!$B$6,Variables!$B$3),'Rates from Ireland Fedex Priort'!F173)</f>
        <v>81</v>
      </c>
      <c r="G174" s="10">
        <f>IF(ISNUMBER('Rates from Ireland Fedex Priort'!G173),_xlfn.CEILING.MATH('Rates from Ireland Fedex Priort'!G173,1)+IF($A174="EU",Variables!$B$6,Variables!$B$3),'Rates from Ireland Fedex Priort'!G173)</f>
        <v>96</v>
      </c>
      <c r="H174" s="10">
        <f>IF(ISNUMBER('Rates from Ireland Fedex Priort'!H173),_xlfn.CEILING.MATH('Rates from Ireland Fedex Priort'!H173,1)+IF($A174="EU",Variables!$B$6,Variables!$B$3),'Rates from Ireland Fedex Priort'!H173)</f>
        <v>117</v>
      </c>
      <c r="I174" s="10">
        <f>IF(ISNUMBER('Rates from Ireland Fedex Priort'!I173),_xlfn.CEILING.MATH('Rates from Ireland Fedex Priort'!I173,1)+IF($A174="EU",Variables!$B$6,Variables!$B$3),'Rates from Ireland Fedex Priort'!I173)</f>
        <v>219</v>
      </c>
      <c r="J174" s="10" t="str">
        <f>IF(ISNUMBER('Rates from Ireland Fedex Priort'!J173),_xlfn.CEILING.MATH('Rates from Ireland Fedex Priort'!J173,1)+IF($A174="EU",Variables!$B$6,Variables!$B$3),'Rates from Ireland Fedex Priort'!J173)</f>
        <v>No service</v>
      </c>
      <c r="K174" s="10" t="str">
        <f>IF(ISNUMBER('Rates from Ireland Fedex Priort'!K173),_xlfn.CEILING.MATH('Rates from Ireland Fedex Priort'!K173,1)+IF($A174="EU",Variables!$B$6,Variables!$B$3),'Rates from Ireland Fedex Priort'!K173)</f>
        <v>No service</v>
      </c>
      <c r="L174" s="10" t="str">
        <f>IF(ISNUMBER('Rates from Ireland Fedex Priort'!L173),_xlfn.CEILING.MATH('Rates from Ireland Fedex Priort'!L173,1)+IF($A174="EU",Variables!$B$6,Variables!$B$3),'Rates from Ireland Fedex Priort'!L173)</f>
        <v>No service</v>
      </c>
      <c r="M174" s="10" t="str">
        <f>IF(ISNUMBER('Rates from Ireland Fedex Priort'!M173),_xlfn.CEILING.MATH('Rates from Ireland Fedex Priort'!M173,1)+IF($A174="EU",Variables!$B$6,Variables!$B$3),'Rates from Ireland Fedex Priort'!M173)</f>
        <v>No service</v>
      </c>
      <c r="N174" s="10" t="str">
        <f>IF(ISNUMBER('Rates from Ireland Fedex Priort'!N173),_xlfn.CEILING.MATH('Rates from Ireland Fedex Priort'!N173,1)+IF($A174="EU",Variables!$B$6,Variables!$B$3),'Rates from Ireland Fedex Priort'!N173)</f>
        <v>No service</v>
      </c>
      <c r="O174" s="11" t="s">
        <v>41</v>
      </c>
      <c r="P174" s="11" t="s">
        <v>23</v>
      </c>
      <c r="Q174" s="12">
        <v>80</v>
      </c>
      <c r="R174" s="11" t="s">
        <v>25</v>
      </c>
      <c r="S174" s="3" t="s">
        <v>26</v>
      </c>
      <c r="T174" s="38" t="s">
        <v>27</v>
      </c>
    </row>
    <row r="175" spans="1:20" ht="15.75" customHeight="1" x14ac:dyDescent="0.3">
      <c r="A175" s="39" t="str">
        <f>IF('Rates from Ireland Fedex Priort'!A174="","",'Rates from Ireland Fedex Priort'!A174)</f>
        <v>EU</v>
      </c>
      <c r="B175" s="8" t="str">
        <f>IF('Rates from Ireland Fedex Priort'!B174="","",'Rates from Ireland Fedex Priort'!B174)</f>
        <v>Ireland</v>
      </c>
      <c r="C175" s="9" t="str">
        <f>IF('Rates from Ireland Fedex Priort'!C174="","",'Rates from Ireland Fedex Priort'!C174)</f>
        <v>Peru</v>
      </c>
      <c r="D175" s="10">
        <f>IF(ISNUMBER('Rates from Ireland Fedex Priort'!D174),_xlfn.CEILING.MATH('Rates from Ireland Fedex Priort'!D174,1)+IF($A175="EU",Variables!$B$5,Variables!$B$2),'Rates from Ireland Fedex Priort'!D174)</f>
        <v>68</v>
      </c>
      <c r="E175" s="10">
        <f>IF(ISNUMBER('Rates from Ireland Fedex Priort'!E174),_xlfn.CEILING.MATH('Rates from Ireland Fedex Priort'!E174,1)+IF($A175="EU",Variables!$B$6,Variables!$B$3),'Rates from Ireland Fedex Priort'!E174)</f>
        <v>77</v>
      </c>
      <c r="F175" s="10">
        <f>IF(ISNUMBER('Rates from Ireland Fedex Priort'!F174),_xlfn.CEILING.MATH('Rates from Ireland Fedex Priort'!F174,1)+IF($A175="EU",Variables!$B$6,Variables!$B$3),'Rates from Ireland Fedex Priort'!F174)</f>
        <v>81</v>
      </c>
      <c r="G175" s="10">
        <f>IF(ISNUMBER('Rates from Ireland Fedex Priort'!G174),_xlfn.CEILING.MATH('Rates from Ireland Fedex Priort'!G174,1)+IF($A175="EU",Variables!$B$6,Variables!$B$3),'Rates from Ireland Fedex Priort'!G174)</f>
        <v>96</v>
      </c>
      <c r="H175" s="10">
        <f>IF(ISNUMBER('Rates from Ireland Fedex Priort'!H174),_xlfn.CEILING.MATH('Rates from Ireland Fedex Priort'!H174,1)+IF($A175="EU",Variables!$B$6,Variables!$B$3),'Rates from Ireland Fedex Priort'!H174)</f>
        <v>117</v>
      </c>
      <c r="I175" s="10">
        <f>IF(ISNUMBER('Rates from Ireland Fedex Priort'!I174),_xlfn.CEILING.MATH('Rates from Ireland Fedex Priort'!I174,1)+IF($A175="EU",Variables!$B$6,Variables!$B$3),'Rates from Ireland Fedex Priort'!I174)</f>
        <v>219</v>
      </c>
      <c r="J175" s="10" t="str">
        <f>IF(ISNUMBER('Rates from Ireland Fedex Priort'!J174),_xlfn.CEILING.MATH('Rates from Ireland Fedex Priort'!J174,1)+IF($A175="EU",Variables!$B$6,Variables!$B$3),'Rates from Ireland Fedex Priort'!J174)</f>
        <v>No service</v>
      </c>
      <c r="K175" s="10" t="str">
        <f>IF(ISNUMBER('Rates from Ireland Fedex Priort'!K174),_xlfn.CEILING.MATH('Rates from Ireland Fedex Priort'!K174,1)+IF($A175="EU",Variables!$B$6,Variables!$B$3),'Rates from Ireland Fedex Priort'!K174)</f>
        <v>No service</v>
      </c>
      <c r="L175" s="10" t="str">
        <f>IF(ISNUMBER('Rates from Ireland Fedex Priort'!L174),_xlfn.CEILING.MATH('Rates from Ireland Fedex Priort'!L174,1)+IF($A175="EU",Variables!$B$6,Variables!$B$3),'Rates from Ireland Fedex Priort'!L174)</f>
        <v>No service</v>
      </c>
      <c r="M175" s="10" t="str">
        <f>IF(ISNUMBER('Rates from Ireland Fedex Priort'!M174),_xlfn.CEILING.MATH('Rates from Ireland Fedex Priort'!M174,1)+IF($A175="EU",Variables!$B$6,Variables!$B$3),'Rates from Ireland Fedex Priort'!M174)</f>
        <v>No service</v>
      </c>
      <c r="N175" s="10" t="str">
        <f>IF(ISNUMBER('Rates from Ireland Fedex Priort'!N174),_xlfn.CEILING.MATH('Rates from Ireland Fedex Priort'!N174,1)+IF($A175="EU",Variables!$B$6,Variables!$B$3),'Rates from Ireland Fedex Priort'!N174)</f>
        <v>No service</v>
      </c>
      <c r="O175" s="11" t="s">
        <v>41</v>
      </c>
      <c r="P175" s="11" t="s">
        <v>23</v>
      </c>
      <c r="Q175" s="12">
        <v>80</v>
      </c>
      <c r="R175" s="11" t="s">
        <v>25</v>
      </c>
      <c r="S175" s="3" t="s">
        <v>26</v>
      </c>
      <c r="T175" s="38" t="s">
        <v>27</v>
      </c>
    </row>
    <row r="176" spans="1:20" ht="15.75" customHeight="1" x14ac:dyDescent="0.3">
      <c r="A176" s="39" t="str">
        <f>IF('Rates from Ireland Fedex Priort'!A175="","",'Rates from Ireland Fedex Priort'!A175)</f>
        <v>EU</v>
      </c>
      <c r="B176" s="8" t="str">
        <f>IF('Rates from Ireland Fedex Priort'!B175="","",'Rates from Ireland Fedex Priort'!B175)</f>
        <v>Ireland</v>
      </c>
      <c r="C176" s="9" t="str">
        <f>IF('Rates from Ireland Fedex Priort'!C175="","",'Rates from Ireland Fedex Priort'!C175)</f>
        <v>Philippines</v>
      </c>
      <c r="D176" s="10">
        <f>IF(ISNUMBER('Rates from Ireland Fedex Priort'!D175),_xlfn.CEILING.MATH('Rates from Ireland Fedex Priort'!D175,1)+IF($A176="EU",Variables!$B$5,Variables!$B$2),'Rates from Ireland Fedex Priort'!D175)</f>
        <v>69</v>
      </c>
      <c r="E176" s="10">
        <f>IF(ISNUMBER('Rates from Ireland Fedex Priort'!E175),_xlfn.CEILING.MATH('Rates from Ireland Fedex Priort'!E175,1)+IF($A176="EU",Variables!$B$6,Variables!$B$3),'Rates from Ireland Fedex Priort'!E175)</f>
        <v>74</v>
      </c>
      <c r="F176" s="10">
        <f>IF(ISNUMBER('Rates from Ireland Fedex Priort'!F175),_xlfn.CEILING.MATH('Rates from Ireland Fedex Priort'!F175,1)+IF($A176="EU",Variables!$B$6,Variables!$B$3),'Rates from Ireland Fedex Priort'!F175)</f>
        <v>79</v>
      </c>
      <c r="G176" s="10">
        <f>IF(ISNUMBER('Rates from Ireland Fedex Priort'!G175),_xlfn.CEILING.MATH('Rates from Ireland Fedex Priort'!G175,1)+IF($A176="EU",Variables!$B$6,Variables!$B$3),'Rates from Ireland Fedex Priort'!G175)</f>
        <v>95</v>
      </c>
      <c r="H176" s="10">
        <f>IF(ISNUMBER('Rates from Ireland Fedex Priort'!H175),_xlfn.CEILING.MATH('Rates from Ireland Fedex Priort'!H175,1)+IF($A176="EU",Variables!$B$6,Variables!$B$3),'Rates from Ireland Fedex Priort'!H175)</f>
        <v>119</v>
      </c>
      <c r="I176" s="10">
        <f>IF(ISNUMBER('Rates from Ireland Fedex Priort'!I175),_xlfn.CEILING.MATH('Rates from Ireland Fedex Priort'!I175,1)+IF($A176="EU",Variables!$B$6,Variables!$B$3),'Rates from Ireland Fedex Priort'!I175)</f>
        <v>179</v>
      </c>
      <c r="J176" s="10" t="str">
        <f>IF(ISNUMBER('Rates from Ireland Fedex Priort'!J175),_xlfn.CEILING.MATH('Rates from Ireland Fedex Priort'!J175,1)+IF($A176="EU",Variables!$B$6,Variables!$B$3),'Rates from Ireland Fedex Priort'!J175)</f>
        <v>No service</v>
      </c>
      <c r="K176" s="10" t="str">
        <f>IF(ISNUMBER('Rates from Ireland Fedex Priort'!K175),_xlfn.CEILING.MATH('Rates from Ireland Fedex Priort'!K175,1)+IF($A176="EU",Variables!$B$6,Variables!$B$3),'Rates from Ireland Fedex Priort'!K175)</f>
        <v>No service</v>
      </c>
      <c r="L176" s="10" t="str">
        <f>IF(ISNUMBER('Rates from Ireland Fedex Priort'!L175),_xlfn.CEILING.MATH('Rates from Ireland Fedex Priort'!L175,1)+IF($A176="EU",Variables!$B$6,Variables!$B$3),'Rates from Ireland Fedex Priort'!L175)</f>
        <v>No service</v>
      </c>
      <c r="M176" s="10" t="str">
        <f>IF(ISNUMBER('Rates from Ireland Fedex Priort'!M175),_xlfn.CEILING.MATH('Rates from Ireland Fedex Priort'!M175,1)+IF($A176="EU",Variables!$B$6,Variables!$B$3),'Rates from Ireland Fedex Priort'!M175)</f>
        <v>No service</v>
      </c>
      <c r="N176" s="10" t="str">
        <f>IF(ISNUMBER('Rates from Ireland Fedex Priort'!N175),_xlfn.CEILING.MATH('Rates from Ireland Fedex Priort'!N175,1)+IF($A176="EU",Variables!$B$6,Variables!$B$3),'Rates from Ireland Fedex Priort'!N175)</f>
        <v>No service</v>
      </c>
      <c r="O176" s="11" t="s">
        <v>41</v>
      </c>
      <c r="P176" s="11" t="s">
        <v>143</v>
      </c>
      <c r="Q176" s="12">
        <v>80</v>
      </c>
      <c r="R176" s="11" t="s">
        <v>25</v>
      </c>
      <c r="S176" s="3" t="s">
        <v>26</v>
      </c>
      <c r="T176" s="38" t="s">
        <v>27</v>
      </c>
    </row>
    <row r="177" spans="1:20" ht="15.75" customHeight="1" x14ac:dyDescent="0.3">
      <c r="A177" s="39" t="str">
        <f>IF('Rates from Ireland Fedex Priort'!A176="","",'Rates from Ireland Fedex Priort'!A176)</f>
        <v>EU</v>
      </c>
      <c r="B177" s="8" t="str">
        <f>IF('Rates from Ireland Fedex Priort'!B176="","",'Rates from Ireland Fedex Priort'!B176)</f>
        <v>Ireland</v>
      </c>
      <c r="C177" s="9" t="str">
        <f>IF('Rates from Ireland Fedex Priort'!C176="","",'Rates from Ireland Fedex Priort'!C176)</f>
        <v>Pitcairn Islands (BOT)</v>
      </c>
      <c r="D177" s="10" t="str">
        <f>IF(ISNUMBER('Rates from Ireland Fedex Priort'!D176),_xlfn.CEILING.MATH('Rates from Ireland Fedex Priort'!D176,1)+IF($A177="EU",Variables!$B$5,Variables!$B$2),'Rates from Ireland Fedex Priort'!D176)</f>
        <v>No service</v>
      </c>
      <c r="E177" s="10" t="str">
        <f>IF(ISNUMBER('Rates from Ireland Fedex Priort'!E176),_xlfn.CEILING.MATH('Rates from Ireland Fedex Priort'!E176,1)+IF($A177="EU",Variables!$B$6,Variables!$B$3),'Rates from Ireland Fedex Priort'!E176)</f>
        <v>No service</v>
      </c>
      <c r="F177" s="10" t="str">
        <f>IF(ISNUMBER('Rates from Ireland Fedex Priort'!F176),_xlfn.CEILING.MATH('Rates from Ireland Fedex Priort'!F176,1)+IF($A177="EU",Variables!$B$6,Variables!$B$3),'Rates from Ireland Fedex Priort'!F176)</f>
        <v>No service</v>
      </c>
      <c r="G177" s="10" t="str">
        <f>IF(ISNUMBER('Rates from Ireland Fedex Priort'!G176),_xlfn.CEILING.MATH('Rates from Ireland Fedex Priort'!G176,1)+IF($A177="EU",Variables!$B$6,Variables!$B$3),'Rates from Ireland Fedex Priort'!G176)</f>
        <v>No service</v>
      </c>
      <c r="H177" s="10" t="str">
        <f>IF(ISNUMBER('Rates from Ireland Fedex Priort'!H176),_xlfn.CEILING.MATH('Rates from Ireland Fedex Priort'!H176,1)+IF($A177="EU",Variables!$B$6,Variables!$B$3),'Rates from Ireland Fedex Priort'!H176)</f>
        <v>No service</v>
      </c>
      <c r="I177" s="10" t="str">
        <f>IF(ISNUMBER('Rates from Ireland Fedex Priort'!I176),_xlfn.CEILING.MATH('Rates from Ireland Fedex Priort'!I176,1)+IF($A177="EU",Variables!$B$6,Variables!$B$3),'Rates from Ireland Fedex Priort'!I176)</f>
        <v>No service</v>
      </c>
      <c r="J177" s="10" t="str">
        <f>IF(ISNUMBER('Rates from Ireland Fedex Priort'!J176),_xlfn.CEILING.MATH('Rates from Ireland Fedex Priort'!J176,1)+IF($A177="EU",Variables!$B$6,Variables!$B$3),'Rates from Ireland Fedex Priort'!J176)</f>
        <v>No service</v>
      </c>
      <c r="K177" s="10" t="str">
        <f>IF(ISNUMBER('Rates from Ireland Fedex Priort'!K176),_xlfn.CEILING.MATH('Rates from Ireland Fedex Priort'!K176,1)+IF($A177="EU",Variables!$B$6,Variables!$B$3),'Rates from Ireland Fedex Priort'!K176)</f>
        <v>No service</v>
      </c>
      <c r="L177" s="10" t="str">
        <f>IF(ISNUMBER('Rates from Ireland Fedex Priort'!L176),_xlfn.CEILING.MATH('Rates from Ireland Fedex Priort'!L176,1)+IF($A177="EU",Variables!$B$6,Variables!$B$3),'Rates from Ireland Fedex Priort'!L176)</f>
        <v>No service</v>
      </c>
      <c r="M177" s="10" t="str">
        <f>IF(ISNUMBER('Rates from Ireland Fedex Priort'!M176),_xlfn.CEILING.MATH('Rates from Ireland Fedex Priort'!M176,1)+IF($A177="EU",Variables!$B$6,Variables!$B$3),'Rates from Ireland Fedex Priort'!M176)</f>
        <v>No service</v>
      </c>
      <c r="N177" s="10" t="str">
        <f>IF(ISNUMBER('Rates from Ireland Fedex Priort'!N176),_xlfn.CEILING.MATH('Rates from Ireland Fedex Priort'!N176,1)+IF($A177="EU",Variables!$B$6,Variables!$B$3),'Rates from Ireland Fedex Priort'!N176)</f>
        <v>No service</v>
      </c>
      <c r="O177" s="11"/>
      <c r="P177" s="11"/>
      <c r="Q177" s="11"/>
      <c r="R177" s="11"/>
      <c r="S177" s="3" t="s">
        <v>26</v>
      </c>
      <c r="T177" s="38" t="s">
        <v>27</v>
      </c>
    </row>
    <row r="178" spans="1:20" ht="15.75" customHeight="1" x14ac:dyDescent="0.3">
      <c r="A178" s="39" t="str">
        <f>IF('Rates from Ireland Fedex Priort'!A177="","",'Rates from Ireland Fedex Priort'!A177)</f>
        <v>N/A</v>
      </c>
      <c r="B178" s="8" t="str">
        <f>IF('Rates from Ireland Fedex Priort'!B177="","",'Rates from Ireland Fedex Priort'!B177)</f>
        <v>Ireland</v>
      </c>
      <c r="C178" s="9" t="str">
        <f>IF('Rates from Ireland Fedex Priort'!C177="","",'Rates from Ireland Fedex Priort'!C177)</f>
        <v>Poland</v>
      </c>
      <c r="D178" s="10">
        <f>IF(ISNUMBER('Rates from Ireland Fedex Priort'!D177),_xlfn.CEILING.MATH('Rates from Ireland Fedex Priort'!D177,1)+IF($A178="EU",Variables!$B$5,Variables!$B$2),'Rates from Ireland Fedex Priort'!D177)</f>
        <v>78</v>
      </c>
      <c r="E178" s="10">
        <f>IF(ISNUMBER('Rates from Ireland Fedex Priort'!E177),_xlfn.CEILING.MATH('Rates from Ireland Fedex Priort'!E177,1)+IF($A178="EU",Variables!$B$6,Variables!$B$3),'Rates from Ireland Fedex Priort'!E177)</f>
        <v>83</v>
      </c>
      <c r="F178" s="10">
        <f>IF(ISNUMBER('Rates from Ireland Fedex Priort'!F177),_xlfn.CEILING.MATH('Rates from Ireland Fedex Priort'!F177,1)+IF($A178="EU",Variables!$B$6,Variables!$B$3),'Rates from Ireland Fedex Priort'!F177)</f>
        <v>87</v>
      </c>
      <c r="G178" s="10">
        <f>IF(ISNUMBER('Rates from Ireland Fedex Priort'!G177),_xlfn.CEILING.MATH('Rates from Ireland Fedex Priort'!G177,1)+IF($A178="EU",Variables!$B$6,Variables!$B$3),'Rates from Ireland Fedex Priort'!G177)</f>
        <v>89</v>
      </c>
      <c r="H178" s="10">
        <f>IF(ISNUMBER('Rates from Ireland Fedex Priort'!H177),_xlfn.CEILING.MATH('Rates from Ireland Fedex Priort'!H177,1)+IF($A178="EU",Variables!$B$6,Variables!$B$3),'Rates from Ireland Fedex Priort'!H177)</f>
        <v>92</v>
      </c>
      <c r="I178" s="10">
        <f>IF(ISNUMBER('Rates from Ireland Fedex Priort'!I177),_xlfn.CEILING.MATH('Rates from Ireland Fedex Priort'!I177,1)+IF($A178="EU",Variables!$B$6,Variables!$B$3),'Rates from Ireland Fedex Priort'!I177)</f>
        <v>105</v>
      </c>
      <c r="J178" s="10">
        <f>IF(ISNUMBER('Rates from Ireland Fedex Priort'!J177),_xlfn.CEILING.MATH('Rates from Ireland Fedex Priort'!J177,1)+IF($A178="EU",Variables!$B$6,Variables!$B$3),'Rates from Ireland Fedex Priort'!J177)</f>
        <v>113</v>
      </c>
      <c r="K178" s="10">
        <f>IF(ISNUMBER('Rates from Ireland Fedex Priort'!K177),_xlfn.CEILING.MATH('Rates from Ireland Fedex Priort'!K177,1)+IF($A178="EU",Variables!$B$6,Variables!$B$3),'Rates from Ireland Fedex Priort'!K177)</f>
        <v>122</v>
      </c>
      <c r="L178" s="10">
        <f>IF(ISNUMBER('Rates from Ireland Fedex Priort'!L177),_xlfn.CEILING.MATH('Rates from Ireland Fedex Priort'!L177,1)+IF($A178="EU",Variables!$B$6,Variables!$B$3),'Rates from Ireland Fedex Priort'!L177)</f>
        <v>149</v>
      </c>
      <c r="M178" s="10">
        <f>IF(ISNUMBER('Rates from Ireland Fedex Priort'!M177),_xlfn.CEILING.MATH('Rates from Ireland Fedex Priort'!M177,1)+IF($A178="EU",Variables!$B$6,Variables!$B$3),'Rates from Ireland Fedex Priort'!M177)</f>
        <v>157</v>
      </c>
      <c r="N178" s="10">
        <f>IF(ISNUMBER('Rates from Ireland Fedex Priort'!N177),_xlfn.CEILING.MATH('Rates from Ireland Fedex Priort'!N177,1)+IF($A178="EU",Variables!$B$6,Variables!$B$3),'Rates from Ireland Fedex Priort'!N177)</f>
        <v>162</v>
      </c>
      <c r="O178" s="15" t="s">
        <v>61</v>
      </c>
      <c r="P178" s="15" t="s">
        <v>23</v>
      </c>
      <c r="Q178" s="16">
        <v>80</v>
      </c>
      <c r="R178" s="15" t="s">
        <v>25</v>
      </c>
      <c r="S178" s="17" t="s">
        <v>26</v>
      </c>
      <c r="T178" s="40" t="s">
        <v>27</v>
      </c>
    </row>
    <row r="179" spans="1:20" ht="15.75" customHeight="1" x14ac:dyDescent="0.3">
      <c r="A179" s="39" t="str">
        <f>IF('Rates from Ireland Fedex Priort'!A178="","",'Rates from Ireland Fedex Priort'!A178)</f>
        <v>EU</v>
      </c>
      <c r="B179" s="8" t="str">
        <f>IF('Rates from Ireland Fedex Priort'!B178="","",'Rates from Ireland Fedex Priort'!B178)</f>
        <v>Ireland</v>
      </c>
      <c r="C179" s="9" t="str">
        <f>IF('Rates from Ireland Fedex Priort'!C178="","",'Rates from Ireland Fedex Priort'!C178)</f>
        <v>Portugal</v>
      </c>
      <c r="D179" s="10">
        <f>IF(ISNUMBER('Rates from Ireland Fedex Priort'!D178),_xlfn.CEILING.MATH('Rates from Ireland Fedex Priort'!D178,1)+IF($A179="EU",Variables!$B$5,Variables!$B$2),'Rates from Ireland Fedex Priort'!D178)</f>
        <v>63</v>
      </c>
      <c r="E179" s="10">
        <f>IF(ISNUMBER('Rates from Ireland Fedex Priort'!E178),_xlfn.CEILING.MATH('Rates from Ireland Fedex Priort'!E178,1)+IF($A179="EU",Variables!$B$6,Variables!$B$3),'Rates from Ireland Fedex Priort'!E178)</f>
        <v>65</v>
      </c>
      <c r="F179" s="10">
        <f>IF(ISNUMBER('Rates from Ireland Fedex Priort'!F178),_xlfn.CEILING.MATH('Rates from Ireland Fedex Priort'!F178,1)+IF($A179="EU",Variables!$B$6,Variables!$B$3),'Rates from Ireland Fedex Priort'!F178)</f>
        <v>65</v>
      </c>
      <c r="G179" s="10">
        <f>IF(ISNUMBER('Rates from Ireland Fedex Priort'!G178),_xlfn.CEILING.MATH('Rates from Ireland Fedex Priort'!G178,1)+IF($A179="EU",Variables!$B$6,Variables!$B$3),'Rates from Ireland Fedex Priort'!G178)</f>
        <v>67</v>
      </c>
      <c r="H179" s="10">
        <f>IF(ISNUMBER('Rates from Ireland Fedex Priort'!H178),_xlfn.CEILING.MATH('Rates from Ireland Fedex Priort'!H178,1)+IF($A179="EU",Variables!$B$6,Variables!$B$3),'Rates from Ireland Fedex Priort'!H178)</f>
        <v>71</v>
      </c>
      <c r="I179" s="10">
        <f>IF(ISNUMBER('Rates from Ireland Fedex Priort'!I178),_xlfn.CEILING.MATH('Rates from Ireland Fedex Priort'!I178,1)+IF($A179="EU",Variables!$B$6,Variables!$B$3),'Rates from Ireland Fedex Priort'!I178)</f>
        <v>78</v>
      </c>
      <c r="J179" s="10">
        <f>IF(ISNUMBER('Rates from Ireland Fedex Priort'!J178),_xlfn.CEILING.MATH('Rates from Ireland Fedex Priort'!J178,1)+IF($A179="EU",Variables!$B$6,Variables!$B$3),'Rates from Ireland Fedex Priort'!J178)</f>
        <v>88</v>
      </c>
      <c r="K179" s="10">
        <f>IF(ISNUMBER('Rates from Ireland Fedex Priort'!K178),_xlfn.CEILING.MATH('Rates from Ireland Fedex Priort'!K178,1)+IF($A179="EU",Variables!$B$6,Variables!$B$3),'Rates from Ireland Fedex Priort'!K178)</f>
        <v>93</v>
      </c>
      <c r="L179" s="10">
        <f>IF(ISNUMBER('Rates from Ireland Fedex Priort'!L178),_xlfn.CEILING.MATH('Rates from Ireland Fedex Priort'!L178,1)+IF($A179="EU",Variables!$B$6,Variables!$B$3),'Rates from Ireland Fedex Priort'!L178)</f>
        <v>118</v>
      </c>
      <c r="M179" s="10">
        <f>IF(ISNUMBER('Rates from Ireland Fedex Priort'!M178),_xlfn.CEILING.MATH('Rates from Ireland Fedex Priort'!M178,1)+IF($A179="EU",Variables!$B$6,Variables!$B$3),'Rates from Ireland Fedex Priort'!M178)</f>
        <v>113</v>
      </c>
      <c r="N179" s="10">
        <f>IF(ISNUMBER('Rates from Ireland Fedex Priort'!N178),_xlfn.CEILING.MATH('Rates from Ireland Fedex Priort'!N178,1)+IF($A179="EU",Variables!$B$6,Variables!$B$3),'Rates from Ireland Fedex Priort'!N178)</f>
        <v>127</v>
      </c>
      <c r="O179" s="15" t="s">
        <v>29</v>
      </c>
      <c r="P179" s="15" t="s">
        <v>23</v>
      </c>
      <c r="Q179" s="16">
        <v>80</v>
      </c>
      <c r="R179" s="15" t="s">
        <v>25</v>
      </c>
      <c r="S179" s="17" t="s">
        <v>26</v>
      </c>
      <c r="T179" s="40" t="s">
        <v>27</v>
      </c>
    </row>
    <row r="180" spans="1:20" ht="15.75" customHeight="1" x14ac:dyDescent="0.3">
      <c r="A180" s="39" t="str">
        <f>IF('Rates from Ireland Fedex Priort'!A179="","",'Rates from Ireland Fedex Priort'!A179)</f>
        <v>EU</v>
      </c>
      <c r="B180" s="8" t="str">
        <f>IF('Rates from Ireland Fedex Priort'!B179="","",'Rates from Ireland Fedex Priort'!B179)</f>
        <v>Ireland</v>
      </c>
      <c r="C180" s="9" t="str">
        <f>IF('Rates from Ireland Fedex Priort'!C179="","",'Rates from Ireland Fedex Priort'!C179)</f>
        <v>Puerto Rico (US)</v>
      </c>
      <c r="D180" s="10">
        <f>IF(ISNUMBER('Rates from Ireland Fedex Priort'!D179),_xlfn.CEILING.MATH('Rates from Ireland Fedex Priort'!D179,1)+IF($A180="EU",Variables!$B$5,Variables!$B$2),'Rates from Ireland Fedex Priort'!D179)</f>
        <v>68</v>
      </c>
      <c r="E180" s="10">
        <f>IF(ISNUMBER('Rates from Ireland Fedex Priort'!E179),_xlfn.CEILING.MATH('Rates from Ireland Fedex Priort'!E179,1)+IF($A180="EU",Variables!$B$6,Variables!$B$3),'Rates from Ireland Fedex Priort'!E179)</f>
        <v>77</v>
      </c>
      <c r="F180" s="10">
        <f>IF(ISNUMBER('Rates from Ireland Fedex Priort'!F179),_xlfn.CEILING.MATH('Rates from Ireland Fedex Priort'!F179,1)+IF($A180="EU",Variables!$B$6,Variables!$B$3),'Rates from Ireland Fedex Priort'!F179)</f>
        <v>81</v>
      </c>
      <c r="G180" s="10">
        <f>IF(ISNUMBER('Rates from Ireland Fedex Priort'!G179),_xlfn.CEILING.MATH('Rates from Ireland Fedex Priort'!G179,1)+IF($A180="EU",Variables!$B$6,Variables!$B$3),'Rates from Ireland Fedex Priort'!G179)</f>
        <v>96</v>
      </c>
      <c r="H180" s="10">
        <f>IF(ISNUMBER('Rates from Ireland Fedex Priort'!H179),_xlfn.CEILING.MATH('Rates from Ireland Fedex Priort'!H179,1)+IF($A180="EU",Variables!$B$6,Variables!$B$3),'Rates from Ireland Fedex Priort'!H179)</f>
        <v>117</v>
      </c>
      <c r="I180" s="10">
        <f>IF(ISNUMBER('Rates from Ireland Fedex Priort'!I179),_xlfn.CEILING.MATH('Rates from Ireland Fedex Priort'!I179,1)+IF($A180="EU",Variables!$B$6,Variables!$B$3),'Rates from Ireland Fedex Priort'!I179)</f>
        <v>219</v>
      </c>
      <c r="J180" s="10" t="str">
        <f>IF(ISNUMBER('Rates from Ireland Fedex Priort'!J179),_xlfn.CEILING.MATH('Rates from Ireland Fedex Priort'!J179,1)+IF($A180="EU",Variables!$B$6,Variables!$B$3),'Rates from Ireland Fedex Priort'!J179)</f>
        <v>No service</v>
      </c>
      <c r="K180" s="10" t="str">
        <f>IF(ISNUMBER('Rates from Ireland Fedex Priort'!K179),_xlfn.CEILING.MATH('Rates from Ireland Fedex Priort'!K179,1)+IF($A180="EU",Variables!$B$6,Variables!$B$3),'Rates from Ireland Fedex Priort'!K179)</f>
        <v>No service</v>
      </c>
      <c r="L180" s="10" t="str">
        <f>IF(ISNUMBER('Rates from Ireland Fedex Priort'!L179),_xlfn.CEILING.MATH('Rates from Ireland Fedex Priort'!L179,1)+IF($A180="EU",Variables!$B$6,Variables!$B$3),'Rates from Ireland Fedex Priort'!L179)</f>
        <v>No service</v>
      </c>
      <c r="M180" s="10" t="str">
        <f>IF(ISNUMBER('Rates from Ireland Fedex Priort'!M179),_xlfn.CEILING.MATH('Rates from Ireland Fedex Priort'!M179,1)+IF($A180="EU",Variables!$B$6,Variables!$B$3),'Rates from Ireland Fedex Priort'!M179)</f>
        <v>No service</v>
      </c>
      <c r="N180" s="10" t="str">
        <f>IF(ISNUMBER('Rates from Ireland Fedex Priort'!N179),_xlfn.CEILING.MATH('Rates from Ireland Fedex Priort'!N179,1)+IF($A180="EU",Variables!$B$6,Variables!$B$3),'Rates from Ireland Fedex Priort'!N179)</f>
        <v>No service</v>
      </c>
      <c r="O180" s="11" t="s">
        <v>41</v>
      </c>
      <c r="P180" s="11" t="s">
        <v>23</v>
      </c>
      <c r="Q180" s="12">
        <v>80</v>
      </c>
      <c r="R180" s="11" t="s">
        <v>25</v>
      </c>
      <c r="S180" s="3" t="s">
        <v>26</v>
      </c>
      <c r="T180" s="38" t="s">
        <v>27</v>
      </c>
    </row>
    <row r="181" spans="1:20" ht="15.75" customHeight="1" x14ac:dyDescent="0.3">
      <c r="A181" s="39" t="str">
        <f>IF('Rates from Ireland Fedex Priort'!A180="","",'Rates from Ireland Fedex Priort'!A180)</f>
        <v>EU</v>
      </c>
      <c r="B181" s="8" t="str">
        <f>IF('Rates from Ireland Fedex Priort'!B180="","",'Rates from Ireland Fedex Priort'!B180)</f>
        <v>Ireland</v>
      </c>
      <c r="C181" s="9" t="str">
        <f>IF('Rates from Ireland Fedex Priort'!C180="","",'Rates from Ireland Fedex Priort'!C180)</f>
        <v>Qatar</v>
      </c>
      <c r="D181" s="10">
        <f>IF(ISNUMBER('Rates from Ireland Fedex Priort'!D180),_xlfn.CEILING.MATH('Rates from Ireland Fedex Priort'!D180,1)+IF($A181="EU",Variables!$B$5,Variables!$B$2),'Rates from Ireland Fedex Priort'!D180)</f>
        <v>62</v>
      </c>
      <c r="E181" s="10">
        <f>IF(ISNUMBER('Rates from Ireland Fedex Priort'!E180),_xlfn.CEILING.MATH('Rates from Ireland Fedex Priort'!E180,1)+IF($A181="EU",Variables!$B$6,Variables!$B$3),'Rates from Ireland Fedex Priort'!E180)</f>
        <v>69</v>
      </c>
      <c r="F181" s="10">
        <f>IF(ISNUMBER('Rates from Ireland Fedex Priort'!F180),_xlfn.CEILING.MATH('Rates from Ireland Fedex Priort'!F180,1)+IF($A181="EU",Variables!$B$6,Variables!$B$3),'Rates from Ireland Fedex Priort'!F180)</f>
        <v>72</v>
      </c>
      <c r="G181" s="10">
        <f>IF(ISNUMBER('Rates from Ireland Fedex Priort'!G180),_xlfn.CEILING.MATH('Rates from Ireland Fedex Priort'!G180,1)+IF($A181="EU",Variables!$B$6,Variables!$B$3),'Rates from Ireland Fedex Priort'!G180)</f>
        <v>86</v>
      </c>
      <c r="H181" s="10">
        <f>IF(ISNUMBER('Rates from Ireland Fedex Priort'!H180),_xlfn.CEILING.MATH('Rates from Ireland Fedex Priort'!H180,1)+IF($A181="EU",Variables!$B$6,Variables!$B$3),'Rates from Ireland Fedex Priort'!H180)</f>
        <v>111</v>
      </c>
      <c r="I181" s="10">
        <f>IF(ISNUMBER('Rates from Ireland Fedex Priort'!I180),_xlfn.CEILING.MATH('Rates from Ireland Fedex Priort'!I180,1)+IF($A181="EU",Variables!$B$6,Variables!$B$3),'Rates from Ireland Fedex Priort'!I180)</f>
        <v>174</v>
      </c>
      <c r="J181" s="10" t="str">
        <f>IF(ISNUMBER('Rates from Ireland Fedex Priort'!J180),_xlfn.CEILING.MATH('Rates from Ireland Fedex Priort'!J180,1)+IF($A181="EU",Variables!$B$6,Variables!$B$3),'Rates from Ireland Fedex Priort'!J180)</f>
        <v>No service</v>
      </c>
      <c r="K181" s="10" t="str">
        <f>IF(ISNUMBER('Rates from Ireland Fedex Priort'!K180),_xlfn.CEILING.MATH('Rates from Ireland Fedex Priort'!K180,1)+IF($A181="EU",Variables!$B$6,Variables!$B$3),'Rates from Ireland Fedex Priort'!K180)</f>
        <v>No service</v>
      </c>
      <c r="L181" s="10" t="str">
        <f>IF(ISNUMBER('Rates from Ireland Fedex Priort'!L180),_xlfn.CEILING.MATH('Rates from Ireland Fedex Priort'!L180,1)+IF($A181="EU",Variables!$B$6,Variables!$B$3),'Rates from Ireland Fedex Priort'!L180)</f>
        <v>No service</v>
      </c>
      <c r="M181" s="10" t="str">
        <f>IF(ISNUMBER('Rates from Ireland Fedex Priort'!M180),_xlfn.CEILING.MATH('Rates from Ireland Fedex Priort'!M180,1)+IF($A181="EU",Variables!$B$6,Variables!$B$3),'Rates from Ireland Fedex Priort'!M180)</f>
        <v>No service</v>
      </c>
      <c r="N181" s="10" t="str">
        <f>IF(ISNUMBER('Rates from Ireland Fedex Priort'!N180),_xlfn.CEILING.MATH('Rates from Ireland Fedex Priort'!N180,1)+IF($A181="EU",Variables!$B$6,Variables!$B$3),'Rates from Ireland Fedex Priort'!N180)</f>
        <v>No service</v>
      </c>
      <c r="O181" s="11" t="s">
        <v>29</v>
      </c>
      <c r="P181" s="11" t="s">
        <v>30</v>
      </c>
      <c r="Q181" s="12">
        <v>80</v>
      </c>
      <c r="R181" s="11" t="s">
        <v>25</v>
      </c>
      <c r="S181" s="3" t="s">
        <v>26</v>
      </c>
      <c r="T181" s="38" t="s">
        <v>27</v>
      </c>
    </row>
    <row r="182" spans="1:20" ht="15.75" customHeight="1" x14ac:dyDescent="0.3">
      <c r="A182" s="39" t="str">
        <f>IF('Rates from Ireland Fedex Priort'!A181="","",'Rates from Ireland Fedex Priort'!A181)</f>
        <v>EU</v>
      </c>
      <c r="B182" s="8" t="str">
        <f>IF('Rates from Ireland Fedex Priort'!B181="","",'Rates from Ireland Fedex Priort'!B181)</f>
        <v>Ireland</v>
      </c>
      <c r="C182" s="9" t="str">
        <f>IF('Rates from Ireland Fedex Priort'!C181="","",'Rates from Ireland Fedex Priort'!C181)</f>
        <v>Réunion (France)</v>
      </c>
      <c r="D182" s="10">
        <f>IF(ISNUMBER('Rates from Ireland Fedex Priort'!D181),_xlfn.CEILING.MATH('Rates from Ireland Fedex Priort'!D181,1)+IF($A182="EU",Variables!$B$5,Variables!$B$2),'Rates from Ireland Fedex Priort'!D181)</f>
        <v>72</v>
      </c>
      <c r="E182" s="10">
        <f>IF(ISNUMBER('Rates from Ireland Fedex Priort'!E181),_xlfn.CEILING.MATH('Rates from Ireland Fedex Priort'!E181,1)+IF($A182="EU",Variables!$B$6,Variables!$B$3),'Rates from Ireland Fedex Priort'!E181)</f>
        <v>83</v>
      </c>
      <c r="F182" s="10">
        <f>IF(ISNUMBER('Rates from Ireland Fedex Priort'!F181),_xlfn.CEILING.MATH('Rates from Ireland Fedex Priort'!F181,1)+IF($A182="EU",Variables!$B$6,Variables!$B$3),'Rates from Ireland Fedex Priort'!F181)</f>
        <v>88</v>
      </c>
      <c r="G182" s="10">
        <f>IF(ISNUMBER('Rates from Ireland Fedex Priort'!G181),_xlfn.CEILING.MATH('Rates from Ireland Fedex Priort'!G181,1)+IF($A182="EU",Variables!$B$6,Variables!$B$3),'Rates from Ireland Fedex Priort'!G181)</f>
        <v>106</v>
      </c>
      <c r="H182" s="10">
        <f>IF(ISNUMBER('Rates from Ireland Fedex Priort'!H181),_xlfn.CEILING.MATH('Rates from Ireland Fedex Priort'!H181,1)+IF($A182="EU",Variables!$B$6,Variables!$B$3),'Rates from Ireland Fedex Priort'!H181)</f>
        <v>134</v>
      </c>
      <c r="I182" s="10">
        <f>IF(ISNUMBER('Rates from Ireland Fedex Priort'!I181),_xlfn.CEILING.MATH('Rates from Ireland Fedex Priort'!I181,1)+IF($A182="EU",Variables!$B$6,Variables!$B$3),'Rates from Ireland Fedex Priort'!I181)</f>
        <v>242</v>
      </c>
      <c r="J182" s="10" t="str">
        <f>IF(ISNUMBER('Rates from Ireland Fedex Priort'!J181),_xlfn.CEILING.MATH('Rates from Ireland Fedex Priort'!J181,1)+IF($A182="EU",Variables!$B$6,Variables!$B$3),'Rates from Ireland Fedex Priort'!J181)</f>
        <v>No service</v>
      </c>
      <c r="K182" s="10" t="str">
        <f>IF(ISNUMBER('Rates from Ireland Fedex Priort'!K181),_xlfn.CEILING.MATH('Rates from Ireland Fedex Priort'!K181,1)+IF($A182="EU",Variables!$B$6,Variables!$B$3),'Rates from Ireland Fedex Priort'!K181)</f>
        <v>No service</v>
      </c>
      <c r="L182" s="10" t="str">
        <f>IF(ISNUMBER('Rates from Ireland Fedex Priort'!L181),_xlfn.CEILING.MATH('Rates from Ireland Fedex Priort'!L181,1)+IF($A182="EU",Variables!$B$6,Variables!$B$3),'Rates from Ireland Fedex Priort'!L181)</f>
        <v>No service</v>
      </c>
      <c r="M182" s="10" t="str">
        <f>IF(ISNUMBER('Rates from Ireland Fedex Priort'!M181),_xlfn.CEILING.MATH('Rates from Ireland Fedex Priort'!M181,1)+IF($A182="EU",Variables!$B$6,Variables!$B$3),'Rates from Ireland Fedex Priort'!M181)</f>
        <v>No service</v>
      </c>
      <c r="N182" s="10" t="str">
        <f>IF(ISNUMBER('Rates from Ireland Fedex Priort'!N181),_xlfn.CEILING.MATH('Rates from Ireland Fedex Priort'!N181,1)+IF($A182="EU",Variables!$B$6,Variables!$B$3),'Rates from Ireland Fedex Priort'!N181)</f>
        <v>No service</v>
      </c>
      <c r="O182" s="11" t="s">
        <v>35</v>
      </c>
      <c r="P182" s="11" t="s">
        <v>36</v>
      </c>
      <c r="Q182" s="12">
        <v>80</v>
      </c>
      <c r="R182" s="11" t="s">
        <v>25</v>
      </c>
      <c r="S182" s="3" t="s">
        <v>26</v>
      </c>
      <c r="T182" s="38" t="s">
        <v>27</v>
      </c>
    </row>
    <row r="183" spans="1:20" ht="15.75" customHeight="1" x14ac:dyDescent="0.3">
      <c r="A183" s="39" t="str">
        <f>IF('Rates from Ireland Fedex Priort'!A182="","",'Rates from Ireland Fedex Priort'!A182)</f>
        <v>EU</v>
      </c>
      <c r="B183" s="8" t="str">
        <f>IF('Rates from Ireland Fedex Priort'!B182="","",'Rates from Ireland Fedex Priort'!B182)</f>
        <v>Ireland</v>
      </c>
      <c r="C183" s="9" t="str">
        <f>IF('Rates from Ireland Fedex Priort'!C182="","",'Rates from Ireland Fedex Priort'!C182)</f>
        <v>Romania</v>
      </c>
      <c r="D183" s="10">
        <f>IF(ISNUMBER('Rates from Ireland Fedex Priort'!D182),_xlfn.CEILING.MATH('Rates from Ireland Fedex Priort'!D182,1)+IF($A183="EU",Variables!$B$5,Variables!$B$2),'Rates from Ireland Fedex Priort'!D182)</f>
        <v>67</v>
      </c>
      <c r="E183" s="10">
        <f>IF(ISNUMBER('Rates from Ireland Fedex Priort'!E182),_xlfn.CEILING.MATH('Rates from Ireland Fedex Priort'!E182,1)+IF($A183="EU",Variables!$B$6,Variables!$B$3),'Rates from Ireland Fedex Priort'!E182)</f>
        <v>74</v>
      </c>
      <c r="F183" s="10">
        <f>IF(ISNUMBER('Rates from Ireland Fedex Priort'!F182),_xlfn.CEILING.MATH('Rates from Ireland Fedex Priort'!F182,1)+IF($A183="EU",Variables!$B$6,Variables!$B$3),'Rates from Ireland Fedex Priort'!F182)</f>
        <v>77</v>
      </c>
      <c r="G183" s="10">
        <f>IF(ISNUMBER('Rates from Ireland Fedex Priort'!G182),_xlfn.CEILING.MATH('Rates from Ireland Fedex Priort'!G182,1)+IF($A183="EU",Variables!$B$6,Variables!$B$3),'Rates from Ireland Fedex Priort'!G182)</f>
        <v>79</v>
      </c>
      <c r="H183" s="10">
        <f>IF(ISNUMBER('Rates from Ireland Fedex Priort'!H182),_xlfn.CEILING.MATH('Rates from Ireland Fedex Priort'!H182,1)+IF($A183="EU",Variables!$B$6,Variables!$B$3),'Rates from Ireland Fedex Priort'!H182)</f>
        <v>82</v>
      </c>
      <c r="I183" s="10">
        <f>IF(ISNUMBER('Rates from Ireland Fedex Priort'!I182),_xlfn.CEILING.MATH('Rates from Ireland Fedex Priort'!I182,1)+IF($A183="EU",Variables!$B$6,Variables!$B$3),'Rates from Ireland Fedex Priort'!I182)</f>
        <v>95</v>
      </c>
      <c r="J183" s="10" t="str">
        <f>IF(ISNUMBER('Rates from Ireland Fedex Priort'!J182),_xlfn.CEILING.MATH('Rates from Ireland Fedex Priort'!J182,1)+IF($A183="EU",Variables!$B$6,Variables!$B$3),'Rates from Ireland Fedex Priort'!J182)</f>
        <v>No service</v>
      </c>
      <c r="K183" s="10" t="str">
        <f>IF(ISNUMBER('Rates from Ireland Fedex Priort'!K182),_xlfn.CEILING.MATH('Rates from Ireland Fedex Priort'!K182,1)+IF($A183="EU",Variables!$B$6,Variables!$B$3),'Rates from Ireland Fedex Priort'!K182)</f>
        <v>No service</v>
      </c>
      <c r="L183" s="10" t="str">
        <f>IF(ISNUMBER('Rates from Ireland Fedex Priort'!L182),_xlfn.CEILING.MATH('Rates from Ireland Fedex Priort'!L182,1)+IF($A183="EU",Variables!$B$6,Variables!$B$3),'Rates from Ireland Fedex Priort'!L182)</f>
        <v>No service</v>
      </c>
      <c r="M183" s="10" t="str">
        <f>IF(ISNUMBER('Rates from Ireland Fedex Priort'!M182),_xlfn.CEILING.MATH('Rates from Ireland Fedex Priort'!M182,1)+IF($A183="EU",Variables!$B$6,Variables!$B$3),'Rates from Ireland Fedex Priort'!M182)</f>
        <v>No service</v>
      </c>
      <c r="N183" s="10" t="str">
        <f>IF(ISNUMBER('Rates from Ireland Fedex Priort'!N182),_xlfn.CEILING.MATH('Rates from Ireland Fedex Priort'!N182,1)+IF($A183="EU",Variables!$B$6,Variables!$B$3),'Rates from Ireland Fedex Priort'!N182)</f>
        <v>No service</v>
      </c>
      <c r="O183" s="11" t="s">
        <v>29</v>
      </c>
      <c r="P183" s="11" t="s">
        <v>69</v>
      </c>
      <c r="Q183" s="12">
        <v>80</v>
      </c>
      <c r="R183" s="11" t="s">
        <v>25</v>
      </c>
      <c r="S183" s="3" t="s">
        <v>26</v>
      </c>
      <c r="T183" s="38" t="s">
        <v>27</v>
      </c>
    </row>
    <row r="184" spans="1:20" ht="15.75" customHeight="1" x14ac:dyDescent="0.3">
      <c r="A184" s="39" t="str">
        <f>IF('Rates from Ireland Fedex Priort'!A183="","",'Rates from Ireland Fedex Priort'!A183)</f>
        <v>EU</v>
      </c>
      <c r="B184" s="8" t="str">
        <f>IF('Rates from Ireland Fedex Priort'!B183="","",'Rates from Ireland Fedex Priort'!B183)</f>
        <v>Ireland</v>
      </c>
      <c r="C184" s="9" t="str">
        <f>IF('Rates from Ireland Fedex Priort'!C183="","",'Rates from Ireland Fedex Priort'!C183)</f>
        <v>Russia</v>
      </c>
      <c r="D184" s="10" t="str">
        <f>IF(ISNUMBER('Rates from Ireland Fedex Priort'!D183),_xlfn.CEILING.MATH('Rates from Ireland Fedex Priort'!D183,1)+IF($A184="EU",Variables!$B$5,Variables!$B$2),'Rates from Ireland Fedex Priort'!D183)</f>
        <v>No service</v>
      </c>
      <c r="E184" s="10" t="str">
        <f>IF(ISNUMBER('Rates from Ireland Fedex Priort'!E183),_xlfn.CEILING.MATH('Rates from Ireland Fedex Priort'!E183,1)+IF($A184="EU",Variables!$B$6,Variables!$B$3),'Rates from Ireland Fedex Priort'!E183)</f>
        <v>No service</v>
      </c>
      <c r="F184" s="10" t="str">
        <f>IF(ISNUMBER('Rates from Ireland Fedex Priort'!F183),_xlfn.CEILING.MATH('Rates from Ireland Fedex Priort'!F183,1)+IF($A184="EU",Variables!$B$6,Variables!$B$3),'Rates from Ireland Fedex Priort'!F183)</f>
        <v>No service</v>
      </c>
      <c r="G184" s="10" t="str">
        <f>IF(ISNUMBER('Rates from Ireland Fedex Priort'!G183),_xlfn.CEILING.MATH('Rates from Ireland Fedex Priort'!G183,1)+IF($A184="EU",Variables!$B$6,Variables!$B$3),'Rates from Ireland Fedex Priort'!G183)</f>
        <v>No service</v>
      </c>
      <c r="H184" s="10" t="str">
        <f>IF(ISNUMBER('Rates from Ireland Fedex Priort'!H183),_xlfn.CEILING.MATH('Rates from Ireland Fedex Priort'!H183,1)+IF($A184="EU",Variables!$B$6,Variables!$B$3),'Rates from Ireland Fedex Priort'!H183)</f>
        <v>No service</v>
      </c>
      <c r="I184" s="10" t="str">
        <f>IF(ISNUMBER('Rates from Ireland Fedex Priort'!I183),_xlfn.CEILING.MATH('Rates from Ireland Fedex Priort'!I183,1)+IF($A184="EU",Variables!$B$6,Variables!$B$3),'Rates from Ireland Fedex Priort'!I183)</f>
        <v>No service</v>
      </c>
      <c r="J184" s="10" t="str">
        <f>IF(ISNUMBER('Rates from Ireland Fedex Priort'!J183),_xlfn.CEILING.MATH('Rates from Ireland Fedex Priort'!J183,1)+IF($A184="EU",Variables!$B$6,Variables!$B$3),'Rates from Ireland Fedex Priort'!J183)</f>
        <v>No service</v>
      </c>
      <c r="K184" s="10" t="str">
        <f>IF(ISNUMBER('Rates from Ireland Fedex Priort'!K183),_xlfn.CEILING.MATH('Rates from Ireland Fedex Priort'!K183,1)+IF($A184="EU",Variables!$B$6,Variables!$B$3),'Rates from Ireland Fedex Priort'!K183)</f>
        <v>No service</v>
      </c>
      <c r="L184" s="10" t="str">
        <f>IF(ISNUMBER('Rates from Ireland Fedex Priort'!L183),_xlfn.CEILING.MATH('Rates from Ireland Fedex Priort'!L183,1)+IF($A184="EU",Variables!$B$6,Variables!$B$3),'Rates from Ireland Fedex Priort'!L183)</f>
        <v>No service</v>
      </c>
      <c r="M184" s="10" t="str">
        <f>IF(ISNUMBER('Rates from Ireland Fedex Priort'!M183),_xlfn.CEILING.MATH('Rates from Ireland Fedex Priort'!M183,1)+IF($A184="EU",Variables!$B$6,Variables!$B$3),'Rates from Ireland Fedex Priort'!M183)</f>
        <v>No service</v>
      </c>
      <c r="N184" s="10" t="str">
        <f>IF(ISNUMBER('Rates from Ireland Fedex Priort'!N183),_xlfn.CEILING.MATH('Rates from Ireland Fedex Priort'!N183,1)+IF($A184="EU",Variables!$B$6,Variables!$B$3),'Rates from Ireland Fedex Priort'!N183)</f>
        <v>No service</v>
      </c>
      <c r="O184" s="11"/>
      <c r="P184" s="11"/>
      <c r="Q184" s="11"/>
      <c r="R184" s="11"/>
      <c r="S184" s="3" t="s">
        <v>26</v>
      </c>
      <c r="T184" s="38" t="s">
        <v>27</v>
      </c>
    </row>
    <row r="185" spans="1:20" ht="15.75" customHeight="1" x14ac:dyDescent="0.3">
      <c r="A185" s="39" t="str">
        <f>IF('Rates from Ireland Fedex Priort'!A184="","",'Rates from Ireland Fedex Priort'!A184)</f>
        <v>EU</v>
      </c>
      <c r="B185" s="8" t="str">
        <f>IF('Rates from Ireland Fedex Priort'!B184="","",'Rates from Ireland Fedex Priort'!B184)</f>
        <v>Ireland</v>
      </c>
      <c r="C185" s="9" t="str">
        <f>IF('Rates from Ireland Fedex Priort'!C184="","",'Rates from Ireland Fedex Priort'!C184)</f>
        <v>Rwanda</v>
      </c>
      <c r="D185" s="10">
        <f>IF(ISNUMBER('Rates from Ireland Fedex Priort'!D184),_xlfn.CEILING.MATH('Rates from Ireland Fedex Priort'!D184,1)+IF($A185="EU",Variables!$B$5,Variables!$B$2),'Rates from Ireland Fedex Priort'!D184)</f>
        <v>76</v>
      </c>
      <c r="E185" s="10">
        <f>IF(ISNUMBER('Rates from Ireland Fedex Priort'!E184),_xlfn.CEILING.MATH('Rates from Ireland Fedex Priort'!E184,1)+IF($A185="EU",Variables!$B$6,Variables!$B$3),'Rates from Ireland Fedex Priort'!E184)</f>
        <v>83</v>
      </c>
      <c r="F185" s="10">
        <f>IF(ISNUMBER('Rates from Ireland Fedex Priort'!F184),_xlfn.CEILING.MATH('Rates from Ireland Fedex Priort'!F184,1)+IF($A185="EU",Variables!$B$6,Variables!$B$3),'Rates from Ireland Fedex Priort'!F184)</f>
        <v>88</v>
      </c>
      <c r="G185" s="10">
        <f>IF(ISNUMBER('Rates from Ireland Fedex Priort'!G184),_xlfn.CEILING.MATH('Rates from Ireland Fedex Priort'!G184,1)+IF($A185="EU",Variables!$B$6,Variables!$B$3),'Rates from Ireland Fedex Priort'!G184)</f>
        <v>106</v>
      </c>
      <c r="H185" s="10">
        <f>IF(ISNUMBER('Rates from Ireland Fedex Priort'!H184),_xlfn.CEILING.MATH('Rates from Ireland Fedex Priort'!H184,1)+IF($A185="EU",Variables!$B$6,Variables!$B$3),'Rates from Ireland Fedex Priort'!H184)</f>
        <v>134</v>
      </c>
      <c r="I185" s="10">
        <f>IF(ISNUMBER('Rates from Ireland Fedex Priort'!I184),_xlfn.CEILING.MATH('Rates from Ireland Fedex Priort'!I184,1)+IF($A185="EU",Variables!$B$6,Variables!$B$3),'Rates from Ireland Fedex Priort'!I184)</f>
        <v>243</v>
      </c>
      <c r="J185" s="10" t="str">
        <f>IF(ISNUMBER('Rates from Ireland Fedex Priort'!J184),_xlfn.CEILING.MATH('Rates from Ireland Fedex Priort'!J184,1)+IF($A185="EU",Variables!$B$6,Variables!$B$3),'Rates from Ireland Fedex Priort'!J184)</f>
        <v>No service</v>
      </c>
      <c r="K185" s="10" t="str">
        <f>IF(ISNUMBER('Rates from Ireland Fedex Priort'!K184),_xlfn.CEILING.MATH('Rates from Ireland Fedex Priort'!K184,1)+IF($A185="EU",Variables!$B$6,Variables!$B$3),'Rates from Ireland Fedex Priort'!K184)</f>
        <v>No service</v>
      </c>
      <c r="L185" s="10" t="str">
        <f>IF(ISNUMBER('Rates from Ireland Fedex Priort'!L184),_xlfn.CEILING.MATH('Rates from Ireland Fedex Priort'!L184,1)+IF($A185="EU",Variables!$B$6,Variables!$B$3),'Rates from Ireland Fedex Priort'!L184)</f>
        <v>No service</v>
      </c>
      <c r="M185" s="10" t="str">
        <f>IF(ISNUMBER('Rates from Ireland Fedex Priort'!M184),_xlfn.CEILING.MATH('Rates from Ireland Fedex Priort'!M184,1)+IF($A185="EU",Variables!$B$6,Variables!$B$3),'Rates from Ireland Fedex Priort'!M184)</f>
        <v>No service</v>
      </c>
      <c r="N185" s="10" t="str">
        <f>IF(ISNUMBER('Rates from Ireland Fedex Priort'!N184),_xlfn.CEILING.MATH('Rates from Ireland Fedex Priort'!N184,1)+IF($A185="EU",Variables!$B$6,Variables!$B$3),'Rates from Ireland Fedex Priort'!N184)</f>
        <v>No service</v>
      </c>
      <c r="O185" s="11" t="s">
        <v>38</v>
      </c>
      <c r="P185" s="11" t="s">
        <v>39</v>
      </c>
      <c r="Q185" s="12">
        <v>80</v>
      </c>
      <c r="R185" s="11" t="s">
        <v>25</v>
      </c>
      <c r="S185" s="3" t="s">
        <v>26</v>
      </c>
      <c r="T185" s="38" t="s">
        <v>27</v>
      </c>
    </row>
    <row r="186" spans="1:20" ht="15.75" customHeight="1" x14ac:dyDescent="0.3">
      <c r="A186" s="39" t="str">
        <f>IF('Rates from Ireland Fedex Priort'!A185="","",'Rates from Ireland Fedex Priort'!A185)</f>
        <v>EU</v>
      </c>
      <c r="B186" s="8" t="str">
        <f>IF('Rates from Ireland Fedex Priort'!B185="","",'Rates from Ireland Fedex Priort'!B185)</f>
        <v>Ireland</v>
      </c>
      <c r="C186" s="9" t="str">
        <f>IF('Rates from Ireland Fedex Priort'!C185="","",'Rates from Ireland Fedex Priort'!C185)</f>
        <v>Saint Barthélemy (France)</v>
      </c>
      <c r="D186" s="10" t="str">
        <f>IF(ISNUMBER('Rates from Ireland Fedex Priort'!D185),_xlfn.CEILING.MATH('Rates from Ireland Fedex Priort'!D185,1)+IF($A186="EU",Variables!$B$5,Variables!$B$2),'Rates from Ireland Fedex Priort'!D185)</f>
        <v>No service</v>
      </c>
      <c r="E186" s="10" t="str">
        <f>IF(ISNUMBER('Rates from Ireland Fedex Priort'!E185),_xlfn.CEILING.MATH('Rates from Ireland Fedex Priort'!E185,1)+IF($A186="EU",Variables!$B$6,Variables!$B$3),'Rates from Ireland Fedex Priort'!E185)</f>
        <v>No service</v>
      </c>
      <c r="F186" s="10" t="str">
        <f>IF(ISNUMBER('Rates from Ireland Fedex Priort'!F185),_xlfn.CEILING.MATH('Rates from Ireland Fedex Priort'!F185,1)+IF($A186="EU",Variables!$B$6,Variables!$B$3),'Rates from Ireland Fedex Priort'!F185)</f>
        <v>No service</v>
      </c>
      <c r="G186" s="10" t="str">
        <f>IF(ISNUMBER('Rates from Ireland Fedex Priort'!G185),_xlfn.CEILING.MATH('Rates from Ireland Fedex Priort'!G185,1)+IF($A186="EU",Variables!$B$6,Variables!$B$3),'Rates from Ireland Fedex Priort'!G185)</f>
        <v>No service</v>
      </c>
      <c r="H186" s="10" t="str">
        <f>IF(ISNUMBER('Rates from Ireland Fedex Priort'!H185),_xlfn.CEILING.MATH('Rates from Ireland Fedex Priort'!H185,1)+IF($A186="EU",Variables!$B$6,Variables!$B$3),'Rates from Ireland Fedex Priort'!H185)</f>
        <v>No service</v>
      </c>
      <c r="I186" s="10" t="str">
        <f>IF(ISNUMBER('Rates from Ireland Fedex Priort'!I185),_xlfn.CEILING.MATH('Rates from Ireland Fedex Priort'!I185,1)+IF($A186="EU",Variables!$B$6,Variables!$B$3),'Rates from Ireland Fedex Priort'!I185)</f>
        <v>No service</v>
      </c>
      <c r="J186" s="10" t="str">
        <f>IF(ISNUMBER('Rates from Ireland Fedex Priort'!J185),_xlfn.CEILING.MATH('Rates from Ireland Fedex Priort'!J185,1)+IF($A186="EU",Variables!$B$6,Variables!$B$3),'Rates from Ireland Fedex Priort'!J185)</f>
        <v>No service</v>
      </c>
      <c r="K186" s="10" t="str">
        <f>IF(ISNUMBER('Rates from Ireland Fedex Priort'!K185),_xlfn.CEILING.MATH('Rates from Ireland Fedex Priort'!K185,1)+IF($A186="EU",Variables!$B$6,Variables!$B$3),'Rates from Ireland Fedex Priort'!K185)</f>
        <v>No service</v>
      </c>
      <c r="L186" s="10" t="str">
        <f>IF(ISNUMBER('Rates from Ireland Fedex Priort'!L185),_xlfn.CEILING.MATH('Rates from Ireland Fedex Priort'!L185,1)+IF($A186="EU",Variables!$B$6,Variables!$B$3),'Rates from Ireland Fedex Priort'!L185)</f>
        <v>No service</v>
      </c>
      <c r="M186" s="10" t="str">
        <f>IF(ISNUMBER('Rates from Ireland Fedex Priort'!M185),_xlfn.CEILING.MATH('Rates from Ireland Fedex Priort'!M185,1)+IF($A186="EU",Variables!$B$6,Variables!$B$3),'Rates from Ireland Fedex Priort'!M185)</f>
        <v>No service</v>
      </c>
      <c r="N186" s="10" t="str">
        <f>IF(ISNUMBER('Rates from Ireland Fedex Priort'!N185),_xlfn.CEILING.MATH('Rates from Ireland Fedex Priort'!N185,1)+IF($A186="EU",Variables!$B$6,Variables!$B$3),'Rates from Ireland Fedex Priort'!N185)</f>
        <v>No service</v>
      </c>
      <c r="O186" s="11"/>
      <c r="P186" s="11"/>
      <c r="Q186" s="11"/>
      <c r="R186" s="11"/>
      <c r="S186" s="3" t="s">
        <v>26</v>
      </c>
      <c r="T186" s="38" t="s">
        <v>27</v>
      </c>
    </row>
    <row r="187" spans="1:20" ht="15.75" customHeight="1" x14ac:dyDescent="0.3">
      <c r="A187" s="39" t="str">
        <f>IF('Rates from Ireland Fedex Priort'!A186="","",'Rates from Ireland Fedex Priort'!A186)</f>
        <v>EU</v>
      </c>
      <c r="B187" s="8" t="str">
        <f>IF('Rates from Ireland Fedex Priort'!B186="","",'Rates from Ireland Fedex Priort'!B186)</f>
        <v>Ireland</v>
      </c>
      <c r="C187" s="9" t="str">
        <f>IF('Rates from Ireland Fedex Priort'!C186="","",'Rates from Ireland Fedex Priort'!C186)</f>
        <v>Saint Helena</v>
      </c>
      <c r="D187" s="10" t="str">
        <f>IF(ISNUMBER('Rates from Ireland Fedex Priort'!D186),_xlfn.CEILING.MATH('Rates from Ireland Fedex Priort'!D186,1)+IF($A187="EU",Variables!$B$5,Variables!$B$2),'Rates from Ireland Fedex Priort'!D186)</f>
        <v>No service</v>
      </c>
      <c r="E187" s="10" t="str">
        <f>IF(ISNUMBER('Rates from Ireland Fedex Priort'!E186),_xlfn.CEILING.MATH('Rates from Ireland Fedex Priort'!E186,1)+IF($A187="EU",Variables!$B$6,Variables!$B$3),'Rates from Ireland Fedex Priort'!E186)</f>
        <v>No service</v>
      </c>
      <c r="F187" s="10" t="str">
        <f>IF(ISNUMBER('Rates from Ireland Fedex Priort'!F186),_xlfn.CEILING.MATH('Rates from Ireland Fedex Priort'!F186,1)+IF($A187="EU",Variables!$B$6,Variables!$B$3),'Rates from Ireland Fedex Priort'!F186)</f>
        <v>No service</v>
      </c>
      <c r="G187" s="10" t="str">
        <f>IF(ISNUMBER('Rates from Ireland Fedex Priort'!G186),_xlfn.CEILING.MATH('Rates from Ireland Fedex Priort'!G186,1)+IF($A187="EU",Variables!$B$6,Variables!$B$3),'Rates from Ireland Fedex Priort'!G186)</f>
        <v>No service</v>
      </c>
      <c r="H187" s="10" t="str">
        <f>IF(ISNUMBER('Rates from Ireland Fedex Priort'!H186),_xlfn.CEILING.MATH('Rates from Ireland Fedex Priort'!H186,1)+IF($A187="EU",Variables!$B$6,Variables!$B$3),'Rates from Ireland Fedex Priort'!H186)</f>
        <v>No service</v>
      </c>
      <c r="I187" s="10" t="str">
        <f>IF(ISNUMBER('Rates from Ireland Fedex Priort'!I186),_xlfn.CEILING.MATH('Rates from Ireland Fedex Priort'!I186,1)+IF($A187="EU",Variables!$B$6,Variables!$B$3),'Rates from Ireland Fedex Priort'!I186)</f>
        <v>No service</v>
      </c>
      <c r="J187" s="10" t="str">
        <f>IF(ISNUMBER('Rates from Ireland Fedex Priort'!J186),_xlfn.CEILING.MATH('Rates from Ireland Fedex Priort'!J186,1)+IF($A187="EU",Variables!$B$6,Variables!$B$3),'Rates from Ireland Fedex Priort'!J186)</f>
        <v>No service</v>
      </c>
      <c r="K187" s="10" t="str">
        <f>IF(ISNUMBER('Rates from Ireland Fedex Priort'!K186),_xlfn.CEILING.MATH('Rates from Ireland Fedex Priort'!K186,1)+IF($A187="EU",Variables!$B$6,Variables!$B$3),'Rates from Ireland Fedex Priort'!K186)</f>
        <v>No service</v>
      </c>
      <c r="L187" s="10" t="str">
        <f>IF(ISNUMBER('Rates from Ireland Fedex Priort'!L186),_xlfn.CEILING.MATH('Rates from Ireland Fedex Priort'!L186,1)+IF($A187="EU",Variables!$B$6,Variables!$B$3),'Rates from Ireland Fedex Priort'!L186)</f>
        <v>No service</v>
      </c>
      <c r="M187" s="10" t="str">
        <f>IF(ISNUMBER('Rates from Ireland Fedex Priort'!M186),_xlfn.CEILING.MATH('Rates from Ireland Fedex Priort'!M186,1)+IF($A187="EU",Variables!$B$6,Variables!$B$3),'Rates from Ireland Fedex Priort'!M186)</f>
        <v>No service</v>
      </c>
      <c r="N187" s="10" t="str">
        <f>IF(ISNUMBER('Rates from Ireland Fedex Priort'!N186),_xlfn.CEILING.MATH('Rates from Ireland Fedex Priort'!N186,1)+IF($A187="EU",Variables!$B$6,Variables!$B$3),'Rates from Ireland Fedex Priort'!N186)</f>
        <v>No service</v>
      </c>
      <c r="O187" s="11"/>
      <c r="P187" s="11"/>
      <c r="Q187" s="11"/>
      <c r="R187" s="11"/>
      <c r="S187" s="3" t="s">
        <v>26</v>
      </c>
      <c r="T187" s="38" t="s">
        <v>27</v>
      </c>
    </row>
    <row r="188" spans="1:20" ht="15.75" customHeight="1" x14ac:dyDescent="0.3">
      <c r="A188" s="39" t="str">
        <f>IF('Rates from Ireland Fedex Priort'!A187="","",'Rates from Ireland Fedex Priort'!A187)</f>
        <v>EU</v>
      </c>
      <c r="B188" s="8" t="str">
        <f>IF('Rates from Ireland Fedex Priort'!B187="","",'Rates from Ireland Fedex Priort'!B187)</f>
        <v>Ireland</v>
      </c>
      <c r="C188" s="9" t="str">
        <f>IF('Rates from Ireland Fedex Priort'!C187="","",'Rates from Ireland Fedex Priort'!C187)</f>
        <v>Saint Kitts and Nevis</v>
      </c>
      <c r="D188" s="10">
        <f>IF(ISNUMBER('Rates from Ireland Fedex Priort'!D187),_xlfn.CEILING.MATH('Rates from Ireland Fedex Priort'!D187,1)+IF($A188="EU",Variables!$B$5,Variables!$B$2),'Rates from Ireland Fedex Priort'!D187)</f>
        <v>68</v>
      </c>
      <c r="E188" s="10">
        <f>IF(ISNUMBER('Rates from Ireland Fedex Priort'!E187),_xlfn.CEILING.MATH('Rates from Ireland Fedex Priort'!E187,1)+IF($A188="EU",Variables!$B$6,Variables!$B$3),'Rates from Ireland Fedex Priort'!E187)</f>
        <v>77</v>
      </c>
      <c r="F188" s="10">
        <f>IF(ISNUMBER('Rates from Ireland Fedex Priort'!F187),_xlfn.CEILING.MATH('Rates from Ireland Fedex Priort'!F187,1)+IF($A188="EU",Variables!$B$6,Variables!$B$3),'Rates from Ireland Fedex Priort'!F187)</f>
        <v>81</v>
      </c>
      <c r="G188" s="10">
        <f>IF(ISNUMBER('Rates from Ireland Fedex Priort'!G187),_xlfn.CEILING.MATH('Rates from Ireland Fedex Priort'!G187,1)+IF($A188="EU",Variables!$B$6,Variables!$B$3),'Rates from Ireland Fedex Priort'!G187)</f>
        <v>96</v>
      </c>
      <c r="H188" s="10">
        <f>IF(ISNUMBER('Rates from Ireland Fedex Priort'!H187),_xlfn.CEILING.MATH('Rates from Ireland Fedex Priort'!H187,1)+IF($A188="EU",Variables!$B$6,Variables!$B$3),'Rates from Ireland Fedex Priort'!H187)</f>
        <v>117</v>
      </c>
      <c r="I188" s="10">
        <f>IF(ISNUMBER('Rates from Ireland Fedex Priort'!I187),_xlfn.CEILING.MATH('Rates from Ireland Fedex Priort'!I187,1)+IF($A188="EU",Variables!$B$6,Variables!$B$3),'Rates from Ireland Fedex Priort'!I187)</f>
        <v>219</v>
      </c>
      <c r="J188" s="10" t="str">
        <f>IF(ISNUMBER('Rates from Ireland Fedex Priort'!J187),_xlfn.CEILING.MATH('Rates from Ireland Fedex Priort'!J187,1)+IF($A188="EU",Variables!$B$6,Variables!$B$3),'Rates from Ireland Fedex Priort'!J187)</f>
        <v>No service</v>
      </c>
      <c r="K188" s="10" t="str">
        <f>IF(ISNUMBER('Rates from Ireland Fedex Priort'!K187),_xlfn.CEILING.MATH('Rates from Ireland Fedex Priort'!K187,1)+IF($A188="EU",Variables!$B$6,Variables!$B$3),'Rates from Ireland Fedex Priort'!K187)</f>
        <v>No service</v>
      </c>
      <c r="L188" s="10" t="str">
        <f>IF(ISNUMBER('Rates from Ireland Fedex Priort'!L187),_xlfn.CEILING.MATH('Rates from Ireland Fedex Priort'!L187,1)+IF($A188="EU",Variables!$B$6,Variables!$B$3),'Rates from Ireland Fedex Priort'!L187)</f>
        <v>No service</v>
      </c>
      <c r="M188" s="10" t="str">
        <f>IF(ISNUMBER('Rates from Ireland Fedex Priort'!M187),_xlfn.CEILING.MATH('Rates from Ireland Fedex Priort'!M187,1)+IF($A188="EU",Variables!$B$6,Variables!$B$3),'Rates from Ireland Fedex Priort'!M187)</f>
        <v>No service</v>
      </c>
      <c r="N188" s="10" t="str">
        <f>IF(ISNUMBER('Rates from Ireland Fedex Priort'!N187),_xlfn.CEILING.MATH('Rates from Ireland Fedex Priort'!N187,1)+IF($A188="EU",Variables!$B$6,Variables!$B$3),'Rates from Ireland Fedex Priort'!N187)</f>
        <v>No service</v>
      </c>
      <c r="O188" s="11" t="s">
        <v>41</v>
      </c>
      <c r="P188" s="11" t="s">
        <v>23</v>
      </c>
      <c r="Q188" s="12">
        <v>80</v>
      </c>
      <c r="R188" s="11" t="s">
        <v>25</v>
      </c>
      <c r="S188" s="3" t="s">
        <v>26</v>
      </c>
      <c r="T188" s="38" t="s">
        <v>27</v>
      </c>
    </row>
    <row r="189" spans="1:20" ht="15.75" customHeight="1" x14ac:dyDescent="0.3">
      <c r="A189" s="39" t="str">
        <f>IF('Rates from Ireland Fedex Priort'!A188="","",'Rates from Ireland Fedex Priort'!A188)</f>
        <v>EU</v>
      </c>
      <c r="B189" s="8" t="str">
        <f>IF('Rates from Ireland Fedex Priort'!B188="","",'Rates from Ireland Fedex Priort'!B188)</f>
        <v>Ireland</v>
      </c>
      <c r="C189" s="9" t="str">
        <f>IF('Rates from Ireland Fedex Priort'!C188="","",'Rates from Ireland Fedex Priort'!C188)</f>
        <v>Saint Lucia</v>
      </c>
      <c r="D189" s="10">
        <f>IF(ISNUMBER('Rates from Ireland Fedex Priort'!D188),_xlfn.CEILING.MATH('Rates from Ireland Fedex Priort'!D188,1)+IF($A189="EU",Variables!$B$5,Variables!$B$2),'Rates from Ireland Fedex Priort'!D188)</f>
        <v>68</v>
      </c>
      <c r="E189" s="10">
        <f>IF(ISNUMBER('Rates from Ireland Fedex Priort'!E188),_xlfn.CEILING.MATH('Rates from Ireland Fedex Priort'!E188,1)+IF($A189="EU",Variables!$B$6,Variables!$B$3),'Rates from Ireland Fedex Priort'!E188)</f>
        <v>77</v>
      </c>
      <c r="F189" s="10">
        <f>IF(ISNUMBER('Rates from Ireland Fedex Priort'!F188),_xlfn.CEILING.MATH('Rates from Ireland Fedex Priort'!F188,1)+IF($A189="EU",Variables!$B$6,Variables!$B$3),'Rates from Ireland Fedex Priort'!F188)</f>
        <v>81</v>
      </c>
      <c r="G189" s="10">
        <f>IF(ISNUMBER('Rates from Ireland Fedex Priort'!G188),_xlfn.CEILING.MATH('Rates from Ireland Fedex Priort'!G188,1)+IF($A189="EU",Variables!$B$6,Variables!$B$3),'Rates from Ireland Fedex Priort'!G188)</f>
        <v>96</v>
      </c>
      <c r="H189" s="10">
        <f>IF(ISNUMBER('Rates from Ireland Fedex Priort'!H188),_xlfn.CEILING.MATH('Rates from Ireland Fedex Priort'!H188,1)+IF($A189="EU",Variables!$B$6,Variables!$B$3),'Rates from Ireland Fedex Priort'!H188)</f>
        <v>117</v>
      </c>
      <c r="I189" s="10">
        <f>IF(ISNUMBER('Rates from Ireland Fedex Priort'!I188),_xlfn.CEILING.MATH('Rates from Ireland Fedex Priort'!I188,1)+IF($A189="EU",Variables!$B$6,Variables!$B$3),'Rates from Ireland Fedex Priort'!I188)</f>
        <v>219</v>
      </c>
      <c r="J189" s="10" t="str">
        <f>IF(ISNUMBER('Rates from Ireland Fedex Priort'!J188),_xlfn.CEILING.MATH('Rates from Ireland Fedex Priort'!J188,1)+IF($A189="EU",Variables!$B$6,Variables!$B$3),'Rates from Ireland Fedex Priort'!J188)</f>
        <v>No service</v>
      </c>
      <c r="K189" s="10" t="str">
        <f>IF(ISNUMBER('Rates from Ireland Fedex Priort'!K188),_xlfn.CEILING.MATH('Rates from Ireland Fedex Priort'!K188,1)+IF($A189="EU",Variables!$B$6,Variables!$B$3),'Rates from Ireland Fedex Priort'!K188)</f>
        <v>No service</v>
      </c>
      <c r="L189" s="10" t="str">
        <f>IF(ISNUMBER('Rates from Ireland Fedex Priort'!L188),_xlfn.CEILING.MATH('Rates from Ireland Fedex Priort'!L188,1)+IF($A189="EU",Variables!$B$6,Variables!$B$3),'Rates from Ireland Fedex Priort'!L188)</f>
        <v>No service</v>
      </c>
      <c r="M189" s="10" t="str">
        <f>IF(ISNUMBER('Rates from Ireland Fedex Priort'!M188),_xlfn.CEILING.MATH('Rates from Ireland Fedex Priort'!M188,1)+IF($A189="EU",Variables!$B$6,Variables!$B$3),'Rates from Ireland Fedex Priort'!M188)</f>
        <v>No service</v>
      </c>
      <c r="N189" s="10" t="str">
        <f>IF(ISNUMBER('Rates from Ireland Fedex Priort'!N188),_xlfn.CEILING.MATH('Rates from Ireland Fedex Priort'!N188,1)+IF($A189="EU",Variables!$B$6,Variables!$B$3),'Rates from Ireland Fedex Priort'!N188)</f>
        <v>No service</v>
      </c>
      <c r="O189" s="11" t="s">
        <v>41</v>
      </c>
      <c r="P189" s="11" t="s">
        <v>23</v>
      </c>
      <c r="Q189" s="12">
        <v>80</v>
      </c>
      <c r="R189" s="11" t="s">
        <v>25</v>
      </c>
      <c r="S189" s="3" t="s">
        <v>26</v>
      </c>
      <c r="T189" s="38" t="s">
        <v>27</v>
      </c>
    </row>
    <row r="190" spans="1:20" ht="15.75" customHeight="1" x14ac:dyDescent="0.3">
      <c r="A190" s="39" t="str">
        <f>IF('Rates from Ireland Fedex Priort'!A189="","",'Rates from Ireland Fedex Priort'!A189)</f>
        <v>EU</v>
      </c>
      <c r="B190" s="8" t="str">
        <f>IF('Rates from Ireland Fedex Priort'!B189="","",'Rates from Ireland Fedex Priort'!B189)</f>
        <v>Ireland</v>
      </c>
      <c r="C190" s="9" t="str">
        <f>IF('Rates from Ireland Fedex Priort'!C189="","",'Rates from Ireland Fedex Priort'!C189)</f>
        <v>Saint Martin (France)</v>
      </c>
      <c r="D190" s="10">
        <f>IF(ISNUMBER('Rates from Ireland Fedex Priort'!D189),_xlfn.CEILING.MATH('Rates from Ireland Fedex Priort'!D189,1)+IF($A190="EU",Variables!$B$5,Variables!$B$2),'Rates from Ireland Fedex Priort'!D189)</f>
        <v>68</v>
      </c>
      <c r="E190" s="10">
        <f>IF(ISNUMBER('Rates from Ireland Fedex Priort'!E189),_xlfn.CEILING.MATH('Rates from Ireland Fedex Priort'!E189,1)+IF($A190="EU",Variables!$B$6,Variables!$B$3),'Rates from Ireland Fedex Priort'!E189)</f>
        <v>77</v>
      </c>
      <c r="F190" s="10">
        <f>IF(ISNUMBER('Rates from Ireland Fedex Priort'!F189),_xlfn.CEILING.MATH('Rates from Ireland Fedex Priort'!F189,1)+IF($A190="EU",Variables!$B$6,Variables!$B$3),'Rates from Ireland Fedex Priort'!F189)</f>
        <v>81</v>
      </c>
      <c r="G190" s="10">
        <f>IF(ISNUMBER('Rates from Ireland Fedex Priort'!G189),_xlfn.CEILING.MATH('Rates from Ireland Fedex Priort'!G189,1)+IF($A190="EU",Variables!$B$6,Variables!$B$3),'Rates from Ireland Fedex Priort'!G189)</f>
        <v>96</v>
      </c>
      <c r="H190" s="10">
        <f>IF(ISNUMBER('Rates from Ireland Fedex Priort'!H189),_xlfn.CEILING.MATH('Rates from Ireland Fedex Priort'!H189,1)+IF($A190="EU",Variables!$B$6,Variables!$B$3),'Rates from Ireland Fedex Priort'!H189)</f>
        <v>117</v>
      </c>
      <c r="I190" s="10">
        <f>IF(ISNUMBER('Rates from Ireland Fedex Priort'!I189),_xlfn.CEILING.MATH('Rates from Ireland Fedex Priort'!I189,1)+IF($A190="EU",Variables!$B$6,Variables!$B$3),'Rates from Ireland Fedex Priort'!I189)</f>
        <v>219</v>
      </c>
      <c r="J190" s="10" t="str">
        <f>IF(ISNUMBER('Rates from Ireland Fedex Priort'!J189),_xlfn.CEILING.MATH('Rates from Ireland Fedex Priort'!J189,1)+IF($A190="EU",Variables!$B$6,Variables!$B$3),'Rates from Ireland Fedex Priort'!J189)</f>
        <v>No service</v>
      </c>
      <c r="K190" s="10" t="str">
        <f>IF(ISNUMBER('Rates from Ireland Fedex Priort'!K189),_xlfn.CEILING.MATH('Rates from Ireland Fedex Priort'!K189,1)+IF($A190="EU",Variables!$B$6,Variables!$B$3),'Rates from Ireland Fedex Priort'!K189)</f>
        <v>No service</v>
      </c>
      <c r="L190" s="10" t="str">
        <f>IF(ISNUMBER('Rates from Ireland Fedex Priort'!L189),_xlfn.CEILING.MATH('Rates from Ireland Fedex Priort'!L189,1)+IF($A190="EU",Variables!$B$6,Variables!$B$3),'Rates from Ireland Fedex Priort'!L189)</f>
        <v>No service</v>
      </c>
      <c r="M190" s="10" t="str">
        <f>IF(ISNUMBER('Rates from Ireland Fedex Priort'!M189),_xlfn.CEILING.MATH('Rates from Ireland Fedex Priort'!M189,1)+IF($A190="EU",Variables!$B$6,Variables!$B$3),'Rates from Ireland Fedex Priort'!M189)</f>
        <v>No service</v>
      </c>
      <c r="N190" s="10" t="str">
        <f>IF(ISNUMBER('Rates from Ireland Fedex Priort'!N189),_xlfn.CEILING.MATH('Rates from Ireland Fedex Priort'!N189,1)+IF($A190="EU",Variables!$B$6,Variables!$B$3),'Rates from Ireland Fedex Priort'!N189)</f>
        <v>No service</v>
      </c>
      <c r="O190" s="11" t="s">
        <v>41</v>
      </c>
      <c r="P190" s="11" t="s">
        <v>23</v>
      </c>
      <c r="Q190" s="12">
        <v>80</v>
      </c>
      <c r="R190" s="11" t="s">
        <v>25</v>
      </c>
      <c r="S190" s="3" t="s">
        <v>26</v>
      </c>
      <c r="T190" s="38" t="s">
        <v>27</v>
      </c>
    </row>
    <row r="191" spans="1:20" ht="15.75" customHeight="1" x14ac:dyDescent="0.3">
      <c r="A191" s="39" t="str">
        <f>IF('Rates from Ireland Fedex Priort'!A190="","",'Rates from Ireland Fedex Priort'!A190)</f>
        <v>EU</v>
      </c>
      <c r="B191" s="8" t="str">
        <f>IF('Rates from Ireland Fedex Priort'!B190="","",'Rates from Ireland Fedex Priort'!B190)</f>
        <v>Ireland</v>
      </c>
      <c r="C191" s="9" t="str">
        <f>IF('Rates from Ireland Fedex Priort'!C190="","",'Rates from Ireland Fedex Priort'!C190)</f>
        <v>Saint Pierre and Miquelon</v>
      </c>
      <c r="D191" s="10" t="str">
        <f>IF(ISNUMBER('Rates from Ireland Fedex Priort'!D190),_xlfn.CEILING.MATH('Rates from Ireland Fedex Priort'!D190,1)+IF($A191="EU",Variables!$B$5,Variables!$B$2),'Rates from Ireland Fedex Priort'!D190)</f>
        <v>No service</v>
      </c>
      <c r="E191" s="10" t="str">
        <f>IF(ISNUMBER('Rates from Ireland Fedex Priort'!E190),_xlfn.CEILING.MATH('Rates from Ireland Fedex Priort'!E190,1)+IF($A191="EU",Variables!$B$6,Variables!$B$3),'Rates from Ireland Fedex Priort'!E190)</f>
        <v>No service</v>
      </c>
      <c r="F191" s="10" t="str">
        <f>IF(ISNUMBER('Rates from Ireland Fedex Priort'!F190),_xlfn.CEILING.MATH('Rates from Ireland Fedex Priort'!F190,1)+IF($A191="EU",Variables!$B$6,Variables!$B$3),'Rates from Ireland Fedex Priort'!F190)</f>
        <v>No service</v>
      </c>
      <c r="G191" s="10" t="str">
        <f>IF(ISNUMBER('Rates from Ireland Fedex Priort'!G190),_xlfn.CEILING.MATH('Rates from Ireland Fedex Priort'!G190,1)+IF($A191="EU",Variables!$B$6,Variables!$B$3),'Rates from Ireland Fedex Priort'!G190)</f>
        <v>No service</v>
      </c>
      <c r="H191" s="10" t="str">
        <f>IF(ISNUMBER('Rates from Ireland Fedex Priort'!H190),_xlfn.CEILING.MATH('Rates from Ireland Fedex Priort'!H190,1)+IF($A191="EU",Variables!$B$6,Variables!$B$3),'Rates from Ireland Fedex Priort'!H190)</f>
        <v>No service</v>
      </c>
      <c r="I191" s="10" t="str">
        <f>IF(ISNUMBER('Rates from Ireland Fedex Priort'!I190),_xlfn.CEILING.MATH('Rates from Ireland Fedex Priort'!I190,1)+IF($A191="EU",Variables!$B$6,Variables!$B$3),'Rates from Ireland Fedex Priort'!I190)</f>
        <v>No service</v>
      </c>
      <c r="J191" s="10" t="str">
        <f>IF(ISNUMBER('Rates from Ireland Fedex Priort'!J190),_xlfn.CEILING.MATH('Rates from Ireland Fedex Priort'!J190,1)+IF($A191="EU",Variables!$B$6,Variables!$B$3),'Rates from Ireland Fedex Priort'!J190)</f>
        <v>No service</v>
      </c>
      <c r="K191" s="10" t="str">
        <f>IF(ISNUMBER('Rates from Ireland Fedex Priort'!K190),_xlfn.CEILING.MATH('Rates from Ireland Fedex Priort'!K190,1)+IF($A191="EU",Variables!$B$6,Variables!$B$3),'Rates from Ireland Fedex Priort'!K190)</f>
        <v>No service</v>
      </c>
      <c r="L191" s="10" t="str">
        <f>IF(ISNUMBER('Rates from Ireland Fedex Priort'!L190),_xlfn.CEILING.MATH('Rates from Ireland Fedex Priort'!L190,1)+IF($A191="EU",Variables!$B$6,Variables!$B$3),'Rates from Ireland Fedex Priort'!L190)</f>
        <v>No service</v>
      </c>
      <c r="M191" s="10" t="str">
        <f>IF(ISNUMBER('Rates from Ireland Fedex Priort'!M190),_xlfn.CEILING.MATH('Rates from Ireland Fedex Priort'!M190,1)+IF($A191="EU",Variables!$B$6,Variables!$B$3),'Rates from Ireland Fedex Priort'!M190)</f>
        <v>No service</v>
      </c>
      <c r="N191" s="10" t="str">
        <f>IF(ISNUMBER('Rates from Ireland Fedex Priort'!N190),_xlfn.CEILING.MATH('Rates from Ireland Fedex Priort'!N190,1)+IF($A191="EU",Variables!$B$6,Variables!$B$3),'Rates from Ireland Fedex Priort'!N190)</f>
        <v>No service</v>
      </c>
      <c r="O191" s="11"/>
      <c r="P191" s="11"/>
      <c r="Q191" s="11"/>
      <c r="R191" s="11"/>
      <c r="S191" s="3" t="s">
        <v>26</v>
      </c>
      <c r="T191" s="38" t="s">
        <v>27</v>
      </c>
    </row>
    <row r="192" spans="1:20" ht="15.75" customHeight="1" x14ac:dyDescent="0.3">
      <c r="A192" s="39" t="str">
        <f>IF('Rates from Ireland Fedex Priort'!A191="","",'Rates from Ireland Fedex Priort'!A191)</f>
        <v>EU</v>
      </c>
      <c r="B192" s="8" t="str">
        <f>IF('Rates from Ireland Fedex Priort'!B191="","",'Rates from Ireland Fedex Priort'!B191)</f>
        <v>Ireland</v>
      </c>
      <c r="C192" s="9" t="str">
        <f>IF('Rates from Ireland Fedex Priort'!C191="","",'Rates from Ireland Fedex Priort'!C191)</f>
        <v>Saint Vincent and the Grenadines</v>
      </c>
      <c r="D192" s="10">
        <f>IF(ISNUMBER('Rates from Ireland Fedex Priort'!D191),_xlfn.CEILING.MATH('Rates from Ireland Fedex Priort'!D191,1)+IF($A192="EU",Variables!$B$5,Variables!$B$2),'Rates from Ireland Fedex Priort'!D191)</f>
        <v>68</v>
      </c>
      <c r="E192" s="10">
        <f>IF(ISNUMBER('Rates from Ireland Fedex Priort'!E191),_xlfn.CEILING.MATH('Rates from Ireland Fedex Priort'!E191,1)+IF($A192="EU",Variables!$B$6,Variables!$B$3),'Rates from Ireland Fedex Priort'!E191)</f>
        <v>77</v>
      </c>
      <c r="F192" s="10">
        <f>IF(ISNUMBER('Rates from Ireland Fedex Priort'!F191),_xlfn.CEILING.MATH('Rates from Ireland Fedex Priort'!F191,1)+IF($A192="EU",Variables!$B$6,Variables!$B$3),'Rates from Ireland Fedex Priort'!F191)</f>
        <v>81</v>
      </c>
      <c r="G192" s="10">
        <f>IF(ISNUMBER('Rates from Ireland Fedex Priort'!G191),_xlfn.CEILING.MATH('Rates from Ireland Fedex Priort'!G191,1)+IF($A192="EU",Variables!$B$6,Variables!$B$3),'Rates from Ireland Fedex Priort'!G191)</f>
        <v>96</v>
      </c>
      <c r="H192" s="10">
        <f>IF(ISNUMBER('Rates from Ireland Fedex Priort'!H191),_xlfn.CEILING.MATH('Rates from Ireland Fedex Priort'!H191,1)+IF($A192="EU",Variables!$B$6,Variables!$B$3),'Rates from Ireland Fedex Priort'!H191)</f>
        <v>117</v>
      </c>
      <c r="I192" s="10">
        <f>IF(ISNUMBER('Rates from Ireland Fedex Priort'!I191),_xlfn.CEILING.MATH('Rates from Ireland Fedex Priort'!I191,1)+IF($A192="EU",Variables!$B$6,Variables!$B$3),'Rates from Ireland Fedex Priort'!I191)</f>
        <v>219</v>
      </c>
      <c r="J192" s="10" t="str">
        <f>IF(ISNUMBER('Rates from Ireland Fedex Priort'!J191),_xlfn.CEILING.MATH('Rates from Ireland Fedex Priort'!J191,1)+IF($A192="EU",Variables!$B$6,Variables!$B$3),'Rates from Ireland Fedex Priort'!J191)</f>
        <v>No service</v>
      </c>
      <c r="K192" s="10" t="str">
        <f>IF(ISNUMBER('Rates from Ireland Fedex Priort'!K191),_xlfn.CEILING.MATH('Rates from Ireland Fedex Priort'!K191,1)+IF($A192="EU",Variables!$B$6,Variables!$B$3),'Rates from Ireland Fedex Priort'!K191)</f>
        <v>No service</v>
      </c>
      <c r="L192" s="10" t="str">
        <f>IF(ISNUMBER('Rates from Ireland Fedex Priort'!L191),_xlfn.CEILING.MATH('Rates from Ireland Fedex Priort'!L191,1)+IF($A192="EU",Variables!$B$6,Variables!$B$3),'Rates from Ireland Fedex Priort'!L191)</f>
        <v>No service</v>
      </c>
      <c r="M192" s="10" t="str">
        <f>IF(ISNUMBER('Rates from Ireland Fedex Priort'!M191),_xlfn.CEILING.MATH('Rates from Ireland Fedex Priort'!M191,1)+IF($A192="EU",Variables!$B$6,Variables!$B$3),'Rates from Ireland Fedex Priort'!M191)</f>
        <v>No service</v>
      </c>
      <c r="N192" s="10" t="str">
        <f>IF(ISNUMBER('Rates from Ireland Fedex Priort'!N191),_xlfn.CEILING.MATH('Rates from Ireland Fedex Priort'!N191,1)+IF($A192="EU",Variables!$B$6,Variables!$B$3),'Rates from Ireland Fedex Priort'!N191)</f>
        <v>No service</v>
      </c>
      <c r="O192" s="11" t="s">
        <v>41</v>
      </c>
      <c r="P192" s="11" t="s">
        <v>23</v>
      </c>
      <c r="Q192" s="12">
        <v>80</v>
      </c>
      <c r="R192" s="11" t="s">
        <v>25</v>
      </c>
      <c r="S192" s="3" t="s">
        <v>26</v>
      </c>
      <c r="T192" s="38" t="s">
        <v>27</v>
      </c>
    </row>
    <row r="193" spans="1:20" ht="15.75" customHeight="1" x14ac:dyDescent="0.3">
      <c r="A193" s="39" t="str">
        <f>IF('Rates from Ireland Fedex Priort'!A192="","",'Rates from Ireland Fedex Priort'!A192)</f>
        <v>EU</v>
      </c>
      <c r="B193" s="8" t="str">
        <f>IF('Rates from Ireland Fedex Priort'!B192="","",'Rates from Ireland Fedex Priort'!B192)</f>
        <v>Ireland</v>
      </c>
      <c r="C193" s="9" t="str">
        <f>IF('Rates from Ireland Fedex Priort'!C192="","",'Rates from Ireland Fedex Priort'!C192)</f>
        <v>Samoa</v>
      </c>
      <c r="D193" s="10">
        <f>IF(ISNUMBER('Rates from Ireland Fedex Priort'!D192),_xlfn.CEILING.MATH('Rates from Ireland Fedex Priort'!D192,1)+IF($A193="EU",Variables!$B$5,Variables!$B$2),'Rates from Ireland Fedex Priort'!D192)</f>
        <v>72</v>
      </c>
      <c r="E193" s="10">
        <f>IF(ISNUMBER('Rates from Ireland Fedex Priort'!E192),_xlfn.CEILING.MATH('Rates from Ireland Fedex Priort'!E192,1)+IF($A193="EU",Variables!$B$6,Variables!$B$3),'Rates from Ireland Fedex Priort'!E192)</f>
        <v>83</v>
      </c>
      <c r="F193" s="10">
        <f>IF(ISNUMBER('Rates from Ireland Fedex Priort'!F192),_xlfn.CEILING.MATH('Rates from Ireland Fedex Priort'!F192,1)+IF($A193="EU",Variables!$B$6,Variables!$B$3),'Rates from Ireland Fedex Priort'!F192)</f>
        <v>88</v>
      </c>
      <c r="G193" s="10">
        <f>IF(ISNUMBER('Rates from Ireland Fedex Priort'!G192),_xlfn.CEILING.MATH('Rates from Ireland Fedex Priort'!G192,1)+IF($A193="EU",Variables!$B$6,Variables!$B$3),'Rates from Ireland Fedex Priort'!G192)</f>
        <v>106</v>
      </c>
      <c r="H193" s="10">
        <f>IF(ISNUMBER('Rates from Ireland Fedex Priort'!H192),_xlfn.CEILING.MATH('Rates from Ireland Fedex Priort'!H192,1)+IF($A193="EU",Variables!$B$6,Variables!$B$3),'Rates from Ireland Fedex Priort'!H192)</f>
        <v>134</v>
      </c>
      <c r="I193" s="10">
        <f>IF(ISNUMBER('Rates from Ireland Fedex Priort'!I192),_xlfn.CEILING.MATH('Rates from Ireland Fedex Priort'!I192,1)+IF($A193="EU",Variables!$B$6,Variables!$B$3),'Rates from Ireland Fedex Priort'!I192)</f>
        <v>242</v>
      </c>
      <c r="J193" s="10" t="str">
        <f>IF(ISNUMBER('Rates from Ireland Fedex Priort'!J192),_xlfn.CEILING.MATH('Rates from Ireland Fedex Priort'!J192,1)+IF($A193="EU",Variables!$B$6,Variables!$B$3),'Rates from Ireland Fedex Priort'!J192)</f>
        <v>No service</v>
      </c>
      <c r="K193" s="10" t="str">
        <f>IF(ISNUMBER('Rates from Ireland Fedex Priort'!K192),_xlfn.CEILING.MATH('Rates from Ireland Fedex Priort'!K192,1)+IF($A193="EU",Variables!$B$6,Variables!$B$3),'Rates from Ireland Fedex Priort'!K192)</f>
        <v>No service</v>
      </c>
      <c r="L193" s="10" t="str">
        <f>IF(ISNUMBER('Rates from Ireland Fedex Priort'!L192),_xlfn.CEILING.MATH('Rates from Ireland Fedex Priort'!L192,1)+IF($A193="EU",Variables!$B$6,Variables!$B$3),'Rates from Ireland Fedex Priort'!L192)</f>
        <v>No service</v>
      </c>
      <c r="M193" s="10" t="str">
        <f>IF(ISNUMBER('Rates from Ireland Fedex Priort'!M192),_xlfn.CEILING.MATH('Rates from Ireland Fedex Priort'!M192,1)+IF($A193="EU",Variables!$B$6,Variables!$B$3),'Rates from Ireland Fedex Priort'!M192)</f>
        <v>No service</v>
      </c>
      <c r="N193" s="10" t="str">
        <f>IF(ISNUMBER('Rates from Ireland Fedex Priort'!N192),_xlfn.CEILING.MATH('Rates from Ireland Fedex Priort'!N192,1)+IF($A193="EU",Variables!$B$6,Variables!$B$3),'Rates from Ireland Fedex Priort'!N192)</f>
        <v>No service</v>
      </c>
      <c r="O193" s="11" t="s">
        <v>35</v>
      </c>
      <c r="P193" s="11" t="s">
        <v>36</v>
      </c>
      <c r="Q193" s="12">
        <v>80</v>
      </c>
      <c r="R193" s="11" t="s">
        <v>25</v>
      </c>
      <c r="S193" s="3" t="s">
        <v>26</v>
      </c>
      <c r="T193" s="38" t="s">
        <v>27</v>
      </c>
    </row>
    <row r="194" spans="1:20" ht="15.75" customHeight="1" x14ac:dyDescent="0.3">
      <c r="A194" s="39" t="str">
        <f>IF('Rates from Ireland Fedex Priort'!A193="","",'Rates from Ireland Fedex Priort'!A193)</f>
        <v>EU</v>
      </c>
      <c r="B194" s="8" t="str">
        <f>IF('Rates from Ireland Fedex Priort'!B193="","",'Rates from Ireland Fedex Priort'!B193)</f>
        <v>Ireland</v>
      </c>
      <c r="C194" s="9" t="str">
        <f>IF('Rates from Ireland Fedex Priort'!C193="","",'Rates from Ireland Fedex Priort'!C193)</f>
        <v>San Marino</v>
      </c>
      <c r="D194" s="10" t="str">
        <f>IF(ISNUMBER('Rates from Ireland Fedex Priort'!D193),_xlfn.CEILING.MATH('Rates from Ireland Fedex Priort'!D193,1)+IF($A194="EU",Variables!$B$5,Variables!$B$2),'Rates from Ireland Fedex Priort'!D193)</f>
        <v>No service</v>
      </c>
      <c r="E194" s="10" t="str">
        <f>IF(ISNUMBER('Rates from Ireland Fedex Priort'!E193),_xlfn.CEILING.MATH('Rates from Ireland Fedex Priort'!E193,1)+IF($A194="EU",Variables!$B$6,Variables!$B$3),'Rates from Ireland Fedex Priort'!E193)</f>
        <v>No service</v>
      </c>
      <c r="F194" s="10" t="str">
        <f>IF(ISNUMBER('Rates from Ireland Fedex Priort'!F193),_xlfn.CEILING.MATH('Rates from Ireland Fedex Priort'!F193,1)+IF($A194="EU",Variables!$B$6,Variables!$B$3),'Rates from Ireland Fedex Priort'!F193)</f>
        <v>No service</v>
      </c>
      <c r="G194" s="10" t="str">
        <f>IF(ISNUMBER('Rates from Ireland Fedex Priort'!G193),_xlfn.CEILING.MATH('Rates from Ireland Fedex Priort'!G193,1)+IF($A194="EU",Variables!$B$6,Variables!$B$3),'Rates from Ireland Fedex Priort'!G193)</f>
        <v>No service</v>
      </c>
      <c r="H194" s="10" t="str">
        <f>IF(ISNUMBER('Rates from Ireland Fedex Priort'!H193),_xlfn.CEILING.MATH('Rates from Ireland Fedex Priort'!H193,1)+IF($A194="EU",Variables!$B$6,Variables!$B$3),'Rates from Ireland Fedex Priort'!H193)</f>
        <v>No service</v>
      </c>
      <c r="I194" s="10" t="str">
        <f>IF(ISNUMBER('Rates from Ireland Fedex Priort'!I193),_xlfn.CEILING.MATH('Rates from Ireland Fedex Priort'!I193,1)+IF($A194="EU",Variables!$B$6,Variables!$B$3),'Rates from Ireland Fedex Priort'!I193)</f>
        <v>No service</v>
      </c>
      <c r="J194" s="10" t="str">
        <f>IF(ISNUMBER('Rates from Ireland Fedex Priort'!J193),_xlfn.CEILING.MATH('Rates from Ireland Fedex Priort'!J193,1)+IF($A194="EU",Variables!$B$6,Variables!$B$3),'Rates from Ireland Fedex Priort'!J193)</f>
        <v>No service</v>
      </c>
      <c r="K194" s="10" t="str">
        <f>IF(ISNUMBER('Rates from Ireland Fedex Priort'!K193),_xlfn.CEILING.MATH('Rates from Ireland Fedex Priort'!K193,1)+IF($A194="EU",Variables!$B$6,Variables!$B$3),'Rates from Ireland Fedex Priort'!K193)</f>
        <v>No service</v>
      </c>
      <c r="L194" s="10" t="str">
        <f>IF(ISNUMBER('Rates from Ireland Fedex Priort'!L193),_xlfn.CEILING.MATH('Rates from Ireland Fedex Priort'!L193,1)+IF($A194="EU",Variables!$B$6,Variables!$B$3),'Rates from Ireland Fedex Priort'!L193)</f>
        <v>No service</v>
      </c>
      <c r="M194" s="10" t="str">
        <f>IF(ISNUMBER('Rates from Ireland Fedex Priort'!M193),_xlfn.CEILING.MATH('Rates from Ireland Fedex Priort'!M193,1)+IF($A194="EU",Variables!$B$6,Variables!$B$3),'Rates from Ireland Fedex Priort'!M193)</f>
        <v>No service</v>
      </c>
      <c r="N194" s="10" t="str">
        <f>IF(ISNUMBER('Rates from Ireland Fedex Priort'!N193),_xlfn.CEILING.MATH('Rates from Ireland Fedex Priort'!N193,1)+IF($A194="EU",Variables!$B$6,Variables!$B$3),'Rates from Ireland Fedex Priort'!N193)</f>
        <v>No service</v>
      </c>
      <c r="O194" s="11"/>
      <c r="P194" s="11"/>
      <c r="Q194" s="11"/>
      <c r="R194" s="11"/>
      <c r="S194" s="3" t="s">
        <v>26</v>
      </c>
      <c r="T194" s="38" t="s">
        <v>27</v>
      </c>
    </row>
    <row r="195" spans="1:20" ht="15.75" customHeight="1" x14ac:dyDescent="0.3">
      <c r="A195" s="39" t="str">
        <f>IF('Rates from Ireland Fedex Priort'!A194="","",'Rates from Ireland Fedex Priort'!A194)</f>
        <v>EU</v>
      </c>
      <c r="B195" s="8" t="str">
        <f>IF('Rates from Ireland Fedex Priort'!B194="","",'Rates from Ireland Fedex Priort'!B194)</f>
        <v>Ireland</v>
      </c>
      <c r="C195" s="9" t="str">
        <f>IF('Rates from Ireland Fedex Priort'!C194="","",'Rates from Ireland Fedex Priort'!C194)</f>
        <v>São Tomé and Príncipe</v>
      </c>
      <c r="D195" s="10" t="str">
        <f>IF(ISNUMBER('Rates from Ireland Fedex Priort'!D194),_xlfn.CEILING.MATH('Rates from Ireland Fedex Priort'!D194,1)+IF($A195="EU",Variables!$B$5,Variables!$B$2),'Rates from Ireland Fedex Priort'!D194)</f>
        <v>No service</v>
      </c>
      <c r="E195" s="10" t="str">
        <f>IF(ISNUMBER('Rates from Ireland Fedex Priort'!E194),_xlfn.CEILING.MATH('Rates from Ireland Fedex Priort'!E194,1)+IF($A195="EU",Variables!$B$6,Variables!$B$3),'Rates from Ireland Fedex Priort'!E194)</f>
        <v>No service</v>
      </c>
      <c r="F195" s="10" t="str">
        <f>IF(ISNUMBER('Rates from Ireland Fedex Priort'!F194),_xlfn.CEILING.MATH('Rates from Ireland Fedex Priort'!F194,1)+IF($A195="EU",Variables!$B$6,Variables!$B$3),'Rates from Ireland Fedex Priort'!F194)</f>
        <v>No service</v>
      </c>
      <c r="G195" s="10" t="str">
        <f>IF(ISNUMBER('Rates from Ireland Fedex Priort'!G194),_xlfn.CEILING.MATH('Rates from Ireland Fedex Priort'!G194,1)+IF($A195="EU",Variables!$B$6,Variables!$B$3),'Rates from Ireland Fedex Priort'!G194)</f>
        <v>No service</v>
      </c>
      <c r="H195" s="10" t="str">
        <f>IF(ISNUMBER('Rates from Ireland Fedex Priort'!H194),_xlfn.CEILING.MATH('Rates from Ireland Fedex Priort'!H194,1)+IF($A195="EU",Variables!$B$6,Variables!$B$3),'Rates from Ireland Fedex Priort'!H194)</f>
        <v>No service</v>
      </c>
      <c r="I195" s="10" t="str">
        <f>IF(ISNUMBER('Rates from Ireland Fedex Priort'!I194),_xlfn.CEILING.MATH('Rates from Ireland Fedex Priort'!I194,1)+IF($A195="EU",Variables!$B$6,Variables!$B$3),'Rates from Ireland Fedex Priort'!I194)</f>
        <v>No service</v>
      </c>
      <c r="J195" s="10" t="str">
        <f>IF(ISNUMBER('Rates from Ireland Fedex Priort'!J194),_xlfn.CEILING.MATH('Rates from Ireland Fedex Priort'!J194,1)+IF($A195="EU",Variables!$B$6,Variables!$B$3),'Rates from Ireland Fedex Priort'!J194)</f>
        <v>No service</v>
      </c>
      <c r="K195" s="10" t="str">
        <f>IF(ISNUMBER('Rates from Ireland Fedex Priort'!K194),_xlfn.CEILING.MATH('Rates from Ireland Fedex Priort'!K194,1)+IF($A195="EU",Variables!$B$6,Variables!$B$3),'Rates from Ireland Fedex Priort'!K194)</f>
        <v>No service</v>
      </c>
      <c r="L195" s="10" t="str">
        <f>IF(ISNUMBER('Rates from Ireland Fedex Priort'!L194),_xlfn.CEILING.MATH('Rates from Ireland Fedex Priort'!L194,1)+IF($A195="EU",Variables!$B$6,Variables!$B$3),'Rates from Ireland Fedex Priort'!L194)</f>
        <v>No service</v>
      </c>
      <c r="M195" s="10" t="str">
        <f>IF(ISNUMBER('Rates from Ireland Fedex Priort'!M194),_xlfn.CEILING.MATH('Rates from Ireland Fedex Priort'!M194,1)+IF($A195="EU",Variables!$B$6,Variables!$B$3),'Rates from Ireland Fedex Priort'!M194)</f>
        <v>No service</v>
      </c>
      <c r="N195" s="10" t="str">
        <f>IF(ISNUMBER('Rates from Ireland Fedex Priort'!N194),_xlfn.CEILING.MATH('Rates from Ireland Fedex Priort'!N194,1)+IF($A195="EU",Variables!$B$6,Variables!$B$3),'Rates from Ireland Fedex Priort'!N194)</f>
        <v>No service</v>
      </c>
      <c r="O195" s="11"/>
      <c r="P195" s="11"/>
      <c r="Q195" s="11"/>
      <c r="R195" s="11"/>
      <c r="S195" s="3" t="s">
        <v>26</v>
      </c>
      <c r="T195" s="38" t="s">
        <v>27</v>
      </c>
    </row>
    <row r="196" spans="1:20" ht="15.75" customHeight="1" x14ac:dyDescent="0.3">
      <c r="A196" s="39" t="str">
        <f>IF('Rates from Ireland Fedex Priort'!A195="","",'Rates from Ireland Fedex Priort'!A195)</f>
        <v>EU</v>
      </c>
      <c r="B196" s="8" t="str">
        <f>IF('Rates from Ireland Fedex Priort'!B195="","",'Rates from Ireland Fedex Priort'!B195)</f>
        <v>Ireland</v>
      </c>
      <c r="C196" s="9" t="str">
        <f>IF('Rates from Ireland Fedex Priort'!C195="","",'Rates from Ireland Fedex Priort'!C195)</f>
        <v>Saudi Arabia</v>
      </c>
      <c r="D196" s="10">
        <f>IF(ISNUMBER('Rates from Ireland Fedex Priort'!D195),_xlfn.CEILING.MATH('Rates from Ireland Fedex Priort'!D195,1)+IF($A196="EU",Variables!$B$5,Variables!$B$2),'Rates from Ireland Fedex Priort'!D195)</f>
        <v>62</v>
      </c>
      <c r="E196" s="10">
        <f>IF(ISNUMBER('Rates from Ireland Fedex Priort'!E195),_xlfn.CEILING.MATH('Rates from Ireland Fedex Priort'!E195,1)+IF($A196="EU",Variables!$B$6,Variables!$B$3),'Rates from Ireland Fedex Priort'!E195)</f>
        <v>69</v>
      </c>
      <c r="F196" s="10">
        <f>IF(ISNUMBER('Rates from Ireland Fedex Priort'!F195),_xlfn.CEILING.MATH('Rates from Ireland Fedex Priort'!F195,1)+IF($A196="EU",Variables!$B$6,Variables!$B$3),'Rates from Ireland Fedex Priort'!F195)</f>
        <v>72</v>
      </c>
      <c r="G196" s="10">
        <f>IF(ISNUMBER('Rates from Ireland Fedex Priort'!G195),_xlfn.CEILING.MATH('Rates from Ireland Fedex Priort'!G195,1)+IF($A196="EU",Variables!$B$6,Variables!$B$3),'Rates from Ireland Fedex Priort'!G195)</f>
        <v>86</v>
      </c>
      <c r="H196" s="10">
        <f>IF(ISNUMBER('Rates from Ireland Fedex Priort'!H195),_xlfn.CEILING.MATH('Rates from Ireland Fedex Priort'!H195,1)+IF($A196="EU",Variables!$B$6,Variables!$B$3),'Rates from Ireland Fedex Priort'!H195)</f>
        <v>111</v>
      </c>
      <c r="I196" s="10">
        <f>IF(ISNUMBER('Rates from Ireland Fedex Priort'!I195),_xlfn.CEILING.MATH('Rates from Ireland Fedex Priort'!I195,1)+IF($A196="EU",Variables!$B$6,Variables!$B$3),'Rates from Ireland Fedex Priort'!I195)</f>
        <v>174</v>
      </c>
      <c r="J196" s="10" t="str">
        <f>IF(ISNUMBER('Rates from Ireland Fedex Priort'!J195),_xlfn.CEILING.MATH('Rates from Ireland Fedex Priort'!J195,1)+IF($A196="EU",Variables!$B$6,Variables!$B$3),'Rates from Ireland Fedex Priort'!J195)</f>
        <v>No service</v>
      </c>
      <c r="K196" s="10" t="str">
        <f>IF(ISNUMBER('Rates from Ireland Fedex Priort'!K195),_xlfn.CEILING.MATH('Rates from Ireland Fedex Priort'!K195,1)+IF($A196="EU",Variables!$B$6,Variables!$B$3),'Rates from Ireland Fedex Priort'!K195)</f>
        <v>No service</v>
      </c>
      <c r="L196" s="10" t="str">
        <f>IF(ISNUMBER('Rates from Ireland Fedex Priort'!L195),_xlfn.CEILING.MATH('Rates from Ireland Fedex Priort'!L195,1)+IF($A196="EU",Variables!$B$6,Variables!$B$3),'Rates from Ireland Fedex Priort'!L195)</f>
        <v>No service</v>
      </c>
      <c r="M196" s="10" t="str">
        <f>IF(ISNUMBER('Rates from Ireland Fedex Priort'!M195),_xlfn.CEILING.MATH('Rates from Ireland Fedex Priort'!M195,1)+IF($A196="EU",Variables!$B$6,Variables!$B$3),'Rates from Ireland Fedex Priort'!M195)</f>
        <v>No service</v>
      </c>
      <c r="N196" s="10" t="str">
        <f>IF(ISNUMBER('Rates from Ireland Fedex Priort'!N195),_xlfn.CEILING.MATH('Rates from Ireland Fedex Priort'!N195,1)+IF($A196="EU",Variables!$B$6,Variables!$B$3),'Rates from Ireland Fedex Priort'!N195)</f>
        <v>No service</v>
      </c>
      <c r="O196" s="11" t="s">
        <v>29</v>
      </c>
      <c r="P196" s="11" t="s">
        <v>30</v>
      </c>
      <c r="Q196" s="12">
        <v>80</v>
      </c>
      <c r="R196" s="11" t="s">
        <v>25</v>
      </c>
      <c r="S196" s="3" t="s">
        <v>26</v>
      </c>
      <c r="T196" s="38" t="s">
        <v>27</v>
      </c>
    </row>
    <row r="197" spans="1:20" ht="15.75" customHeight="1" x14ac:dyDescent="0.3">
      <c r="A197" s="39" t="str">
        <f>IF('Rates from Ireland Fedex Priort'!A196="","",'Rates from Ireland Fedex Priort'!A196)</f>
        <v>EU</v>
      </c>
      <c r="B197" s="8" t="str">
        <f>IF('Rates from Ireland Fedex Priort'!B196="","",'Rates from Ireland Fedex Priort'!B196)</f>
        <v>Ireland</v>
      </c>
      <c r="C197" s="9" t="str">
        <f>IF('Rates from Ireland Fedex Priort'!C196="","",'Rates from Ireland Fedex Priort'!C196)</f>
        <v>Senegal</v>
      </c>
      <c r="D197" s="10">
        <f>IF(ISNUMBER('Rates from Ireland Fedex Priort'!D196),_xlfn.CEILING.MATH('Rates from Ireland Fedex Priort'!D196,1)+IF($A197="EU",Variables!$B$5,Variables!$B$2),'Rates from Ireland Fedex Priort'!D196)</f>
        <v>72</v>
      </c>
      <c r="E197" s="10">
        <f>IF(ISNUMBER('Rates from Ireland Fedex Priort'!E196),_xlfn.CEILING.MATH('Rates from Ireland Fedex Priort'!E196,1)+IF($A197="EU",Variables!$B$6,Variables!$B$3),'Rates from Ireland Fedex Priort'!E196)</f>
        <v>83</v>
      </c>
      <c r="F197" s="10">
        <f>IF(ISNUMBER('Rates from Ireland Fedex Priort'!F196),_xlfn.CEILING.MATH('Rates from Ireland Fedex Priort'!F196,1)+IF($A197="EU",Variables!$B$6,Variables!$B$3),'Rates from Ireland Fedex Priort'!F196)</f>
        <v>88</v>
      </c>
      <c r="G197" s="10">
        <f>IF(ISNUMBER('Rates from Ireland Fedex Priort'!G196),_xlfn.CEILING.MATH('Rates from Ireland Fedex Priort'!G196,1)+IF($A197="EU",Variables!$B$6,Variables!$B$3),'Rates from Ireland Fedex Priort'!G196)</f>
        <v>106</v>
      </c>
      <c r="H197" s="10">
        <f>IF(ISNUMBER('Rates from Ireland Fedex Priort'!H196),_xlfn.CEILING.MATH('Rates from Ireland Fedex Priort'!H196,1)+IF($A197="EU",Variables!$B$6,Variables!$B$3),'Rates from Ireland Fedex Priort'!H196)</f>
        <v>134</v>
      </c>
      <c r="I197" s="10">
        <f>IF(ISNUMBER('Rates from Ireland Fedex Priort'!I196),_xlfn.CEILING.MATH('Rates from Ireland Fedex Priort'!I196,1)+IF($A197="EU",Variables!$B$6,Variables!$B$3),'Rates from Ireland Fedex Priort'!I196)</f>
        <v>242</v>
      </c>
      <c r="J197" s="10" t="str">
        <f>IF(ISNUMBER('Rates from Ireland Fedex Priort'!J196),_xlfn.CEILING.MATH('Rates from Ireland Fedex Priort'!J196,1)+IF($A197="EU",Variables!$B$6,Variables!$B$3),'Rates from Ireland Fedex Priort'!J196)</f>
        <v>No service</v>
      </c>
      <c r="K197" s="10" t="str">
        <f>IF(ISNUMBER('Rates from Ireland Fedex Priort'!K196),_xlfn.CEILING.MATH('Rates from Ireland Fedex Priort'!K196,1)+IF($A197="EU",Variables!$B$6,Variables!$B$3),'Rates from Ireland Fedex Priort'!K196)</f>
        <v>No service</v>
      </c>
      <c r="L197" s="10" t="str">
        <f>IF(ISNUMBER('Rates from Ireland Fedex Priort'!L196),_xlfn.CEILING.MATH('Rates from Ireland Fedex Priort'!L196,1)+IF($A197="EU",Variables!$B$6,Variables!$B$3),'Rates from Ireland Fedex Priort'!L196)</f>
        <v>No service</v>
      </c>
      <c r="M197" s="10" t="str">
        <f>IF(ISNUMBER('Rates from Ireland Fedex Priort'!M196),_xlfn.CEILING.MATH('Rates from Ireland Fedex Priort'!M196,1)+IF($A197="EU",Variables!$B$6,Variables!$B$3),'Rates from Ireland Fedex Priort'!M196)</f>
        <v>No service</v>
      </c>
      <c r="N197" s="10" t="str">
        <f>IF(ISNUMBER('Rates from Ireland Fedex Priort'!N196),_xlfn.CEILING.MATH('Rates from Ireland Fedex Priort'!N196,1)+IF($A197="EU",Variables!$B$6,Variables!$B$3),'Rates from Ireland Fedex Priort'!N196)</f>
        <v>No service</v>
      </c>
      <c r="O197" s="11" t="s">
        <v>35</v>
      </c>
      <c r="P197" s="11" t="s">
        <v>36</v>
      </c>
      <c r="Q197" s="12">
        <v>80</v>
      </c>
      <c r="R197" s="11" t="s">
        <v>25</v>
      </c>
      <c r="S197" s="3" t="s">
        <v>26</v>
      </c>
      <c r="T197" s="38" t="s">
        <v>27</v>
      </c>
    </row>
    <row r="198" spans="1:20" ht="15.75" customHeight="1" x14ac:dyDescent="0.3">
      <c r="A198" s="39" t="str">
        <f>IF('Rates from Ireland Fedex Priort'!A197="","",'Rates from Ireland Fedex Priort'!A197)</f>
        <v>EU</v>
      </c>
      <c r="B198" s="8" t="str">
        <f>IF('Rates from Ireland Fedex Priort'!B197="","",'Rates from Ireland Fedex Priort'!B197)</f>
        <v>Ireland</v>
      </c>
      <c r="C198" s="9" t="str">
        <f>IF('Rates from Ireland Fedex Priort'!C197="","",'Rates from Ireland Fedex Priort'!C197)</f>
        <v>Serbia</v>
      </c>
      <c r="D198" s="10">
        <f>IF(ISNUMBER('Rates from Ireland Fedex Priort'!D197),_xlfn.CEILING.MATH('Rates from Ireland Fedex Priort'!D197,1)+IF($A198="EU",Variables!$B$5,Variables!$B$2),'Rates from Ireland Fedex Priort'!D197)</f>
        <v>77</v>
      </c>
      <c r="E198" s="10">
        <f>IF(ISNUMBER('Rates from Ireland Fedex Priort'!E197),_xlfn.CEILING.MATH('Rates from Ireland Fedex Priort'!E197,1)+IF($A198="EU",Variables!$B$6,Variables!$B$3),'Rates from Ireland Fedex Priort'!E197)</f>
        <v>85</v>
      </c>
      <c r="F198" s="10">
        <f>IF(ISNUMBER('Rates from Ireland Fedex Priort'!F197),_xlfn.CEILING.MATH('Rates from Ireland Fedex Priort'!F197,1)+IF($A198="EU",Variables!$B$6,Variables!$B$3),'Rates from Ireland Fedex Priort'!F197)</f>
        <v>88</v>
      </c>
      <c r="G198" s="10">
        <f>IF(ISNUMBER('Rates from Ireland Fedex Priort'!G197),_xlfn.CEILING.MATH('Rates from Ireland Fedex Priort'!G197,1)+IF($A198="EU",Variables!$B$6,Variables!$B$3),'Rates from Ireland Fedex Priort'!G197)</f>
        <v>97</v>
      </c>
      <c r="H198" s="10">
        <f>IF(ISNUMBER('Rates from Ireland Fedex Priort'!H197),_xlfn.CEILING.MATH('Rates from Ireland Fedex Priort'!H197,1)+IF($A198="EU",Variables!$B$6,Variables!$B$3),'Rates from Ireland Fedex Priort'!H197)</f>
        <v>102</v>
      </c>
      <c r="I198" s="10">
        <f>IF(ISNUMBER('Rates from Ireland Fedex Priort'!I197),_xlfn.CEILING.MATH('Rates from Ireland Fedex Priort'!I197,1)+IF($A198="EU",Variables!$B$6,Variables!$B$3),'Rates from Ireland Fedex Priort'!I197)</f>
        <v>109</v>
      </c>
      <c r="J198" s="10" t="str">
        <f>IF(ISNUMBER('Rates from Ireland Fedex Priort'!J197),_xlfn.CEILING.MATH('Rates from Ireland Fedex Priort'!J197,1)+IF($A198="EU",Variables!$B$6,Variables!$B$3),'Rates from Ireland Fedex Priort'!J197)</f>
        <v>No service</v>
      </c>
      <c r="K198" s="10" t="str">
        <f>IF(ISNUMBER('Rates from Ireland Fedex Priort'!K197),_xlfn.CEILING.MATH('Rates from Ireland Fedex Priort'!K197,1)+IF($A198="EU",Variables!$B$6,Variables!$B$3),'Rates from Ireland Fedex Priort'!K197)</f>
        <v>No service</v>
      </c>
      <c r="L198" s="10" t="str">
        <f>IF(ISNUMBER('Rates from Ireland Fedex Priort'!L197),_xlfn.CEILING.MATH('Rates from Ireland Fedex Priort'!L197,1)+IF($A198="EU",Variables!$B$6,Variables!$B$3),'Rates from Ireland Fedex Priort'!L197)</f>
        <v>No service</v>
      </c>
      <c r="M198" s="10" t="str">
        <f>IF(ISNUMBER('Rates from Ireland Fedex Priort'!M197),_xlfn.CEILING.MATH('Rates from Ireland Fedex Priort'!M197,1)+IF($A198="EU",Variables!$B$6,Variables!$B$3),'Rates from Ireland Fedex Priort'!M197)</f>
        <v>No service</v>
      </c>
      <c r="N198" s="10" t="str">
        <f>IF(ISNUMBER('Rates from Ireland Fedex Priort'!N197),_xlfn.CEILING.MATH('Rates from Ireland Fedex Priort'!N197,1)+IF($A198="EU",Variables!$B$6,Variables!$B$3),'Rates from Ireland Fedex Priort'!N197)</f>
        <v>No service</v>
      </c>
      <c r="O198" s="11" t="s">
        <v>23</v>
      </c>
      <c r="P198" s="11" t="s">
        <v>24</v>
      </c>
      <c r="Q198" s="12">
        <v>80</v>
      </c>
      <c r="R198" s="11" t="s">
        <v>25</v>
      </c>
      <c r="S198" s="3" t="s">
        <v>26</v>
      </c>
      <c r="T198" s="38" t="s">
        <v>27</v>
      </c>
    </row>
    <row r="199" spans="1:20" ht="15.75" customHeight="1" x14ac:dyDescent="0.3">
      <c r="A199" s="39" t="str">
        <f>IF('Rates from Ireland Fedex Priort'!A198="","",'Rates from Ireland Fedex Priort'!A198)</f>
        <v>EU</v>
      </c>
      <c r="B199" s="8" t="str">
        <f>IF('Rates from Ireland Fedex Priort'!B198="","",'Rates from Ireland Fedex Priort'!B198)</f>
        <v>Ireland</v>
      </c>
      <c r="C199" s="9" t="str">
        <f>IF('Rates from Ireland Fedex Priort'!C198="","",'Rates from Ireland Fedex Priort'!C198)</f>
        <v>Seychelles</v>
      </c>
      <c r="D199" s="10" t="str">
        <f>IF(ISNUMBER('Rates from Ireland Fedex Priort'!D198),_xlfn.CEILING.MATH('Rates from Ireland Fedex Priort'!D198,1)+IF($A199="EU",Variables!$B$5,Variables!$B$2),'Rates from Ireland Fedex Priort'!D198)</f>
        <v>No service</v>
      </c>
      <c r="E199" s="10" t="str">
        <f>IF(ISNUMBER('Rates from Ireland Fedex Priort'!E198),_xlfn.CEILING.MATH('Rates from Ireland Fedex Priort'!E198,1)+IF($A199="EU",Variables!$B$6,Variables!$B$3),'Rates from Ireland Fedex Priort'!E198)</f>
        <v>No service</v>
      </c>
      <c r="F199" s="10" t="str">
        <f>IF(ISNUMBER('Rates from Ireland Fedex Priort'!F198),_xlfn.CEILING.MATH('Rates from Ireland Fedex Priort'!F198,1)+IF($A199="EU",Variables!$B$6,Variables!$B$3),'Rates from Ireland Fedex Priort'!F198)</f>
        <v>No service</v>
      </c>
      <c r="G199" s="10" t="str">
        <f>IF(ISNUMBER('Rates from Ireland Fedex Priort'!G198),_xlfn.CEILING.MATH('Rates from Ireland Fedex Priort'!G198,1)+IF($A199="EU",Variables!$B$6,Variables!$B$3),'Rates from Ireland Fedex Priort'!G198)</f>
        <v>No service</v>
      </c>
      <c r="H199" s="10" t="str">
        <f>IF(ISNUMBER('Rates from Ireland Fedex Priort'!H198),_xlfn.CEILING.MATH('Rates from Ireland Fedex Priort'!H198,1)+IF($A199="EU",Variables!$B$6,Variables!$B$3),'Rates from Ireland Fedex Priort'!H198)</f>
        <v>No service</v>
      </c>
      <c r="I199" s="10" t="str">
        <f>IF(ISNUMBER('Rates from Ireland Fedex Priort'!I198),_xlfn.CEILING.MATH('Rates from Ireland Fedex Priort'!I198,1)+IF($A199="EU",Variables!$B$6,Variables!$B$3),'Rates from Ireland Fedex Priort'!I198)</f>
        <v>No service</v>
      </c>
      <c r="J199" s="10" t="str">
        <f>IF(ISNUMBER('Rates from Ireland Fedex Priort'!J198),_xlfn.CEILING.MATH('Rates from Ireland Fedex Priort'!J198,1)+IF($A199="EU",Variables!$B$6,Variables!$B$3),'Rates from Ireland Fedex Priort'!J198)</f>
        <v>No service</v>
      </c>
      <c r="K199" s="10" t="str">
        <f>IF(ISNUMBER('Rates from Ireland Fedex Priort'!K198),_xlfn.CEILING.MATH('Rates from Ireland Fedex Priort'!K198,1)+IF($A199="EU",Variables!$B$6,Variables!$B$3),'Rates from Ireland Fedex Priort'!K198)</f>
        <v>No service</v>
      </c>
      <c r="L199" s="10" t="str">
        <f>IF(ISNUMBER('Rates from Ireland Fedex Priort'!L198),_xlfn.CEILING.MATH('Rates from Ireland Fedex Priort'!L198,1)+IF($A199="EU",Variables!$B$6,Variables!$B$3),'Rates from Ireland Fedex Priort'!L198)</f>
        <v>No service</v>
      </c>
      <c r="M199" s="10" t="str">
        <f>IF(ISNUMBER('Rates from Ireland Fedex Priort'!M198),_xlfn.CEILING.MATH('Rates from Ireland Fedex Priort'!M198,1)+IF($A199="EU",Variables!$B$6,Variables!$B$3),'Rates from Ireland Fedex Priort'!M198)</f>
        <v>No service</v>
      </c>
      <c r="N199" s="10" t="str">
        <f>IF(ISNUMBER('Rates from Ireland Fedex Priort'!N198),_xlfn.CEILING.MATH('Rates from Ireland Fedex Priort'!N198,1)+IF($A199="EU",Variables!$B$6,Variables!$B$3),'Rates from Ireland Fedex Priort'!N198)</f>
        <v>No service</v>
      </c>
      <c r="O199" s="11"/>
      <c r="P199" s="11"/>
      <c r="Q199" s="11"/>
      <c r="R199" s="11"/>
      <c r="S199" s="3" t="s">
        <v>26</v>
      </c>
      <c r="T199" s="38" t="s">
        <v>27</v>
      </c>
    </row>
    <row r="200" spans="1:20" ht="15.75" customHeight="1" x14ac:dyDescent="0.3">
      <c r="A200" s="39" t="str">
        <f>IF('Rates from Ireland Fedex Priort'!A199="","",'Rates from Ireland Fedex Priort'!A199)</f>
        <v>EU</v>
      </c>
      <c r="B200" s="8" t="str">
        <f>IF('Rates from Ireland Fedex Priort'!B199="","",'Rates from Ireland Fedex Priort'!B199)</f>
        <v>Ireland</v>
      </c>
      <c r="C200" s="9" t="str">
        <f>IF('Rates from Ireland Fedex Priort'!C199="","",'Rates from Ireland Fedex Priort'!C199)</f>
        <v>Sierra Leone</v>
      </c>
      <c r="D200" s="10" t="str">
        <f>IF(ISNUMBER('Rates from Ireland Fedex Priort'!D199),_xlfn.CEILING.MATH('Rates from Ireland Fedex Priort'!D199,1)+IF($A200="EU",Variables!$B$5,Variables!$B$2),'Rates from Ireland Fedex Priort'!D199)</f>
        <v>No service</v>
      </c>
      <c r="E200" s="10" t="str">
        <f>IF(ISNUMBER('Rates from Ireland Fedex Priort'!E199),_xlfn.CEILING.MATH('Rates from Ireland Fedex Priort'!E199,1)+IF($A200="EU",Variables!$B$6,Variables!$B$3),'Rates from Ireland Fedex Priort'!E199)</f>
        <v>No service</v>
      </c>
      <c r="F200" s="10" t="str">
        <f>IF(ISNUMBER('Rates from Ireland Fedex Priort'!F199),_xlfn.CEILING.MATH('Rates from Ireland Fedex Priort'!F199,1)+IF($A200="EU",Variables!$B$6,Variables!$B$3),'Rates from Ireland Fedex Priort'!F199)</f>
        <v>No service</v>
      </c>
      <c r="G200" s="10" t="str">
        <f>IF(ISNUMBER('Rates from Ireland Fedex Priort'!G199),_xlfn.CEILING.MATH('Rates from Ireland Fedex Priort'!G199,1)+IF($A200="EU",Variables!$B$6,Variables!$B$3),'Rates from Ireland Fedex Priort'!G199)</f>
        <v>No service</v>
      </c>
      <c r="H200" s="10" t="str">
        <f>IF(ISNUMBER('Rates from Ireland Fedex Priort'!H199),_xlfn.CEILING.MATH('Rates from Ireland Fedex Priort'!H199,1)+IF($A200="EU",Variables!$B$6,Variables!$B$3),'Rates from Ireland Fedex Priort'!H199)</f>
        <v>No service</v>
      </c>
      <c r="I200" s="10" t="str">
        <f>IF(ISNUMBER('Rates from Ireland Fedex Priort'!I199),_xlfn.CEILING.MATH('Rates from Ireland Fedex Priort'!I199,1)+IF($A200="EU",Variables!$B$6,Variables!$B$3),'Rates from Ireland Fedex Priort'!I199)</f>
        <v>No service</v>
      </c>
      <c r="J200" s="10" t="str">
        <f>IF(ISNUMBER('Rates from Ireland Fedex Priort'!J199),_xlfn.CEILING.MATH('Rates from Ireland Fedex Priort'!J199,1)+IF($A200="EU",Variables!$B$6,Variables!$B$3),'Rates from Ireland Fedex Priort'!J199)</f>
        <v>No service</v>
      </c>
      <c r="K200" s="10" t="str">
        <f>IF(ISNUMBER('Rates from Ireland Fedex Priort'!K199),_xlfn.CEILING.MATH('Rates from Ireland Fedex Priort'!K199,1)+IF($A200="EU",Variables!$B$6,Variables!$B$3),'Rates from Ireland Fedex Priort'!K199)</f>
        <v>No service</v>
      </c>
      <c r="L200" s="10" t="str">
        <f>IF(ISNUMBER('Rates from Ireland Fedex Priort'!L199),_xlfn.CEILING.MATH('Rates from Ireland Fedex Priort'!L199,1)+IF($A200="EU",Variables!$B$6,Variables!$B$3),'Rates from Ireland Fedex Priort'!L199)</f>
        <v>No service</v>
      </c>
      <c r="M200" s="10" t="str">
        <f>IF(ISNUMBER('Rates from Ireland Fedex Priort'!M199),_xlfn.CEILING.MATH('Rates from Ireland Fedex Priort'!M199,1)+IF($A200="EU",Variables!$B$6,Variables!$B$3),'Rates from Ireland Fedex Priort'!M199)</f>
        <v>No service</v>
      </c>
      <c r="N200" s="10" t="str">
        <f>IF(ISNUMBER('Rates from Ireland Fedex Priort'!N199),_xlfn.CEILING.MATH('Rates from Ireland Fedex Priort'!N199,1)+IF($A200="EU",Variables!$B$6,Variables!$B$3),'Rates from Ireland Fedex Priort'!N199)</f>
        <v>No service</v>
      </c>
      <c r="O200" s="11"/>
      <c r="P200" s="11"/>
      <c r="Q200" s="11"/>
      <c r="R200" s="11"/>
      <c r="S200" s="3" t="s">
        <v>26</v>
      </c>
      <c r="T200" s="38" t="s">
        <v>27</v>
      </c>
    </row>
    <row r="201" spans="1:20" ht="15.75" customHeight="1" x14ac:dyDescent="0.3">
      <c r="A201" s="39" t="str">
        <f>IF('Rates from Ireland Fedex Priort'!A200="","",'Rates from Ireland Fedex Priort'!A200)</f>
        <v>EU</v>
      </c>
      <c r="B201" s="8" t="str">
        <f>IF('Rates from Ireland Fedex Priort'!B200="","",'Rates from Ireland Fedex Priort'!B200)</f>
        <v>Ireland</v>
      </c>
      <c r="C201" s="9" t="str">
        <f>IF('Rates from Ireland Fedex Priort'!C200="","",'Rates from Ireland Fedex Priort'!C200)</f>
        <v>Singapore</v>
      </c>
      <c r="D201" s="10">
        <f>IF(ISNUMBER('Rates from Ireland Fedex Priort'!D200),_xlfn.CEILING.MATH('Rates from Ireland Fedex Priort'!D200,1)+IF($A201="EU",Variables!$B$5,Variables!$B$2),'Rates from Ireland Fedex Priort'!D200)</f>
        <v>69</v>
      </c>
      <c r="E201" s="10">
        <f>IF(ISNUMBER('Rates from Ireland Fedex Priort'!E200),_xlfn.CEILING.MATH('Rates from Ireland Fedex Priort'!E200,1)+IF($A201="EU",Variables!$B$6,Variables!$B$3),'Rates from Ireland Fedex Priort'!E200)</f>
        <v>74</v>
      </c>
      <c r="F201" s="10">
        <f>IF(ISNUMBER('Rates from Ireland Fedex Priort'!F200),_xlfn.CEILING.MATH('Rates from Ireland Fedex Priort'!F200,1)+IF($A201="EU",Variables!$B$6,Variables!$B$3),'Rates from Ireland Fedex Priort'!F200)</f>
        <v>79</v>
      </c>
      <c r="G201" s="10">
        <f>IF(ISNUMBER('Rates from Ireland Fedex Priort'!G200),_xlfn.CEILING.MATH('Rates from Ireland Fedex Priort'!G200,1)+IF($A201="EU",Variables!$B$6,Variables!$B$3),'Rates from Ireland Fedex Priort'!G200)</f>
        <v>95</v>
      </c>
      <c r="H201" s="10">
        <f>IF(ISNUMBER('Rates from Ireland Fedex Priort'!H200),_xlfn.CEILING.MATH('Rates from Ireland Fedex Priort'!H200,1)+IF($A201="EU",Variables!$B$6,Variables!$B$3),'Rates from Ireland Fedex Priort'!H200)</f>
        <v>119</v>
      </c>
      <c r="I201" s="10">
        <f>IF(ISNUMBER('Rates from Ireland Fedex Priort'!I200),_xlfn.CEILING.MATH('Rates from Ireland Fedex Priort'!I200,1)+IF($A201="EU",Variables!$B$6,Variables!$B$3),'Rates from Ireland Fedex Priort'!I200)</f>
        <v>179</v>
      </c>
      <c r="J201" s="10" t="str">
        <f>IF(ISNUMBER('Rates from Ireland Fedex Priort'!J200),_xlfn.CEILING.MATH('Rates from Ireland Fedex Priort'!J200,1)+IF($A201="EU",Variables!$B$6,Variables!$B$3),'Rates from Ireland Fedex Priort'!J200)</f>
        <v>No service</v>
      </c>
      <c r="K201" s="10" t="str">
        <f>IF(ISNUMBER('Rates from Ireland Fedex Priort'!K200),_xlfn.CEILING.MATH('Rates from Ireland Fedex Priort'!K200,1)+IF($A201="EU",Variables!$B$6,Variables!$B$3),'Rates from Ireland Fedex Priort'!K200)</f>
        <v>No service</v>
      </c>
      <c r="L201" s="10" t="str">
        <f>IF(ISNUMBER('Rates from Ireland Fedex Priort'!L200),_xlfn.CEILING.MATH('Rates from Ireland Fedex Priort'!L200,1)+IF($A201="EU",Variables!$B$6,Variables!$B$3),'Rates from Ireland Fedex Priort'!L200)</f>
        <v>No service</v>
      </c>
      <c r="M201" s="10" t="str">
        <f>IF(ISNUMBER('Rates from Ireland Fedex Priort'!M200),_xlfn.CEILING.MATH('Rates from Ireland Fedex Priort'!M200,1)+IF($A201="EU",Variables!$B$6,Variables!$B$3),'Rates from Ireland Fedex Priort'!M200)</f>
        <v>No service</v>
      </c>
      <c r="N201" s="10" t="str">
        <f>IF(ISNUMBER('Rates from Ireland Fedex Priort'!N200),_xlfn.CEILING.MATH('Rates from Ireland Fedex Priort'!N200,1)+IF($A201="EU",Variables!$B$6,Variables!$B$3),'Rates from Ireland Fedex Priort'!N200)</f>
        <v>No service</v>
      </c>
      <c r="O201" s="11" t="s">
        <v>41</v>
      </c>
      <c r="P201" s="11" t="s">
        <v>143</v>
      </c>
      <c r="Q201" s="12">
        <v>80</v>
      </c>
      <c r="R201" s="11" t="s">
        <v>25</v>
      </c>
      <c r="S201" s="3" t="s">
        <v>26</v>
      </c>
      <c r="T201" s="38" t="s">
        <v>27</v>
      </c>
    </row>
    <row r="202" spans="1:20" ht="15.75" customHeight="1" x14ac:dyDescent="0.3">
      <c r="A202" s="39" t="str">
        <f>IF('Rates from Ireland Fedex Priort'!A201="","",'Rates from Ireland Fedex Priort'!A201)</f>
        <v>EU</v>
      </c>
      <c r="B202" s="8" t="str">
        <f>IF('Rates from Ireland Fedex Priort'!B201="","",'Rates from Ireland Fedex Priort'!B201)</f>
        <v>Ireland</v>
      </c>
      <c r="C202" s="9" t="str">
        <f>IF('Rates from Ireland Fedex Priort'!C201="","",'Rates from Ireland Fedex Priort'!C201)</f>
        <v>Sint Eustatius (Netherlands)</v>
      </c>
      <c r="D202" s="10" t="str">
        <f>IF(ISNUMBER('Rates from Ireland Fedex Priort'!D201),_xlfn.CEILING.MATH('Rates from Ireland Fedex Priort'!D201,1)+IF($A202="EU",Variables!$B$5,Variables!$B$2),'Rates from Ireland Fedex Priort'!D201)</f>
        <v>No service</v>
      </c>
      <c r="E202" s="10" t="str">
        <f>IF(ISNUMBER('Rates from Ireland Fedex Priort'!E201),_xlfn.CEILING.MATH('Rates from Ireland Fedex Priort'!E201,1)+IF($A202="EU",Variables!$B$6,Variables!$B$3),'Rates from Ireland Fedex Priort'!E201)</f>
        <v>No service</v>
      </c>
      <c r="F202" s="10" t="str">
        <f>IF(ISNUMBER('Rates from Ireland Fedex Priort'!F201),_xlfn.CEILING.MATH('Rates from Ireland Fedex Priort'!F201,1)+IF($A202="EU",Variables!$B$6,Variables!$B$3),'Rates from Ireland Fedex Priort'!F201)</f>
        <v>No service</v>
      </c>
      <c r="G202" s="10" t="str">
        <f>IF(ISNUMBER('Rates from Ireland Fedex Priort'!G201),_xlfn.CEILING.MATH('Rates from Ireland Fedex Priort'!G201,1)+IF($A202="EU",Variables!$B$6,Variables!$B$3),'Rates from Ireland Fedex Priort'!G201)</f>
        <v>No service</v>
      </c>
      <c r="H202" s="10" t="str">
        <f>IF(ISNUMBER('Rates from Ireland Fedex Priort'!H201),_xlfn.CEILING.MATH('Rates from Ireland Fedex Priort'!H201,1)+IF($A202="EU",Variables!$B$6,Variables!$B$3),'Rates from Ireland Fedex Priort'!H201)</f>
        <v>No service</v>
      </c>
      <c r="I202" s="10" t="str">
        <f>IF(ISNUMBER('Rates from Ireland Fedex Priort'!I201),_xlfn.CEILING.MATH('Rates from Ireland Fedex Priort'!I201,1)+IF($A202="EU",Variables!$B$6,Variables!$B$3),'Rates from Ireland Fedex Priort'!I201)</f>
        <v>No service</v>
      </c>
      <c r="J202" s="10" t="str">
        <f>IF(ISNUMBER('Rates from Ireland Fedex Priort'!J201),_xlfn.CEILING.MATH('Rates from Ireland Fedex Priort'!J201,1)+IF($A202="EU",Variables!$B$6,Variables!$B$3),'Rates from Ireland Fedex Priort'!J201)</f>
        <v>No service</v>
      </c>
      <c r="K202" s="10" t="str">
        <f>IF(ISNUMBER('Rates from Ireland Fedex Priort'!K201),_xlfn.CEILING.MATH('Rates from Ireland Fedex Priort'!K201,1)+IF($A202="EU",Variables!$B$6,Variables!$B$3),'Rates from Ireland Fedex Priort'!K201)</f>
        <v>No service</v>
      </c>
      <c r="L202" s="10" t="str">
        <f>IF(ISNUMBER('Rates from Ireland Fedex Priort'!L201),_xlfn.CEILING.MATH('Rates from Ireland Fedex Priort'!L201,1)+IF($A202="EU",Variables!$B$6,Variables!$B$3),'Rates from Ireland Fedex Priort'!L201)</f>
        <v>No service</v>
      </c>
      <c r="M202" s="10" t="str">
        <f>IF(ISNUMBER('Rates from Ireland Fedex Priort'!M201),_xlfn.CEILING.MATH('Rates from Ireland Fedex Priort'!M201,1)+IF($A202="EU",Variables!$B$6,Variables!$B$3),'Rates from Ireland Fedex Priort'!M201)</f>
        <v>No service</v>
      </c>
      <c r="N202" s="10" t="str">
        <f>IF(ISNUMBER('Rates from Ireland Fedex Priort'!N201),_xlfn.CEILING.MATH('Rates from Ireland Fedex Priort'!N201,1)+IF($A202="EU",Variables!$B$6,Variables!$B$3),'Rates from Ireland Fedex Priort'!N201)</f>
        <v>No service</v>
      </c>
      <c r="O202" s="11"/>
      <c r="P202" s="11"/>
      <c r="Q202" s="11"/>
      <c r="R202" s="11"/>
      <c r="S202" s="3" t="s">
        <v>26</v>
      </c>
      <c r="T202" s="38" t="s">
        <v>27</v>
      </c>
    </row>
    <row r="203" spans="1:20" ht="15.75" customHeight="1" x14ac:dyDescent="0.3">
      <c r="A203" s="39" t="str">
        <f>IF('Rates from Ireland Fedex Priort'!A202="","",'Rates from Ireland Fedex Priort'!A202)</f>
        <v>EU</v>
      </c>
      <c r="B203" s="8" t="str">
        <f>IF('Rates from Ireland Fedex Priort'!B202="","",'Rates from Ireland Fedex Priort'!B202)</f>
        <v>Ireland</v>
      </c>
      <c r="C203" s="9" t="str">
        <f>IF('Rates from Ireland Fedex Priort'!C202="","",'Rates from Ireland Fedex Priort'!C202)</f>
        <v>Sint Maarten (Netherlands)</v>
      </c>
      <c r="D203" s="10">
        <f>IF(ISNUMBER('Rates from Ireland Fedex Priort'!D202),_xlfn.CEILING.MATH('Rates from Ireland Fedex Priort'!D202,1)+IF($A203="EU",Variables!$B$5,Variables!$B$2),'Rates from Ireland Fedex Priort'!D202)</f>
        <v>68</v>
      </c>
      <c r="E203" s="10">
        <f>IF(ISNUMBER('Rates from Ireland Fedex Priort'!E202),_xlfn.CEILING.MATH('Rates from Ireland Fedex Priort'!E202,1)+IF($A203="EU",Variables!$B$6,Variables!$B$3),'Rates from Ireland Fedex Priort'!E202)</f>
        <v>77</v>
      </c>
      <c r="F203" s="10">
        <f>IF(ISNUMBER('Rates from Ireland Fedex Priort'!F202),_xlfn.CEILING.MATH('Rates from Ireland Fedex Priort'!F202,1)+IF($A203="EU",Variables!$B$6,Variables!$B$3),'Rates from Ireland Fedex Priort'!F202)</f>
        <v>80</v>
      </c>
      <c r="G203" s="10">
        <f>IF(ISNUMBER('Rates from Ireland Fedex Priort'!G202),_xlfn.CEILING.MATH('Rates from Ireland Fedex Priort'!G202,1)+IF($A203="EU",Variables!$B$6,Variables!$B$3),'Rates from Ireland Fedex Priort'!G202)</f>
        <v>96</v>
      </c>
      <c r="H203" s="10">
        <f>IF(ISNUMBER('Rates from Ireland Fedex Priort'!H202),_xlfn.CEILING.MATH('Rates from Ireland Fedex Priort'!H202,1)+IF($A203="EU",Variables!$B$6,Variables!$B$3),'Rates from Ireland Fedex Priort'!H202)</f>
        <v>117</v>
      </c>
      <c r="I203" s="10">
        <f>IF(ISNUMBER('Rates from Ireland Fedex Priort'!I202),_xlfn.CEILING.MATH('Rates from Ireland Fedex Priort'!I202,1)+IF($A203="EU",Variables!$B$6,Variables!$B$3),'Rates from Ireland Fedex Priort'!I202)</f>
        <v>219</v>
      </c>
      <c r="J203" s="10" t="str">
        <f>IF(ISNUMBER('Rates from Ireland Fedex Priort'!J202),_xlfn.CEILING.MATH('Rates from Ireland Fedex Priort'!J202,1)+IF($A203="EU",Variables!$B$6,Variables!$B$3),'Rates from Ireland Fedex Priort'!J202)</f>
        <v>No service</v>
      </c>
      <c r="K203" s="10" t="str">
        <f>IF(ISNUMBER('Rates from Ireland Fedex Priort'!K202),_xlfn.CEILING.MATH('Rates from Ireland Fedex Priort'!K202,1)+IF($A203="EU",Variables!$B$6,Variables!$B$3),'Rates from Ireland Fedex Priort'!K202)</f>
        <v>No service</v>
      </c>
      <c r="L203" s="10" t="str">
        <f>IF(ISNUMBER('Rates from Ireland Fedex Priort'!L202),_xlfn.CEILING.MATH('Rates from Ireland Fedex Priort'!L202,1)+IF($A203="EU",Variables!$B$6,Variables!$B$3),'Rates from Ireland Fedex Priort'!L202)</f>
        <v>No service</v>
      </c>
      <c r="M203" s="10" t="str">
        <f>IF(ISNUMBER('Rates from Ireland Fedex Priort'!M202),_xlfn.CEILING.MATH('Rates from Ireland Fedex Priort'!M202,1)+IF($A203="EU",Variables!$B$6,Variables!$B$3),'Rates from Ireland Fedex Priort'!M202)</f>
        <v>No service</v>
      </c>
      <c r="N203" s="10" t="str">
        <f>IF(ISNUMBER('Rates from Ireland Fedex Priort'!N202),_xlfn.CEILING.MATH('Rates from Ireland Fedex Priort'!N202,1)+IF($A203="EU",Variables!$B$6,Variables!$B$3),'Rates from Ireland Fedex Priort'!N202)</f>
        <v>No service</v>
      </c>
      <c r="O203" s="11" t="s">
        <v>41</v>
      </c>
      <c r="P203" s="11" t="s">
        <v>23</v>
      </c>
      <c r="Q203" s="12">
        <v>80</v>
      </c>
      <c r="R203" s="11" t="s">
        <v>25</v>
      </c>
      <c r="S203" s="3" t="s">
        <v>26</v>
      </c>
      <c r="T203" s="38" t="s">
        <v>27</v>
      </c>
    </row>
    <row r="204" spans="1:20" ht="15.75" customHeight="1" x14ac:dyDescent="0.3">
      <c r="A204" s="39" t="str">
        <f>IF('Rates from Ireland Fedex Priort'!A203="","",'Rates from Ireland Fedex Priort'!A203)</f>
        <v>EU</v>
      </c>
      <c r="B204" s="8" t="str">
        <f>IF('Rates from Ireland Fedex Priort'!B203="","",'Rates from Ireland Fedex Priort'!B203)</f>
        <v>Ireland</v>
      </c>
      <c r="C204" s="9" t="str">
        <f>IF('Rates from Ireland Fedex Priort'!C203="","",'Rates from Ireland Fedex Priort'!C203)</f>
        <v>Slovakia</v>
      </c>
      <c r="D204" s="10">
        <f>IF(ISNUMBER('Rates from Ireland Fedex Priort'!D203),_xlfn.CEILING.MATH('Rates from Ireland Fedex Priort'!D203,1)+IF($A204="EU",Variables!$B$5,Variables!$B$2),'Rates from Ireland Fedex Priort'!D203)</f>
        <v>68</v>
      </c>
      <c r="E204" s="10">
        <f>IF(ISNUMBER('Rates from Ireland Fedex Priort'!E203),_xlfn.CEILING.MATH('Rates from Ireland Fedex Priort'!E203,1)+IF($A204="EU",Variables!$B$6,Variables!$B$3),'Rates from Ireland Fedex Priort'!E203)</f>
        <v>74</v>
      </c>
      <c r="F204" s="10">
        <f>IF(ISNUMBER('Rates from Ireland Fedex Priort'!F203),_xlfn.CEILING.MATH('Rates from Ireland Fedex Priort'!F203,1)+IF($A204="EU",Variables!$B$6,Variables!$B$3),'Rates from Ireland Fedex Priort'!F203)</f>
        <v>77</v>
      </c>
      <c r="G204" s="10">
        <f>IF(ISNUMBER('Rates from Ireland Fedex Priort'!G203),_xlfn.CEILING.MATH('Rates from Ireland Fedex Priort'!G203,1)+IF($A204="EU",Variables!$B$6,Variables!$B$3),'Rates from Ireland Fedex Priort'!G203)</f>
        <v>79</v>
      </c>
      <c r="H204" s="10">
        <f>IF(ISNUMBER('Rates from Ireland Fedex Priort'!H203),_xlfn.CEILING.MATH('Rates from Ireland Fedex Priort'!H203,1)+IF($A204="EU",Variables!$B$6,Variables!$B$3),'Rates from Ireland Fedex Priort'!H203)</f>
        <v>82</v>
      </c>
      <c r="I204" s="10">
        <f>IF(ISNUMBER('Rates from Ireland Fedex Priort'!I203),_xlfn.CEILING.MATH('Rates from Ireland Fedex Priort'!I203,1)+IF($A204="EU",Variables!$B$6,Variables!$B$3),'Rates from Ireland Fedex Priort'!I203)</f>
        <v>95</v>
      </c>
      <c r="J204" s="10">
        <f>IF(ISNUMBER('Rates from Ireland Fedex Priort'!J203),_xlfn.CEILING.MATH('Rates from Ireland Fedex Priort'!J203,1)+IF($A204="EU",Variables!$B$6,Variables!$B$3),'Rates from Ireland Fedex Priort'!J203)</f>
        <v>103</v>
      </c>
      <c r="K204" s="10">
        <f>IF(ISNUMBER('Rates from Ireland Fedex Priort'!K203),_xlfn.CEILING.MATH('Rates from Ireland Fedex Priort'!K203,1)+IF($A204="EU",Variables!$B$6,Variables!$B$3),'Rates from Ireland Fedex Priort'!K203)</f>
        <v>112</v>
      </c>
      <c r="L204" s="10">
        <f>IF(ISNUMBER('Rates from Ireland Fedex Priort'!L203),_xlfn.CEILING.MATH('Rates from Ireland Fedex Priort'!L203,1)+IF($A204="EU",Variables!$B$6,Variables!$B$3),'Rates from Ireland Fedex Priort'!L203)</f>
        <v>139</v>
      </c>
      <c r="M204" s="10">
        <f>IF(ISNUMBER('Rates from Ireland Fedex Priort'!M203),_xlfn.CEILING.MATH('Rates from Ireland Fedex Priort'!M203,1)+IF($A204="EU",Variables!$B$6,Variables!$B$3),'Rates from Ireland Fedex Priort'!M203)</f>
        <v>147</v>
      </c>
      <c r="N204" s="10">
        <f>IF(ISNUMBER('Rates from Ireland Fedex Priort'!N203),_xlfn.CEILING.MATH('Rates from Ireland Fedex Priort'!N203,1)+IF($A204="EU",Variables!$B$6,Variables!$B$3),'Rates from Ireland Fedex Priort'!N203)</f>
        <v>152</v>
      </c>
      <c r="O204" s="15" t="s">
        <v>61</v>
      </c>
      <c r="P204" s="15" t="s">
        <v>67</v>
      </c>
      <c r="Q204" s="16">
        <v>80</v>
      </c>
      <c r="R204" s="15" t="s">
        <v>25</v>
      </c>
      <c r="S204" s="17" t="s">
        <v>26</v>
      </c>
      <c r="T204" s="40" t="s">
        <v>27</v>
      </c>
    </row>
    <row r="205" spans="1:20" ht="15.75" customHeight="1" x14ac:dyDescent="0.3">
      <c r="A205" s="39" t="str">
        <f>IF('Rates from Ireland Fedex Priort'!A204="","",'Rates from Ireland Fedex Priort'!A204)</f>
        <v>EU</v>
      </c>
      <c r="B205" s="8" t="str">
        <f>IF('Rates from Ireland Fedex Priort'!B204="","",'Rates from Ireland Fedex Priort'!B204)</f>
        <v>Ireland</v>
      </c>
      <c r="C205" s="9" t="str">
        <f>IF('Rates from Ireland Fedex Priort'!C204="","",'Rates from Ireland Fedex Priort'!C204)</f>
        <v>Slovenia</v>
      </c>
      <c r="D205" s="10">
        <f>IF(ISNUMBER('Rates from Ireland Fedex Priort'!D204),_xlfn.CEILING.MATH('Rates from Ireland Fedex Priort'!D204,1)+IF($A205="EU",Variables!$B$5,Variables!$B$2),'Rates from Ireland Fedex Priort'!D204)</f>
        <v>68</v>
      </c>
      <c r="E205" s="10">
        <f>IF(ISNUMBER('Rates from Ireland Fedex Priort'!E204),_xlfn.CEILING.MATH('Rates from Ireland Fedex Priort'!E204,1)+IF($A205="EU",Variables!$B$6,Variables!$B$3),'Rates from Ireland Fedex Priort'!E204)</f>
        <v>74</v>
      </c>
      <c r="F205" s="10">
        <f>IF(ISNUMBER('Rates from Ireland Fedex Priort'!F204),_xlfn.CEILING.MATH('Rates from Ireland Fedex Priort'!F204,1)+IF($A205="EU",Variables!$B$6,Variables!$B$3),'Rates from Ireland Fedex Priort'!F204)</f>
        <v>77</v>
      </c>
      <c r="G205" s="10">
        <f>IF(ISNUMBER('Rates from Ireland Fedex Priort'!G204),_xlfn.CEILING.MATH('Rates from Ireland Fedex Priort'!G204,1)+IF($A205="EU",Variables!$B$6,Variables!$B$3),'Rates from Ireland Fedex Priort'!G204)</f>
        <v>79</v>
      </c>
      <c r="H205" s="10">
        <f>IF(ISNUMBER('Rates from Ireland Fedex Priort'!H204),_xlfn.CEILING.MATH('Rates from Ireland Fedex Priort'!H204,1)+IF($A205="EU",Variables!$B$6,Variables!$B$3),'Rates from Ireland Fedex Priort'!H204)</f>
        <v>82</v>
      </c>
      <c r="I205" s="10">
        <f>IF(ISNUMBER('Rates from Ireland Fedex Priort'!I204),_xlfn.CEILING.MATH('Rates from Ireland Fedex Priort'!I204,1)+IF($A205="EU",Variables!$B$6,Variables!$B$3),'Rates from Ireland Fedex Priort'!I204)</f>
        <v>95</v>
      </c>
      <c r="J205" s="10">
        <f>IF(ISNUMBER('Rates from Ireland Fedex Priort'!J204),_xlfn.CEILING.MATH('Rates from Ireland Fedex Priort'!J204,1)+IF($A205="EU",Variables!$B$6,Variables!$B$3),'Rates from Ireland Fedex Priort'!J204)</f>
        <v>103</v>
      </c>
      <c r="K205" s="10">
        <f>IF(ISNUMBER('Rates from Ireland Fedex Priort'!K204),_xlfn.CEILING.MATH('Rates from Ireland Fedex Priort'!K204,1)+IF($A205="EU",Variables!$B$6,Variables!$B$3),'Rates from Ireland Fedex Priort'!K204)</f>
        <v>112</v>
      </c>
      <c r="L205" s="10">
        <f>IF(ISNUMBER('Rates from Ireland Fedex Priort'!L204),_xlfn.CEILING.MATH('Rates from Ireland Fedex Priort'!L204,1)+IF($A205="EU",Variables!$B$6,Variables!$B$3),'Rates from Ireland Fedex Priort'!L204)</f>
        <v>139</v>
      </c>
      <c r="M205" s="10">
        <f>IF(ISNUMBER('Rates from Ireland Fedex Priort'!M204),_xlfn.CEILING.MATH('Rates from Ireland Fedex Priort'!M204,1)+IF($A205="EU",Variables!$B$6,Variables!$B$3),'Rates from Ireland Fedex Priort'!M204)</f>
        <v>147</v>
      </c>
      <c r="N205" s="10">
        <f>IF(ISNUMBER('Rates from Ireland Fedex Priort'!N204),_xlfn.CEILING.MATH('Rates from Ireland Fedex Priort'!N204,1)+IF($A205="EU",Variables!$B$6,Variables!$B$3),'Rates from Ireland Fedex Priort'!N204)</f>
        <v>152</v>
      </c>
      <c r="O205" s="15" t="s">
        <v>61</v>
      </c>
      <c r="P205" s="15" t="s">
        <v>67</v>
      </c>
      <c r="Q205" s="16">
        <v>80</v>
      </c>
      <c r="R205" s="15" t="s">
        <v>25</v>
      </c>
      <c r="S205" s="17" t="s">
        <v>26</v>
      </c>
      <c r="T205" s="40" t="s">
        <v>27</v>
      </c>
    </row>
    <row r="206" spans="1:20" ht="15.75" customHeight="1" x14ac:dyDescent="0.3">
      <c r="A206" s="39" t="str">
        <f>IF('Rates from Ireland Fedex Priort'!A205="","",'Rates from Ireland Fedex Priort'!A205)</f>
        <v>EU</v>
      </c>
      <c r="B206" s="8" t="str">
        <f>IF('Rates from Ireland Fedex Priort'!B205="","",'Rates from Ireland Fedex Priort'!B205)</f>
        <v>Ireland</v>
      </c>
      <c r="C206" s="9" t="str">
        <f>IF('Rates from Ireland Fedex Priort'!C205="","",'Rates from Ireland Fedex Priort'!C205)</f>
        <v>Solomon Islands</v>
      </c>
      <c r="D206" s="10" t="str">
        <f>IF(ISNUMBER('Rates from Ireland Fedex Priort'!D205),_xlfn.CEILING.MATH('Rates from Ireland Fedex Priort'!D205,1)+IF($A206="EU",Variables!$B$5,Variables!$B$2),'Rates from Ireland Fedex Priort'!D205)</f>
        <v>No service</v>
      </c>
      <c r="E206" s="10" t="str">
        <f>IF(ISNUMBER('Rates from Ireland Fedex Priort'!E205),_xlfn.CEILING.MATH('Rates from Ireland Fedex Priort'!E205,1)+IF($A206="EU",Variables!$B$6,Variables!$B$3),'Rates from Ireland Fedex Priort'!E205)</f>
        <v>No service</v>
      </c>
      <c r="F206" s="10" t="str">
        <f>IF(ISNUMBER('Rates from Ireland Fedex Priort'!F205),_xlfn.CEILING.MATH('Rates from Ireland Fedex Priort'!F205,1)+IF($A206="EU",Variables!$B$6,Variables!$B$3),'Rates from Ireland Fedex Priort'!F205)</f>
        <v>No service</v>
      </c>
      <c r="G206" s="10" t="str">
        <f>IF(ISNUMBER('Rates from Ireland Fedex Priort'!G205),_xlfn.CEILING.MATH('Rates from Ireland Fedex Priort'!G205,1)+IF($A206="EU",Variables!$B$6,Variables!$B$3),'Rates from Ireland Fedex Priort'!G205)</f>
        <v>No service</v>
      </c>
      <c r="H206" s="10" t="str">
        <f>IF(ISNUMBER('Rates from Ireland Fedex Priort'!H205),_xlfn.CEILING.MATH('Rates from Ireland Fedex Priort'!H205,1)+IF($A206="EU",Variables!$B$6,Variables!$B$3),'Rates from Ireland Fedex Priort'!H205)</f>
        <v>No service</v>
      </c>
      <c r="I206" s="10" t="str">
        <f>IF(ISNUMBER('Rates from Ireland Fedex Priort'!I205),_xlfn.CEILING.MATH('Rates from Ireland Fedex Priort'!I205,1)+IF($A206="EU",Variables!$B$6,Variables!$B$3),'Rates from Ireland Fedex Priort'!I205)</f>
        <v>No service</v>
      </c>
      <c r="J206" s="10" t="str">
        <f>IF(ISNUMBER('Rates from Ireland Fedex Priort'!J205),_xlfn.CEILING.MATH('Rates from Ireland Fedex Priort'!J205,1)+IF($A206="EU",Variables!$B$6,Variables!$B$3),'Rates from Ireland Fedex Priort'!J205)</f>
        <v>No service</v>
      </c>
      <c r="K206" s="10" t="str">
        <f>IF(ISNUMBER('Rates from Ireland Fedex Priort'!K205),_xlfn.CEILING.MATH('Rates from Ireland Fedex Priort'!K205,1)+IF($A206="EU",Variables!$B$6,Variables!$B$3),'Rates from Ireland Fedex Priort'!K205)</f>
        <v>No service</v>
      </c>
      <c r="L206" s="10" t="str">
        <f>IF(ISNUMBER('Rates from Ireland Fedex Priort'!L205),_xlfn.CEILING.MATH('Rates from Ireland Fedex Priort'!L205,1)+IF($A206="EU",Variables!$B$6,Variables!$B$3),'Rates from Ireland Fedex Priort'!L205)</f>
        <v>No service</v>
      </c>
      <c r="M206" s="10" t="str">
        <f>IF(ISNUMBER('Rates from Ireland Fedex Priort'!M205),_xlfn.CEILING.MATH('Rates from Ireland Fedex Priort'!M205,1)+IF($A206="EU",Variables!$B$6,Variables!$B$3),'Rates from Ireland Fedex Priort'!M205)</f>
        <v>No service</v>
      </c>
      <c r="N206" s="10" t="str">
        <f>IF(ISNUMBER('Rates from Ireland Fedex Priort'!N205),_xlfn.CEILING.MATH('Rates from Ireland Fedex Priort'!N205,1)+IF($A206="EU",Variables!$B$6,Variables!$B$3),'Rates from Ireland Fedex Priort'!N205)</f>
        <v>No service</v>
      </c>
      <c r="O206" s="11"/>
      <c r="P206" s="11"/>
      <c r="Q206" s="11"/>
      <c r="R206" s="11"/>
      <c r="S206" s="3" t="s">
        <v>26</v>
      </c>
      <c r="T206" s="38" t="s">
        <v>27</v>
      </c>
    </row>
    <row r="207" spans="1:20" ht="15.75" customHeight="1" x14ac:dyDescent="0.3">
      <c r="A207" s="39" t="str">
        <f>IF('Rates from Ireland Fedex Priort'!A206="","",'Rates from Ireland Fedex Priort'!A206)</f>
        <v>EU</v>
      </c>
      <c r="B207" s="8" t="str">
        <f>IF('Rates from Ireland Fedex Priort'!B206="","",'Rates from Ireland Fedex Priort'!B206)</f>
        <v>Ireland</v>
      </c>
      <c r="C207" s="9" t="str">
        <f>IF('Rates from Ireland Fedex Priort'!C206="","",'Rates from Ireland Fedex Priort'!C206)</f>
        <v>Somalia</v>
      </c>
      <c r="D207" s="10" t="str">
        <f>IF(ISNUMBER('Rates from Ireland Fedex Priort'!D206),_xlfn.CEILING.MATH('Rates from Ireland Fedex Priort'!D206,1)+IF($A207="EU",Variables!$B$5,Variables!$B$2),'Rates from Ireland Fedex Priort'!D206)</f>
        <v>No service</v>
      </c>
      <c r="E207" s="10" t="str">
        <f>IF(ISNUMBER('Rates from Ireland Fedex Priort'!E206),_xlfn.CEILING.MATH('Rates from Ireland Fedex Priort'!E206,1)+IF($A207="EU",Variables!$B$6,Variables!$B$3),'Rates from Ireland Fedex Priort'!E206)</f>
        <v>No service</v>
      </c>
      <c r="F207" s="10" t="str">
        <f>IF(ISNUMBER('Rates from Ireland Fedex Priort'!F206),_xlfn.CEILING.MATH('Rates from Ireland Fedex Priort'!F206,1)+IF($A207="EU",Variables!$B$6,Variables!$B$3),'Rates from Ireland Fedex Priort'!F206)</f>
        <v>No service</v>
      </c>
      <c r="G207" s="10" t="str">
        <f>IF(ISNUMBER('Rates from Ireland Fedex Priort'!G206),_xlfn.CEILING.MATH('Rates from Ireland Fedex Priort'!G206,1)+IF($A207="EU",Variables!$B$6,Variables!$B$3),'Rates from Ireland Fedex Priort'!G206)</f>
        <v>No service</v>
      </c>
      <c r="H207" s="10" t="str">
        <f>IF(ISNUMBER('Rates from Ireland Fedex Priort'!H206),_xlfn.CEILING.MATH('Rates from Ireland Fedex Priort'!H206,1)+IF($A207="EU",Variables!$B$6,Variables!$B$3),'Rates from Ireland Fedex Priort'!H206)</f>
        <v>No service</v>
      </c>
      <c r="I207" s="10" t="str">
        <f>IF(ISNUMBER('Rates from Ireland Fedex Priort'!I206),_xlfn.CEILING.MATH('Rates from Ireland Fedex Priort'!I206,1)+IF($A207="EU",Variables!$B$6,Variables!$B$3),'Rates from Ireland Fedex Priort'!I206)</f>
        <v>No service</v>
      </c>
      <c r="J207" s="10" t="str">
        <f>IF(ISNUMBER('Rates from Ireland Fedex Priort'!J206),_xlfn.CEILING.MATH('Rates from Ireland Fedex Priort'!J206,1)+IF($A207="EU",Variables!$B$6,Variables!$B$3),'Rates from Ireland Fedex Priort'!J206)</f>
        <v>No service</v>
      </c>
      <c r="K207" s="10" t="str">
        <f>IF(ISNUMBER('Rates from Ireland Fedex Priort'!K206),_xlfn.CEILING.MATH('Rates from Ireland Fedex Priort'!K206,1)+IF($A207="EU",Variables!$B$6,Variables!$B$3),'Rates from Ireland Fedex Priort'!K206)</f>
        <v>No service</v>
      </c>
      <c r="L207" s="10" t="str">
        <f>IF(ISNUMBER('Rates from Ireland Fedex Priort'!L206),_xlfn.CEILING.MATH('Rates from Ireland Fedex Priort'!L206,1)+IF($A207="EU",Variables!$B$6,Variables!$B$3),'Rates from Ireland Fedex Priort'!L206)</f>
        <v>No service</v>
      </c>
      <c r="M207" s="10" t="str">
        <f>IF(ISNUMBER('Rates from Ireland Fedex Priort'!M206),_xlfn.CEILING.MATH('Rates from Ireland Fedex Priort'!M206,1)+IF($A207="EU",Variables!$B$6,Variables!$B$3),'Rates from Ireland Fedex Priort'!M206)</f>
        <v>No service</v>
      </c>
      <c r="N207" s="10" t="str">
        <f>IF(ISNUMBER('Rates from Ireland Fedex Priort'!N206),_xlfn.CEILING.MATH('Rates from Ireland Fedex Priort'!N206,1)+IF($A207="EU",Variables!$B$6,Variables!$B$3),'Rates from Ireland Fedex Priort'!N206)</f>
        <v>No service</v>
      </c>
      <c r="O207" s="11"/>
      <c r="P207" s="11"/>
      <c r="Q207" s="11"/>
      <c r="R207" s="11"/>
      <c r="S207" s="3" t="s">
        <v>26</v>
      </c>
      <c r="T207" s="38" t="s">
        <v>27</v>
      </c>
    </row>
    <row r="208" spans="1:20" ht="15.75" customHeight="1" x14ac:dyDescent="0.3">
      <c r="A208" s="39" t="str">
        <f>IF('Rates from Ireland Fedex Priort'!A207="","",'Rates from Ireland Fedex Priort'!A207)</f>
        <v>EU</v>
      </c>
      <c r="B208" s="8" t="str">
        <f>IF('Rates from Ireland Fedex Priort'!B207="","",'Rates from Ireland Fedex Priort'!B207)</f>
        <v>Ireland</v>
      </c>
      <c r="C208" s="9" t="str">
        <f>IF('Rates from Ireland Fedex Priort'!C207="","",'Rates from Ireland Fedex Priort'!C207)</f>
        <v>South Africa</v>
      </c>
      <c r="D208" s="10">
        <f>IF(ISNUMBER('Rates from Ireland Fedex Priort'!D207),_xlfn.CEILING.MATH('Rates from Ireland Fedex Priort'!D207,1)+IF($A208="EU",Variables!$B$5,Variables!$B$2),'Rates from Ireland Fedex Priort'!D207)</f>
        <v>71</v>
      </c>
      <c r="E208" s="10">
        <f>IF(ISNUMBER('Rates from Ireland Fedex Priort'!E207),_xlfn.CEILING.MATH('Rates from Ireland Fedex Priort'!E207,1)+IF($A208="EU",Variables!$B$6,Variables!$B$3),'Rates from Ireland Fedex Priort'!E207)</f>
        <v>77</v>
      </c>
      <c r="F208" s="10">
        <f>IF(ISNUMBER('Rates from Ireland Fedex Priort'!F207),_xlfn.CEILING.MATH('Rates from Ireland Fedex Priort'!F207,1)+IF($A208="EU",Variables!$B$6,Variables!$B$3),'Rates from Ireland Fedex Priort'!F207)</f>
        <v>80</v>
      </c>
      <c r="G208" s="10">
        <f>IF(ISNUMBER('Rates from Ireland Fedex Priort'!G207),_xlfn.CEILING.MATH('Rates from Ireland Fedex Priort'!G207,1)+IF($A208="EU",Variables!$B$6,Variables!$B$3),'Rates from Ireland Fedex Priort'!G207)</f>
        <v>96</v>
      </c>
      <c r="H208" s="10">
        <f>IF(ISNUMBER('Rates from Ireland Fedex Priort'!H207),_xlfn.CEILING.MATH('Rates from Ireland Fedex Priort'!H207,1)+IF($A208="EU",Variables!$B$6,Variables!$B$3),'Rates from Ireland Fedex Priort'!H207)</f>
        <v>117</v>
      </c>
      <c r="I208" s="10">
        <f>IF(ISNUMBER('Rates from Ireland Fedex Priort'!I207),_xlfn.CEILING.MATH('Rates from Ireland Fedex Priort'!I207,1)+IF($A208="EU",Variables!$B$6,Variables!$B$3),'Rates from Ireland Fedex Priort'!I207)</f>
        <v>219</v>
      </c>
      <c r="J208" s="10" t="str">
        <f>IF(ISNUMBER('Rates from Ireland Fedex Priort'!J207),_xlfn.CEILING.MATH('Rates from Ireland Fedex Priort'!J207,1)+IF($A208="EU",Variables!$B$6,Variables!$B$3),'Rates from Ireland Fedex Priort'!J207)</f>
        <v>No service</v>
      </c>
      <c r="K208" s="10" t="str">
        <f>IF(ISNUMBER('Rates from Ireland Fedex Priort'!K207),_xlfn.CEILING.MATH('Rates from Ireland Fedex Priort'!K207,1)+IF($A208="EU",Variables!$B$6,Variables!$B$3),'Rates from Ireland Fedex Priort'!K207)</f>
        <v>No service</v>
      </c>
      <c r="L208" s="10" t="str">
        <f>IF(ISNUMBER('Rates from Ireland Fedex Priort'!L207),_xlfn.CEILING.MATH('Rates from Ireland Fedex Priort'!L207,1)+IF($A208="EU",Variables!$B$6,Variables!$B$3),'Rates from Ireland Fedex Priort'!L207)</f>
        <v>No service</v>
      </c>
      <c r="M208" s="10" t="str">
        <f>IF(ISNUMBER('Rates from Ireland Fedex Priort'!M207),_xlfn.CEILING.MATH('Rates from Ireland Fedex Priort'!M207,1)+IF($A208="EU",Variables!$B$6,Variables!$B$3),'Rates from Ireland Fedex Priort'!M207)</f>
        <v>No service</v>
      </c>
      <c r="N208" s="10" t="str">
        <f>IF(ISNUMBER('Rates from Ireland Fedex Priort'!N207),_xlfn.CEILING.MATH('Rates from Ireland Fedex Priort'!N207,1)+IF($A208="EU",Variables!$B$6,Variables!$B$3),'Rates from Ireland Fedex Priort'!N207)</f>
        <v>No service</v>
      </c>
      <c r="O208" s="11" t="s">
        <v>23</v>
      </c>
      <c r="P208" s="11" t="s">
        <v>69</v>
      </c>
      <c r="Q208" s="12">
        <v>80</v>
      </c>
      <c r="R208" s="24" t="s">
        <v>25</v>
      </c>
      <c r="S208" s="3" t="s">
        <v>26</v>
      </c>
      <c r="T208" s="38" t="s">
        <v>27</v>
      </c>
    </row>
    <row r="209" spans="1:20" ht="15.75" customHeight="1" x14ac:dyDescent="0.3">
      <c r="A209" s="39" t="str">
        <f>IF('Rates from Ireland Fedex Priort'!A208="","",'Rates from Ireland Fedex Priort'!A208)</f>
        <v>EU</v>
      </c>
      <c r="B209" s="8" t="str">
        <f>IF('Rates from Ireland Fedex Priort'!B208="","",'Rates from Ireland Fedex Priort'!B208)</f>
        <v>Ireland</v>
      </c>
      <c r="C209" s="9" t="str">
        <f>IF('Rates from Ireland Fedex Priort'!C208="","",'Rates from Ireland Fedex Priort'!C208)</f>
        <v>South Korea</v>
      </c>
      <c r="D209" s="10">
        <f>IF(ISNUMBER('Rates from Ireland Fedex Priort'!D208),_xlfn.CEILING.MATH('Rates from Ireland Fedex Priort'!D208,1)+IF($A209="EU",Variables!$B$5,Variables!$B$2),'Rates from Ireland Fedex Priort'!D208)</f>
        <v>69</v>
      </c>
      <c r="E209" s="10">
        <f>IF(ISNUMBER('Rates from Ireland Fedex Priort'!E208),_xlfn.CEILING.MATH('Rates from Ireland Fedex Priort'!E208,1)+IF($A209="EU",Variables!$B$6,Variables!$B$3),'Rates from Ireland Fedex Priort'!E208)</f>
        <v>74</v>
      </c>
      <c r="F209" s="10">
        <f>IF(ISNUMBER('Rates from Ireland Fedex Priort'!F208),_xlfn.CEILING.MATH('Rates from Ireland Fedex Priort'!F208,1)+IF($A209="EU",Variables!$B$6,Variables!$B$3),'Rates from Ireland Fedex Priort'!F208)</f>
        <v>79</v>
      </c>
      <c r="G209" s="10">
        <f>IF(ISNUMBER('Rates from Ireland Fedex Priort'!G208),_xlfn.CEILING.MATH('Rates from Ireland Fedex Priort'!G208,1)+IF($A209="EU",Variables!$B$6,Variables!$B$3),'Rates from Ireland Fedex Priort'!G208)</f>
        <v>95</v>
      </c>
      <c r="H209" s="10">
        <f>IF(ISNUMBER('Rates from Ireland Fedex Priort'!H208),_xlfn.CEILING.MATH('Rates from Ireland Fedex Priort'!H208,1)+IF($A209="EU",Variables!$B$6,Variables!$B$3),'Rates from Ireland Fedex Priort'!H208)</f>
        <v>119</v>
      </c>
      <c r="I209" s="10">
        <f>IF(ISNUMBER('Rates from Ireland Fedex Priort'!I208),_xlfn.CEILING.MATH('Rates from Ireland Fedex Priort'!I208,1)+IF($A209="EU",Variables!$B$6,Variables!$B$3),'Rates from Ireland Fedex Priort'!I208)</f>
        <v>179</v>
      </c>
      <c r="J209" s="10" t="str">
        <f>IF(ISNUMBER('Rates from Ireland Fedex Priort'!J208),_xlfn.CEILING.MATH('Rates from Ireland Fedex Priort'!J208,1)+IF($A209="EU",Variables!$B$6,Variables!$B$3),'Rates from Ireland Fedex Priort'!J208)</f>
        <v>No service</v>
      </c>
      <c r="K209" s="10" t="str">
        <f>IF(ISNUMBER('Rates from Ireland Fedex Priort'!K208),_xlfn.CEILING.MATH('Rates from Ireland Fedex Priort'!K208,1)+IF($A209="EU",Variables!$B$6,Variables!$B$3),'Rates from Ireland Fedex Priort'!K208)</f>
        <v>No service</v>
      </c>
      <c r="L209" s="10" t="str">
        <f>IF(ISNUMBER('Rates from Ireland Fedex Priort'!L208),_xlfn.CEILING.MATH('Rates from Ireland Fedex Priort'!L208,1)+IF($A209="EU",Variables!$B$6,Variables!$B$3),'Rates from Ireland Fedex Priort'!L208)</f>
        <v>No service</v>
      </c>
      <c r="M209" s="10" t="str">
        <f>IF(ISNUMBER('Rates from Ireland Fedex Priort'!M208),_xlfn.CEILING.MATH('Rates from Ireland Fedex Priort'!M208,1)+IF($A209="EU",Variables!$B$6,Variables!$B$3),'Rates from Ireland Fedex Priort'!M208)</f>
        <v>No service</v>
      </c>
      <c r="N209" s="10" t="str">
        <f>IF(ISNUMBER('Rates from Ireland Fedex Priort'!N208),_xlfn.CEILING.MATH('Rates from Ireland Fedex Priort'!N208,1)+IF($A209="EU",Variables!$B$6,Variables!$B$3),'Rates from Ireland Fedex Priort'!N208)</f>
        <v>No service</v>
      </c>
      <c r="O209" s="11" t="s">
        <v>41</v>
      </c>
      <c r="P209" s="11" t="s">
        <v>143</v>
      </c>
      <c r="Q209" s="12">
        <v>80</v>
      </c>
      <c r="R209" s="24" t="s">
        <v>25</v>
      </c>
      <c r="S209" s="3" t="s">
        <v>26</v>
      </c>
      <c r="T209" s="38" t="s">
        <v>27</v>
      </c>
    </row>
    <row r="210" spans="1:20" ht="15.75" customHeight="1" x14ac:dyDescent="0.3">
      <c r="A210" s="39" t="str">
        <f>IF('Rates from Ireland Fedex Priort'!A209="","",'Rates from Ireland Fedex Priort'!A209)</f>
        <v>EU</v>
      </c>
      <c r="B210" s="8" t="str">
        <f>IF('Rates from Ireland Fedex Priort'!B209="","",'Rates from Ireland Fedex Priort'!B209)</f>
        <v>Ireland</v>
      </c>
      <c r="C210" s="9" t="str">
        <f>IF('Rates from Ireland Fedex Priort'!C209="","",'Rates from Ireland Fedex Priort'!C209)</f>
        <v>South Sudan</v>
      </c>
      <c r="D210" s="10" t="str">
        <f>IF(ISNUMBER('Rates from Ireland Fedex Priort'!D209),_xlfn.CEILING.MATH('Rates from Ireland Fedex Priort'!D209,1)+IF($A210="EU",Variables!$B$5,Variables!$B$2),'Rates from Ireland Fedex Priort'!D209)</f>
        <v>No service</v>
      </c>
      <c r="E210" s="10" t="str">
        <f>IF(ISNUMBER('Rates from Ireland Fedex Priort'!E209),_xlfn.CEILING.MATH('Rates from Ireland Fedex Priort'!E209,1)+IF($A210="EU",Variables!$B$6,Variables!$B$3),'Rates from Ireland Fedex Priort'!E209)</f>
        <v>No service</v>
      </c>
      <c r="F210" s="10" t="str">
        <f>IF(ISNUMBER('Rates from Ireland Fedex Priort'!F209),_xlfn.CEILING.MATH('Rates from Ireland Fedex Priort'!F209,1)+IF($A210="EU",Variables!$B$6,Variables!$B$3),'Rates from Ireland Fedex Priort'!F209)</f>
        <v>No service</v>
      </c>
      <c r="G210" s="10" t="str">
        <f>IF(ISNUMBER('Rates from Ireland Fedex Priort'!G209),_xlfn.CEILING.MATH('Rates from Ireland Fedex Priort'!G209,1)+IF($A210="EU",Variables!$B$6,Variables!$B$3),'Rates from Ireland Fedex Priort'!G209)</f>
        <v>No service</v>
      </c>
      <c r="H210" s="10" t="str">
        <f>IF(ISNUMBER('Rates from Ireland Fedex Priort'!H209),_xlfn.CEILING.MATH('Rates from Ireland Fedex Priort'!H209,1)+IF($A210="EU",Variables!$B$6,Variables!$B$3),'Rates from Ireland Fedex Priort'!H209)</f>
        <v>No service</v>
      </c>
      <c r="I210" s="10" t="str">
        <f>IF(ISNUMBER('Rates from Ireland Fedex Priort'!I209),_xlfn.CEILING.MATH('Rates from Ireland Fedex Priort'!I209,1)+IF($A210="EU",Variables!$B$6,Variables!$B$3),'Rates from Ireland Fedex Priort'!I209)</f>
        <v>No service</v>
      </c>
      <c r="J210" s="10" t="str">
        <f>IF(ISNUMBER('Rates from Ireland Fedex Priort'!J209),_xlfn.CEILING.MATH('Rates from Ireland Fedex Priort'!J209,1)+IF($A210="EU",Variables!$B$6,Variables!$B$3),'Rates from Ireland Fedex Priort'!J209)</f>
        <v>No service</v>
      </c>
      <c r="K210" s="10" t="str">
        <f>IF(ISNUMBER('Rates from Ireland Fedex Priort'!K209),_xlfn.CEILING.MATH('Rates from Ireland Fedex Priort'!K209,1)+IF($A210="EU",Variables!$B$6,Variables!$B$3),'Rates from Ireland Fedex Priort'!K209)</f>
        <v>No service</v>
      </c>
      <c r="L210" s="10" t="str">
        <f>IF(ISNUMBER('Rates from Ireland Fedex Priort'!L209),_xlfn.CEILING.MATH('Rates from Ireland Fedex Priort'!L209,1)+IF($A210="EU",Variables!$B$6,Variables!$B$3),'Rates from Ireland Fedex Priort'!L209)</f>
        <v>No service</v>
      </c>
      <c r="M210" s="10" t="str">
        <f>IF(ISNUMBER('Rates from Ireland Fedex Priort'!M209),_xlfn.CEILING.MATH('Rates from Ireland Fedex Priort'!M209,1)+IF($A210="EU",Variables!$B$6,Variables!$B$3),'Rates from Ireland Fedex Priort'!M209)</f>
        <v>No service</v>
      </c>
      <c r="N210" s="10" t="str">
        <f>IF(ISNUMBER('Rates from Ireland Fedex Priort'!N209),_xlfn.CEILING.MATH('Rates from Ireland Fedex Priort'!N209,1)+IF($A210="EU",Variables!$B$6,Variables!$B$3),'Rates from Ireland Fedex Priort'!N209)</f>
        <v>No service</v>
      </c>
      <c r="O210" s="11"/>
      <c r="P210" s="11"/>
      <c r="Q210" s="11"/>
      <c r="R210" s="11"/>
      <c r="S210" s="3" t="s">
        <v>26</v>
      </c>
      <c r="T210" s="38" t="s">
        <v>27</v>
      </c>
    </row>
    <row r="211" spans="1:20" ht="15.75" customHeight="1" x14ac:dyDescent="0.3">
      <c r="A211" s="39" t="str">
        <f>IF('Rates from Ireland Fedex Priort'!A210="","",'Rates from Ireland Fedex Priort'!A210)</f>
        <v>EU</v>
      </c>
      <c r="B211" s="8" t="str">
        <f>IF('Rates from Ireland Fedex Priort'!B210="","",'Rates from Ireland Fedex Priort'!B210)</f>
        <v>Ireland</v>
      </c>
      <c r="C211" s="9" t="str">
        <f>IF('Rates from Ireland Fedex Priort'!C210="","",'Rates from Ireland Fedex Priort'!C210)</f>
        <v>Spain Mainland</v>
      </c>
      <c r="D211" s="10">
        <f>IF(ISNUMBER('Rates from Ireland Fedex Priort'!D210),_xlfn.CEILING.MATH('Rates from Ireland Fedex Priort'!D210,1)+IF($A211="EU",Variables!$B$5,Variables!$B$2),'Rates from Ireland Fedex Priort'!D210)</f>
        <v>63</v>
      </c>
      <c r="E211" s="10">
        <f>IF(ISNUMBER('Rates from Ireland Fedex Priort'!E210),_xlfn.CEILING.MATH('Rates from Ireland Fedex Priort'!E210,1)+IF($A211="EU",Variables!$B$6,Variables!$B$3),'Rates from Ireland Fedex Priort'!E210)</f>
        <v>65</v>
      </c>
      <c r="F211" s="10">
        <f>IF(ISNUMBER('Rates from Ireland Fedex Priort'!F210),_xlfn.CEILING.MATH('Rates from Ireland Fedex Priort'!F210,1)+IF($A211="EU",Variables!$B$6,Variables!$B$3),'Rates from Ireland Fedex Priort'!F210)</f>
        <v>65</v>
      </c>
      <c r="G211" s="10">
        <f>IF(ISNUMBER('Rates from Ireland Fedex Priort'!G210),_xlfn.CEILING.MATH('Rates from Ireland Fedex Priort'!G210,1)+IF($A211="EU",Variables!$B$6,Variables!$B$3),'Rates from Ireland Fedex Priort'!G210)</f>
        <v>67</v>
      </c>
      <c r="H211" s="10">
        <f>IF(ISNUMBER('Rates from Ireland Fedex Priort'!H210),_xlfn.CEILING.MATH('Rates from Ireland Fedex Priort'!H210,1)+IF($A211="EU",Variables!$B$6,Variables!$B$3),'Rates from Ireland Fedex Priort'!H210)</f>
        <v>71</v>
      </c>
      <c r="I211" s="10">
        <f>IF(ISNUMBER('Rates from Ireland Fedex Priort'!I210),_xlfn.CEILING.MATH('Rates from Ireland Fedex Priort'!I210,1)+IF($A211="EU",Variables!$B$6,Variables!$B$3),'Rates from Ireland Fedex Priort'!I210)</f>
        <v>78</v>
      </c>
      <c r="J211" s="10">
        <f>IF(ISNUMBER('Rates from Ireland Fedex Priort'!J210),_xlfn.CEILING.MATH('Rates from Ireland Fedex Priort'!J210,1)+IF($A211="EU",Variables!$B$6,Variables!$B$3),'Rates from Ireland Fedex Priort'!J210)</f>
        <v>88</v>
      </c>
      <c r="K211" s="10">
        <f>IF(ISNUMBER('Rates from Ireland Fedex Priort'!K210),_xlfn.CEILING.MATH('Rates from Ireland Fedex Priort'!K210,1)+IF($A211="EU",Variables!$B$6,Variables!$B$3),'Rates from Ireland Fedex Priort'!K210)</f>
        <v>93</v>
      </c>
      <c r="L211" s="10">
        <f>IF(ISNUMBER('Rates from Ireland Fedex Priort'!L210),_xlfn.CEILING.MATH('Rates from Ireland Fedex Priort'!L210,1)+IF($A211="EU",Variables!$B$6,Variables!$B$3),'Rates from Ireland Fedex Priort'!L210)</f>
        <v>118</v>
      </c>
      <c r="M211" s="10">
        <f>IF(ISNUMBER('Rates from Ireland Fedex Priort'!M210),_xlfn.CEILING.MATH('Rates from Ireland Fedex Priort'!M210,1)+IF($A211="EU",Variables!$B$6,Variables!$B$3),'Rates from Ireland Fedex Priort'!M210)</f>
        <v>125</v>
      </c>
      <c r="N211" s="10">
        <f>IF(ISNUMBER('Rates from Ireland Fedex Priort'!N210),_xlfn.CEILING.MATH('Rates from Ireland Fedex Priort'!N210,1)+IF($A211="EU",Variables!$B$6,Variables!$B$3),'Rates from Ireland Fedex Priort'!N210)</f>
        <v>127</v>
      </c>
      <c r="O211" s="15" t="s">
        <v>29</v>
      </c>
      <c r="P211" s="15" t="s">
        <v>23</v>
      </c>
      <c r="Q211" s="16">
        <v>80</v>
      </c>
      <c r="R211" s="15" t="s">
        <v>25</v>
      </c>
      <c r="S211" s="17" t="s">
        <v>26</v>
      </c>
      <c r="T211" s="40" t="s">
        <v>27</v>
      </c>
    </row>
    <row r="212" spans="1:20" ht="15.75" customHeight="1" x14ac:dyDescent="0.3">
      <c r="A212" s="39" t="str">
        <f>IF('Rates from Ireland Fedex Priort'!A211="","",'Rates from Ireland Fedex Priort'!A211)</f>
        <v>EU</v>
      </c>
      <c r="B212" s="8" t="str">
        <f>IF('Rates from Ireland Fedex Priort'!B211="","",'Rates from Ireland Fedex Priort'!B211)</f>
        <v>Ireland</v>
      </c>
      <c r="C212" s="9" t="str">
        <f>IF('Rates from Ireland Fedex Priort'!C211="","",'Rates from Ireland Fedex Priort'!C211)</f>
        <v>Spain Mallorca, Menorca</v>
      </c>
      <c r="D212" s="10">
        <f>IF(ISNUMBER('Rates from Ireland Fedex Priort'!D211),_xlfn.CEILING.MATH('Rates from Ireland Fedex Priort'!D211,1)+IF($A212="EU",Variables!$B$5,Variables!$B$2),'Rates from Ireland Fedex Priort'!D211)</f>
        <v>98</v>
      </c>
      <c r="E212" s="10">
        <f>IF(ISNUMBER('Rates from Ireland Fedex Priort'!E211),_xlfn.CEILING.MATH('Rates from Ireland Fedex Priort'!E211,1)+IF($A212="EU",Variables!$B$6,Variables!$B$3),'Rates from Ireland Fedex Priort'!E211)</f>
        <v>104</v>
      </c>
      <c r="F212" s="10">
        <f>IF(ISNUMBER('Rates from Ireland Fedex Priort'!F211),_xlfn.CEILING.MATH('Rates from Ireland Fedex Priort'!F211,1)+IF($A212="EU",Variables!$B$6,Variables!$B$3),'Rates from Ireland Fedex Priort'!F211)</f>
        <v>104</v>
      </c>
      <c r="G212" s="10">
        <f>IF(ISNUMBER('Rates from Ireland Fedex Priort'!G211),_xlfn.CEILING.MATH('Rates from Ireland Fedex Priort'!G211,1)+IF($A212="EU",Variables!$B$6,Variables!$B$3),'Rates from Ireland Fedex Priort'!G211)</f>
        <v>107</v>
      </c>
      <c r="H212" s="10">
        <f>IF(ISNUMBER('Rates from Ireland Fedex Priort'!H211),_xlfn.CEILING.MATH('Rates from Ireland Fedex Priort'!H211,1)+IF($A212="EU",Variables!$B$6,Variables!$B$3),'Rates from Ireland Fedex Priort'!H211)</f>
        <v>115</v>
      </c>
      <c r="I212" s="10">
        <f>IF(ISNUMBER('Rates from Ireland Fedex Priort'!I211),_xlfn.CEILING.MATH('Rates from Ireland Fedex Priort'!I211,1)+IF($A212="EU",Variables!$B$6,Variables!$B$3),'Rates from Ireland Fedex Priort'!I211)</f>
        <v>121</v>
      </c>
      <c r="J212" s="10">
        <f>IF(ISNUMBER('Rates from Ireland Fedex Priort'!J211),_xlfn.CEILING.MATH('Rates from Ireland Fedex Priort'!J211,1)+IF($A212="EU",Variables!$B$6,Variables!$B$3),'Rates from Ireland Fedex Priort'!J211)</f>
        <v>137</v>
      </c>
      <c r="K212" s="10">
        <f>IF(ISNUMBER('Rates from Ireland Fedex Priort'!K211),_xlfn.CEILING.MATH('Rates from Ireland Fedex Priort'!K211,1)+IF($A212="EU",Variables!$B$6,Variables!$B$3),'Rates from Ireland Fedex Priort'!K211)</f>
        <v>142</v>
      </c>
      <c r="L212" s="10">
        <f>IF(ISNUMBER('Rates from Ireland Fedex Priort'!L211),_xlfn.CEILING.MATH('Rates from Ireland Fedex Priort'!L211,1)+IF($A212="EU",Variables!$B$6,Variables!$B$3),'Rates from Ireland Fedex Priort'!L211)</f>
        <v>140</v>
      </c>
      <c r="M212" s="10">
        <f>IF(ISNUMBER('Rates from Ireland Fedex Priort'!M211),_xlfn.CEILING.MATH('Rates from Ireland Fedex Priort'!M211,1)+IF($A212="EU",Variables!$B$6,Variables!$B$3),'Rates from Ireland Fedex Priort'!M211)</f>
        <v>162</v>
      </c>
      <c r="N212" s="10">
        <f>IF(ISNUMBER('Rates from Ireland Fedex Priort'!N211),_xlfn.CEILING.MATH('Rates from Ireland Fedex Priort'!N211,1)+IF($A212="EU",Variables!$B$6,Variables!$B$3),'Rates from Ireland Fedex Priort'!N211)</f>
        <v>170</v>
      </c>
      <c r="O212" s="15" t="s">
        <v>61</v>
      </c>
      <c r="P212" s="15" t="s">
        <v>126</v>
      </c>
      <c r="Q212" s="16">
        <v>80</v>
      </c>
      <c r="R212" s="15" t="s">
        <v>25</v>
      </c>
      <c r="S212" s="17" t="s">
        <v>26</v>
      </c>
      <c r="T212" s="40" t="s">
        <v>27</v>
      </c>
    </row>
    <row r="213" spans="1:20" ht="15.75" customHeight="1" x14ac:dyDescent="0.3">
      <c r="A213" s="39" t="str">
        <f>IF('Rates from Ireland Fedex Priort'!A212="","",'Rates from Ireland Fedex Priort'!A212)</f>
        <v>EU</v>
      </c>
      <c r="B213" s="8" t="str">
        <f>IF('Rates from Ireland Fedex Priort'!B212="","",'Rates from Ireland Fedex Priort'!B212)</f>
        <v>Ireland</v>
      </c>
      <c r="C213" s="9" t="str">
        <f>IF('Rates from Ireland Fedex Priort'!C212="","",'Rates from Ireland Fedex Priort'!C212)</f>
        <v>Spain Canary Islands</v>
      </c>
      <c r="D213" s="10">
        <f>IF(ISNUMBER('Rates from Ireland Fedex Priort'!D212),_xlfn.CEILING.MATH('Rates from Ireland Fedex Priort'!D212,1)+IF($A213="EU",Variables!$B$5,Variables!$B$2),'Rates from Ireland Fedex Priort'!D212)</f>
        <v>98</v>
      </c>
      <c r="E213" s="10">
        <f>IF(ISNUMBER('Rates from Ireland Fedex Priort'!E212),_xlfn.CEILING.MATH('Rates from Ireland Fedex Priort'!E212,1)+IF($A213="EU",Variables!$B$6,Variables!$B$3),'Rates from Ireland Fedex Priort'!E212)</f>
        <v>117</v>
      </c>
      <c r="F213" s="10">
        <f>IF(ISNUMBER('Rates from Ireland Fedex Priort'!F212),_xlfn.CEILING.MATH('Rates from Ireland Fedex Priort'!F212,1)+IF($A213="EU",Variables!$B$6,Variables!$B$3),'Rates from Ireland Fedex Priort'!F212)</f>
        <v>118</v>
      </c>
      <c r="G213" s="10">
        <f>IF(ISNUMBER('Rates from Ireland Fedex Priort'!G212),_xlfn.CEILING.MATH('Rates from Ireland Fedex Priort'!G212,1)+IF($A213="EU",Variables!$B$6,Variables!$B$3),'Rates from Ireland Fedex Priort'!G212)</f>
        <v>120</v>
      </c>
      <c r="H213" s="10">
        <f>IF(ISNUMBER('Rates from Ireland Fedex Priort'!H212),_xlfn.CEILING.MATH('Rates from Ireland Fedex Priort'!H212,1)+IF($A213="EU",Variables!$B$6,Variables!$B$3),'Rates from Ireland Fedex Priort'!H212)</f>
        <v>129</v>
      </c>
      <c r="I213" s="10">
        <f>IF(ISNUMBER('Rates from Ireland Fedex Priort'!I212),_xlfn.CEILING.MATH('Rates from Ireland Fedex Priort'!I212,1)+IF($A213="EU",Variables!$B$6,Variables!$B$3),'Rates from Ireland Fedex Priort'!I212)</f>
        <v>134</v>
      </c>
      <c r="J213" s="10">
        <f>IF(ISNUMBER('Rates from Ireland Fedex Priort'!J212),_xlfn.CEILING.MATH('Rates from Ireland Fedex Priort'!J212,1)+IF($A213="EU",Variables!$B$6,Variables!$B$3),'Rates from Ireland Fedex Priort'!J212)</f>
        <v>150</v>
      </c>
      <c r="K213" s="10">
        <f>IF(ISNUMBER('Rates from Ireland Fedex Priort'!K212),_xlfn.CEILING.MATH('Rates from Ireland Fedex Priort'!K212,1)+IF($A213="EU",Variables!$B$6,Variables!$B$3),'Rates from Ireland Fedex Priort'!K212)</f>
        <v>155</v>
      </c>
      <c r="L213" s="10">
        <f>IF(ISNUMBER('Rates from Ireland Fedex Priort'!L212),_xlfn.CEILING.MATH('Rates from Ireland Fedex Priort'!L212,1)+IF($A213="EU",Variables!$B$6,Variables!$B$3),'Rates from Ireland Fedex Priort'!L212)</f>
        <v>154</v>
      </c>
      <c r="M213" s="10">
        <f>IF(ISNUMBER('Rates from Ireland Fedex Priort'!M212),_xlfn.CEILING.MATH('Rates from Ireland Fedex Priort'!M212,1)+IF($A213="EU",Variables!$B$6,Variables!$B$3),'Rates from Ireland Fedex Priort'!M212)</f>
        <v>175</v>
      </c>
      <c r="N213" s="10">
        <f>IF(ISNUMBER('Rates from Ireland Fedex Priort'!N212),_xlfn.CEILING.MATH('Rates from Ireland Fedex Priort'!N212,1)+IF($A213="EU",Variables!$B$6,Variables!$B$3),'Rates from Ireland Fedex Priort'!N212)</f>
        <v>181</v>
      </c>
      <c r="O213" s="15" t="s">
        <v>61</v>
      </c>
      <c r="P213" s="15" t="s">
        <v>126</v>
      </c>
      <c r="Q213" s="16">
        <v>80</v>
      </c>
      <c r="R213" s="15" t="s">
        <v>25</v>
      </c>
      <c r="S213" s="17" t="s">
        <v>26</v>
      </c>
      <c r="T213" s="40" t="s">
        <v>27</v>
      </c>
    </row>
    <row r="214" spans="1:20" ht="15.75" customHeight="1" x14ac:dyDescent="0.3">
      <c r="A214" s="39" t="str">
        <f>IF('Rates from Ireland Fedex Priort'!A213="","",'Rates from Ireland Fedex Priort'!A213)</f>
        <v>EU</v>
      </c>
      <c r="B214" s="8" t="str">
        <f>IF('Rates from Ireland Fedex Priort'!B213="","",'Rates from Ireland Fedex Priort'!B213)</f>
        <v>Ireland</v>
      </c>
      <c r="C214" s="9" t="str">
        <f>IF('Rates from Ireland Fedex Priort'!C213="","",'Rates from Ireland Fedex Priort'!C213)</f>
        <v>Sri Lanka</v>
      </c>
      <c r="D214" s="10">
        <f>IF(ISNUMBER('Rates from Ireland Fedex Priort'!D213),_xlfn.CEILING.MATH('Rates from Ireland Fedex Priort'!D213,1)+IF($A214="EU",Variables!$B$5,Variables!$B$2),'Rates from Ireland Fedex Priort'!D213)</f>
        <v>69</v>
      </c>
      <c r="E214" s="10">
        <f>IF(ISNUMBER('Rates from Ireland Fedex Priort'!E213),_xlfn.CEILING.MATH('Rates from Ireland Fedex Priort'!E213,1)+IF($A214="EU",Variables!$B$6,Variables!$B$3),'Rates from Ireland Fedex Priort'!E213)</f>
        <v>74</v>
      </c>
      <c r="F214" s="10">
        <f>IF(ISNUMBER('Rates from Ireland Fedex Priort'!F213),_xlfn.CEILING.MATH('Rates from Ireland Fedex Priort'!F213,1)+IF($A214="EU",Variables!$B$6,Variables!$B$3),'Rates from Ireland Fedex Priort'!F213)</f>
        <v>79</v>
      </c>
      <c r="G214" s="10">
        <f>IF(ISNUMBER('Rates from Ireland Fedex Priort'!G213),_xlfn.CEILING.MATH('Rates from Ireland Fedex Priort'!G213,1)+IF($A214="EU",Variables!$B$6,Variables!$B$3),'Rates from Ireland Fedex Priort'!G213)</f>
        <v>95</v>
      </c>
      <c r="H214" s="10">
        <f>IF(ISNUMBER('Rates from Ireland Fedex Priort'!H213),_xlfn.CEILING.MATH('Rates from Ireland Fedex Priort'!H213,1)+IF($A214="EU",Variables!$B$6,Variables!$B$3),'Rates from Ireland Fedex Priort'!H213)</f>
        <v>119</v>
      </c>
      <c r="I214" s="10">
        <f>IF(ISNUMBER('Rates from Ireland Fedex Priort'!I213),_xlfn.CEILING.MATH('Rates from Ireland Fedex Priort'!I213,1)+IF($A214="EU",Variables!$B$6,Variables!$B$3),'Rates from Ireland Fedex Priort'!I213)</f>
        <v>179</v>
      </c>
      <c r="J214" s="10" t="str">
        <f>IF(ISNUMBER('Rates from Ireland Fedex Priort'!J213),_xlfn.CEILING.MATH('Rates from Ireland Fedex Priort'!J213,1)+IF($A214="EU",Variables!$B$6,Variables!$B$3),'Rates from Ireland Fedex Priort'!J213)</f>
        <v>No service</v>
      </c>
      <c r="K214" s="10" t="str">
        <f>IF(ISNUMBER('Rates from Ireland Fedex Priort'!K213),_xlfn.CEILING.MATH('Rates from Ireland Fedex Priort'!K213,1)+IF($A214="EU",Variables!$B$6,Variables!$B$3),'Rates from Ireland Fedex Priort'!K213)</f>
        <v>No service</v>
      </c>
      <c r="L214" s="10" t="str">
        <f>IF(ISNUMBER('Rates from Ireland Fedex Priort'!L213),_xlfn.CEILING.MATH('Rates from Ireland Fedex Priort'!L213,1)+IF($A214="EU",Variables!$B$6,Variables!$B$3),'Rates from Ireland Fedex Priort'!L213)</f>
        <v>No service</v>
      </c>
      <c r="M214" s="10" t="str">
        <f>IF(ISNUMBER('Rates from Ireland Fedex Priort'!M213),_xlfn.CEILING.MATH('Rates from Ireland Fedex Priort'!M213,1)+IF($A214="EU",Variables!$B$6,Variables!$B$3),'Rates from Ireland Fedex Priort'!M213)</f>
        <v>No service</v>
      </c>
      <c r="N214" s="10" t="str">
        <f>IF(ISNUMBER('Rates from Ireland Fedex Priort'!N213),_xlfn.CEILING.MATH('Rates from Ireland Fedex Priort'!N213,1)+IF($A214="EU",Variables!$B$6,Variables!$B$3),'Rates from Ireland Fedex Priort'!N213)</f>
        <v>No service</v>
      </c>
      <c r="O214" s="11" t="s">
        <v>41</v>
      </c>
      <c r="P214" s="11" t="s">
        <v>143</v>
      </c>
      <c r="Q214" s="12">
        <v>80</v>
      </c>
      <c r="R214" s="11" t="s">
        <v>25</v>
      </c>
      <c r="S214" s="3" t="s">
        <v>26</v>
      </c>
      <c r="T214" s="38" t="s">
        <v>27</v>
      </c>
    </row>
    <row r="215" spans="1:20" ht="15.75" customHeight="1" x14ac:dyDescent="0.3">
      <c r="A215" s="39" t="str">
        <f>IF('Rates from Ireland Fedex Priort'!A214="","",'Rates from Ireland Fedex Priort'!A214)</f>
        <v>EU</v>
      </c>
      <c r="B215" s="8" t="str">
        <f>IF('Rates from Ireland Fedex Priort'!B214="","",'Rates from Ireland Fedex Priort'!B214)</f>
        <v>Ireland</v>
      </c>
      <c r="C215" s="9" t="str">
        <f>IF('Rates from Ireland Fedex Priort'!C214="","",'Rates from Ireland Fedex Priort'!C214)</f>
        <v>Sudan</v>
      </c>
      <c r="D215" s="10" t="str">
        <f>IF(ISNUMBER('Rates from Ireland Fedex Priort'!D214),_xlfn.CEILING.MATH('Rates from Ireland Fedex Priort'!D214,1)+IF($A215="EU",Variables!$B$5,Variables!$B$2),'Rates from Ireland Fedex Priort'!D214)</f>
        <v>No service</v>
      </c>
      <c r="E215" s="10" t="str">
        <f>IF(ISNUMBER('Rates from Ireland Fedex Priort'!E214),_xlfn.CEILING.MATH('Rates from Ireland Fedex Priort'!E214,1)+IF($A215="EU",Variables!$B$6,Variables!$B$3),'Rates from Ireland Fedex Priort'!E214)</f>
        <v>No service</v>
      </c>
      <c r="F215" s="10" t="str">
        <f>IF(ISNUMBER('Rates from Ireland Fedex Priort'!F214),_xlfn.CEILING.MATH('Rates from Ireland Fedex Priort'!F214,1)+IF($A215="EU",Variables!$B$6,Variables!$B$3),'Rates from Ireland Fedex Priort'!F214)</f>
        <v>No service</v>
      </c>
      <c r="G215" s="10" t="str">
        <f>IF(ISNUMBER('Rates from Ireland Fedex Priort'!G214),_xlfn.CEILING.MATH('Rates from Ireland Fedex Priort'!G214,1)+IF($A215="EU",Variables!$B$6,Variables!$B$3),'Rates from Ireland Fedex Priort'!G214)</f>
        <v>No service</v>
      </c>
      <c r="H215" s="10" t="str">
        <f>IF(ISNUMBER('Rates from Ireland Fedex Priort'!H214),_xlfn.CEILING.MATH('Rates from Ireland Fedex Priort'!H214,1)+IF($A215="EU",Variables!$B$6,Variables!$B$3),'Rates from Ireland Fedex Priort'!H214)</f>
        <v>No service</v>
      </c>
      <c r="I215" s="10" t="str">
        <f>IF(ISNUMBER('Rates from Ireland Fedex Priort'!I214),_xlfn.CEILING.MATH('Rates from Ireland Fedex Priort'!I214,1)+IF($A215="EU",Variables!$B$6,Variables!$B$3),'Rates from Ireland Fedex Priort'!I214)</f>
        <v>No service</v>
      </c>
      <c r="J215" s="10" t="str">
        <f>IF(ISNUMBER('Rates from Ireland Fedex Priort'!J214),_xlfn.CEILING.MATH('Rates from Ireland Fedex Priort'!J214,1)+IF($A215="EU",Variables!$B$6,Variables!$B$3),'Rates from Ireland Fedex Priort'!J214)</f>
        <v>No service</v>
      </c>
      <c r="K215" s="10" t="str">
        <f>IF(ISNUMBER('Rates from Ireland Fedex Priort'!K214),_xlfn.CEILING.MATH('Rates from Ireland Fedex Priort'!K214,1)+IF($A215="EU",Variables!$B$6,Variables!$B$3),'Rates from Ireland Fedex Priort'!K214)</f>
        <v>No service</v>
      </c>
      <c r="L215" s="10" t="str">
        <f>IF(ISNUMBER('Rates from Ireland Fedex Priort'!L214),_xlfn.CEILING.MATH('Rates from Ireland Fedex Priort'!L214,1)+IF($A215="EU",Variables!$B$6,Variables!$B$3),'Rates from Ireland Fedex Priort'!L214)</f>
        <v>No service</v>
      </c>
      <c r="M215" s="10" t="str">
        <f>IF(ISNUMBER('Rates from Ireland Fedex Priort'!M214),_xlfn.CEILING.MATH('Rates from Ireland Fedex Priort'!M214,1)+IF($A215="EU",Variables!$B$6,Variables!$B$3),'Rates from Ireland Fedex Priort'!M214)</f>
        <v>No service</v>
      </c>
      <c r="N215" s="10" t="str">
        <f>IF(ISNUMBER('Rates from Ireland Fedex Priort'!N214),_xlfn.CEILING.MATH('Rates from Ireland Fedex Priort'!N214,1)+IF($A215="EU",Variables!$B$6,Variables!$B$3),'Rates from Ireland Fedex Priort'!N214)</f>
        <v>No service</v>
      </c>
      <c r="O215" s="11"/>
      <c r="P215" s="11"/>
      <c r="Q215" s="11"/>
      <c r="R215" s="11"/>
      <c r="S215" s="3" t="s">
        <v>26</v>
      </c>
      <c r="T215" s="38" t="s">
        <v>27</v>
      </c>
    </row>
    <row r="216" spans="1:20" ht="15.75" customHeight="1" x14ac:dyDescent="0.3">
      <c r="A216" s="39" t="str">
        <f>IF('Rates from Ireland Fedex Priort'!A215="","",'Rates from Ireland Fedex Priort'!A215)</f>
        <v>EU</v>
      </c>
      <c r="B216" s="8" t="str">
        <f>IF('Rates from Ireland Fedex Priort'!B215="","",'Rates from Ireland Fedex Priort'!B215)</f>
        <v>Ireland</v>
      </c>
      <c r="C216" s="9" t="str">
        <f>IF('Rates from Ireland Fedex Priort'!C215="","",'Rates from Ireland Fedex Priort'!C215)</f>
        <v>Suriname</v>
      </c>
      <c r="D216" s="10">
        <f>IF(ISNUMBER('Rates from Ireland Fedex Priort'!D215),_xlfn.CEILING.MATH('Rates from Ireland Fedex Priort'!D215,1)+IF($A216="EU",Variables!$B$5,Variables!$B$2),'Rates from Ireland Fedex Priort'!D215)</f>
        <v>71</v>
      </c>
      <c r="E216" s="10">
        <f>IF(ISNUMBER('Rates from Ireland Fedex Priort'!E215),_xlfn.CEILING.MATH('Rates from Ireland Fedex Priort'!E215,1)+IF($A216="EU",Variables!$B$6,Variables!$B$3),'Rates from Ireland Fedex Priort'!E215)</f>
        <v>77</v>
      </c>
      <c r="F216" s="10">
        <f>IF(ISNUMBER('Rates from Ireland Fedex Priort'!F215),_xlfn.CEILING.MATH('Rates from Ireland Fedex Priort'!F215,1)+IF($A216="EU",Variables!$B$6,Variables!$B$3),'Rates from Ireland Fedex Priort'!F215)</f>
        <v>81</v>
      </c>
      <c r="G216" s="10">
        <f>IF(ISNUMBER('Rates from Ireland Fedex Priort'!G215),_xlfn.CEILING.MATH('Rates from Ireland Fedex Priort'!G215,1)+IF($A216="EU",Variables!$B$6,Variables!$B$3),'Rates from Ireland Fedex Priort'!G215)</f>
        <v>96</v>
      </c>
      <c r="H216" s="10">
        <f>IF(ISNUMBER('Rates from Ireland Fedex Priort'!H215),_xlfn.CEILING.MATH('Rates from Ireland Fedex Priort'!H215,1)+IF($A216="EU",Variables!$B$6,Variables!$B$3),'Rates from Ireland Fedex Priort'!H215)</f>
        <v>117</v>
      </c>
      <c r="I216" s="10">
        <f>IF(ISNUMBER('Rates from Ireland Fedex Priort'!I215),_xlfn.CEILING.MATH('Rates from Ireland Fedex Priort'!I215,1)+IF($A216="EU",Variables!$B$6,Variables!$B$3),'Rates from Ireland Fedex Priort'!I215)</f>
        <v>219</v>
      </c>
      <c r="J216" s="10" t="str">
        <f>IF(ISNUMBER('Rates from Ireland Fedex Priort'!J215),_xlfn.CEILING.MATH('Rates from Ireland Fedex Priort'!J215,1)+IF($A216="EU",Variables!$B$6,Variables!$B$3),'Rates from Ireland Fedex Priort'!J215)</f>
        <v>No service</v>
      </c>
      <c r="K216" s="10" t="str">
        <f>IF(ISNUMBER('Rates from Ireland Fedex Priort'!K215),_xlfn.CEILING.MATH('Rates from Ireland Fedex Priort'!K215,1)+IF($A216="EU",Variables!$B$6,Variables!$B$3),'Rates from Ireland Fedex Priort'!K215)</f>
        <v>No service</v>
      </c>
      <c r="L216" s="10" t="str">
        <f>IF(ISNUMBER('Rates from Ireland Fedex Priort'!L215),_xlfn.CEILING.MATH('Rates from Ireland Fedex Priort'!L215,1)+IF($A216="EU",Variables!$B$6,Variables!$B$3),'Rates from Ireland Fedex Priort'!L215)</f>
        <v>No service</v>
      </c>
      <c r="M216" s="10" t="str">
        <f>IF(ISNUMBER('Rates from Ireland Fedex Priort'!M215),_xlfn.CEILING.MATH('Rates from Ireland Fedex Priort'!M215,1)+IF($A216="EU",Variables!$B$6,Variables!$B$3),'Rates from Ireland Fedex Priort'!M215)</f>
        <v>No service</v>
      </c>
      <c r="N216" s="10" t="str">
        <f>IF(ISNUMBER('Rates from Ireland Fedex Priort'!N215),_xlfn.CEILING.MATH('Rates from Ireland Fedex Priort'!N215,1)+IF($A216="EU",Variables!$B$6,Variables!$B$3),'Rates from Ireland Fedex Priort'!N215)</f>
        <v>No service</v>
      </c>
      <c r="O216" s="11" t="s">
        <v>23</v>
      </c>
      <c r="P216" s="11" t="s">
        <v>24</v>
      </c>
      <c r="Q216" s="12">
        <v>80</v>
      </c>
      <c r="R216" s="11" t="s">
        <v>25</v>
      </c>
      <c r="S216" s="3" t="s">
        <v>26</v>
      </c>
      <c r="T216" s="38" t="s">
        <v>27</v>
      </c>
    </row>
    <row r="217" spans="1:20" ht="15.75" customHeight="1" x14ac:dyDescent="0.3">
      <c r="A217" s="39" t="str">
        <f>IF('Rates from Ireland Fedex Priort'!A216="","",'Rates from Ireland Fedex Priort'!A216)</f>
        <v>EU</v>
      </c>
      <c r="B217" s="8" t="str">
        <f>IF('Rates from Ireland Fedex Priort'!B216="","",'Rates from Ireland Fedex Priort'!B216)</f>
        <v>Ireland</v>
      </c>
      <c r="C217" s="9" t="str">
        <f>IF('Rates from Ireland Fedex Priort'!C216="","",'Rates from Ireland Fedex Priort'!C216)</f>
        <v>Svalbard and Jan Mayen</v>
      </c>
      <c r="D217" s="10" t="str">
        <f>IF(ISNUMBER('Rates from Ireland Fedex Priort'!D216),_xlfn.CEILING.MATH('Rates from Ireland Fedex Priort'!D216,1)+IF($A217="EU",Variables!$B$5,Variables!$B$2),'Rates from Ireland Fedex Priort'!D216)</f>
        <v>No service</v>
      </c>
      <c r="E217" s="10" t="str">
        <f>IF(ISNUMBER('Rates from Ireland Fedex Priort'!E216),_xlfn.CEILING.MATH('Rates from Ireland Fedex Priort'!E216,1)+IF($A217="EU",Variables!$B$6,Variables!$B$3),'Rates from Ireland Fedex Priort'!E216)</f>
        <v>No service</v>
      </c>
      <c r="F217" s="10" t="str">
        <f>IF(ISNUMBER('Rates from Ireland Fedex Priort'!F216),_xlfn.CEILING.MATH('Rates from Ireland Fedex Priort'!F216,1)+IF($A217="EU",Variables!$B$6,Variables!$B$3),'Rates from Ireland Fedex Priort'!F216)</f>
        <v>No service</v>
      </c>
      <c r="G217" s="10" t="str">
        <f>IF(ISNUMBER('Rates from Ireland Fedex Priort'!G216),_xlfn.CEILING.MATH('Rates from Ireland Fedex Priort'!G216,1)+IF($A217="EU",Variables!$B$6,Variables!$B$3),'Rates from Ireland Fedex Priort'!G216)</f>
        <v>No service</v>
      </c>
      <c r="H217" s="10" t="str">
        <f>IF(ISNUMBER('Rates from Ireland Fedex Priort'!H216),_xlfn.CEILING.MATH('Rates from Ireland Fedex Priort'!H216,1)+IF($A217="EU",Variables!$B$6,Variables!$B$3),'Rates from Ireland Fedex Priort'!H216)</f>
        <v>No service</v>
      </c>
      <c r="I217" s="10" t="str">
        <f>IF(ISNUMBER('Rates from Ireland Fedex Priort'!I216),_xlfn.CEILING.MATH('Rates from Ireland Fedex Priort'!I216,1)+IF($A217="EU",Variables!$B$6,Variables!$B$3),'Rates from Ireland Fedex Priort'!I216)</f>
        <v>No service</v>
      </c>
      <c r="J217" s="10" t="str">
        <f>IF(ISNUMBER('Rates from Ireland Fedex Priort'!J216),_xlfn.CEILING.MATH('Rates from Ireland Fedex Priort'!J216,1)+IF($A217="EU",Variables!$B$6,Variables!$B$3),'Rates from Ireland Fedex Priort'!J216)</f>
        <v>No service</v>
      </c>
      <c r="K217" s="10" t="str">
        <f>IF(ISNUMBER('Rates from Ireland Fedex Priort'!K216),_xlfn.CEILING.MATH('Rates from Ireland Fedex Priort'!K216,1)+IF($A217="EU",Variables!$B$6,Variables!$B$3),'Rates from Ireland Fedex Priort'!K216)</f>
        <v>No service</v>
      </c>
      <c r="L217" s="10" t="str">
        <f>IF(ISNUMBER('Rates from Ireland Fedex Priort'!L216),_xlfn.CEILING.MATH('Rates from Ireland Fedex Priort'!L216,1)+IF($A217="EU",Variables!$B$6,Variables!$B$3),'Rates from Ireland Fedex Priort'!L216)</f>
        <v>No service</v>
      </c>
      <c r="M217" s="10" t="str">
        <f>IF(ISNUMBER('Rates from Ireland Fedex Priort'!M216),_xlfn.CEILING.MATH('Rates from Ireland Fedex Priort'!M216,1)+IF($A217="EU",Variables!$B$6,Variables!$B$3),'Rates from Ireland Fedex Priort'!M216)</f>
        <v>No service</v>
      </c>
      <c r="N217" s="10" t="str">
        <f>IF(ISNUMBER('Rates from Ireland Fedex Priort'!N216),_xlfn.CEILING.MATH('Rates from Ireland Fedex Priort'!N216,1)+IF($A217="EU",Variables!$B$6,Variables!$B$3),'Rates from Ireland Fedex Priort'!N216)</f>
        <v>No service</v>
      </c>
      <c r="O217" s="11"/>
      <c r="P217" s="11"/>
      <c r="Q217" s="11"/>
      <c r="R217" s="11"/>
      <c r="S217" s="3" t="s">
        <v>26</v>
      </c>
      <c r="T217" s="38" t="s">
        <v>27</v>
      </c>
    </row>
    <row r="218" spans="1:20" ht="15.75" customHeight="1" x14ac:dyDescent="0.3">
      <c r="A218" s="39" t="str">
        <f>IF('Rates from Ireland Fedex Priort'!A217="","",'Rates from Ireland Fedex Priort'!A217)</f>
        <v>EU</v>
      </c>
      <c r="B218" s="8" t="str">
        <f>IF('Rates from Ireland Fedex Priort'!B217="","",'Rates from Ireland Fedex Priort'!B217)</f>
        <v>Ireland</v>
      </c>
      <c r="C218" s="9" t="str">
        <f>IF('Rates from Ireland Fedex Priort'!C217="","",'Rates from Ireland Fedex Priort'!C217)</f>
        <v>Sweden</v>
      </c>
      <c r="D218" s="10">
        <f>IF(ISNUMBER('Rates from Ireland Fedex Priort'!D217),_xlfn.CEILING.MATH('Rates from Ireland Fedex Priort'!D217,1)+IF($A218="EU",Variables!$B$5,Variables!$B$2),'Rates from Ireland Fedex Priort'!D217)</f>
        <v>63</v>
      </c>
      <c r="E218" s="10">
        <f>IF(ISNUMBER('Rates from Ireland Fedex Priort'!E217),_xlfn.CEILING.MATH('Rates from Ireland Fedex Priort'!E217,1)+IF($A218="EU",Variables!$B$6,Variables!$B$3),'Rates from Ireland Fedex Priort'!E217)</f>
        <v>65</v>
      </c>
      <c r="F218" s="10">
        <f>IF(ISNUMBER('Rates from Ireland Fedex Priort'!F217),_xlfn.CEILING.MATH('Rates from Ireland Fedex Priort'!F217,1)+IF($A218="EU",Variables!$B$6,Variables!$B$3),'Rates from Ireland Fedex Priort'!F217)</f>
        <v>65</v>
      </c>
      <c r="G218" s="10">
        <f>IF(ISNUMBER('Rates from Ireland Fedex Priort'!G217),_xlfn.CEILING.MATH('Rates from Ireland Fedex Priort'!G217,1)+IF($A218="EU",Variables!$B$6,Variables!$B$3),'Rates from Ireland Fedex Priort'!G217)</f>
        <v>68</v>
      </c>
      <c r="H218" s="10">
        <f>IF(ISNUMBER('Rates from Ireland Fedex Priort'!H217),_xlfn.CEILING.MATH('Rates from Ireland Fedex Priort'!H217,1)+IF($A218="EU",Variables!$B$6,Variables!$B$3),'Rates from Ireland Fedex Priort'!H217)</f>
        <v>74</v>
      </c>
      <c r="I218" s="10">
        <f>IF(ISNUMBER('Rates from Ireland Fedex Priort'!I217),_xlfn.CEILING.MATH('Rates from Ireland Fedex Priort'!I217,1)+IF($A218="EU",Variables!$B$6,Variables!$B$3),'Rates from Ireland Fedex Priort'!I217)</f>
        <v>81</v>
      </c>
      <c r="J218" s="10" t="str">
        <f>IF(ISNUMBER('Rates from Ireland Fedex Priort'!J217),_xlfn.CEILING.MATH('Rates from Ireland Fedex Priort'!J217,1)+IF($A218="EU",Variables!$B$6,Variables!$B$3),'Rates from Ireland Fedex Priort'!J217)</f>
        <v>No service</v>
      </c>
      <c r="K218" s="10" t="str">
        <f>IF(ISNUMBER('Rates from Ireland Fedex Priort'!K217),_xlfn.CEILING.MATH('Rates from Ireland Fedex Priort'!K217,1)+IF($A218="EU",Variables!$B$6,Variables!$B$3),'Rates from Ireland Fedex Priort'!K217)</f>
        <v>No service</v>
      </c>
      <c r="L218" s="10" t="str">
        <f>IF(ISNUMBER('Rates from Ireland Fedex Priort'!L217),_xlfn.CEILING.MATH('Rates from Ireland Fedex Priort'!L217,1)+IF($A218="EU",Variables!$B$6,Variables!$B$3),'Rates from Ireland Fedex Priort'!L217)</f>
        <v>No service</v>
      </c>
      <c r="M218" s="10" t="str">
        <f>IF(ISNUMBER('Rates from Ireland Fedex Priort'!M217),_xlfn.CEILING.MATH('Rates from Ireland Fedex Priort'!M217,1)+IF($A218="EU",Variables!$B$6,Variables!$B$3),'Rates from Ireland Fedex Priort'!M217)</f>
        <v>No service</v>
      </c>
      <c r="N218" s="10" t="str">
        <f>IF(ISNUMBER('Rates from Ireland Fedex Priort'!N217),_xlfn.CEILING.MATH('Rates from Ireland Fedex Priort'!N217,1)+IF($A218="EU",Variables!$B$6,Variables!$B$3),'Rates from Ireland Fedex Priort'!N217)</f>
        <v>No service</v>
      </c>
      <c r="O218" s="11" t="s">
        <v>29</v>
      </c>
      <c r="P218" s="11" t="s">
        <v>33</v>
      </c>
      <c r="Q218" s="12">
        <v>80</v>
      </c>
      <c r="R218" s="11" t="s">
        <v>25</v>
      </c>
      <c r="S218" s="3" t="s">
        <v>26</v>
      </c>
      <c r="T218" s="38" t="s">
        <v>27</v>
      </c>
    </row>
    <row r="219" spans="1:20" ht="15.75" customHeight="1" x14ac:dyDescent="0.3">
      <c r="A219" s="39" t="str">
        <f>IF('Rates from Ireland Fedex Priort'!A218="","",'Rates from Ireland Fedex Priort'!A218)</f>
        <v>EU</v>
      </c>
      <c r="B219" s="8" t="str">
        <f>IF('Rates from Ireland Fedex Priort'!B218="","",'Rates from Ireland Fedex Priort'!B218)</f>
        <v>Ireland</v>
      </c>
      <c r="C219" s="9" t="str">
        <f>IF('Rates from Ireland Fedex Priort'!C218="","",'Rates from Ireland Fedex Priort'!C218)</f>
        <v>Switzerland</v>
      </c>
      <c r="D219" s="10">
        <f>IF(ISNUMBER('Rates from Ireland Fedex Priort'!D218),_xlfn.CEILING.MATH('Rates from Ireland Fedex Priort'!D218,1)+IF($A219="EU",Variables!$B$5,Variables!$B$2),'Rates from Ireland Fedex Priort'!D218)</f>
        <v>64</v>
      </c>
      <c r="E219" s="10">
        <f>IF(ISNUMBER('Rates from Ireland Fedex Priort'!E218),_xlfn.CEILING.MATH('Rates from Ireland Fedex Priort'!E218,1)+IF($A219="EU",Variables!$B$6,Variables!$B$3),'Rates from Ireland Fedex Priort'!E218)</f>
        <v>100</v>
      </c>
      <c r="F219" s="10">
        <f>IF(ISNUMBER('Rates from Ireland Fedex Priort'!F218),_xlfn.CEILING.MATH('Rates from Ireland Fedex Priort'!F218,1)+IF($A219="EU",Variables!$B$6,Variables!$B$3),'Rates from Ireland Fedex Priort'!F218)</f>
        <v>100</v>
      </c>
      <c r="G219" s="10">
        <f>IF(ISNUMBER('Rates from Ireland Fedex Priort'!G218),_xlfn.CEILING.MATH('Rates from Ireland Fedex Priort'!G218,1)+IF($A219="EU",Variables!$B$6,Variables!$B$3),'Rates from Ireland Fedex Priort'!G218)</f>
        <v>105</v>
      </c>
      <c r="H219" s="10">
        <f>IF(ISNUMBER('Rates from Ireland Fedex Priort'!H218),_xlfn.CEILING.MATH('Rates from Ireland Fedex Priort'!H218,1)+IF($A219="EU",Variables!$B$6,Variables!$B$3),'Rates from Ireland Fedex Priort'!H218)</f>
        <v>117</v>
      </c>
      <c r="I219" s="10">
        <f>IF(ISNUMBER('Rates from Ireland Fedex Priort'!I218),_xlfn.CEILING.MATH('Rates from Ireland Fedex Priort'!I218,1)+IF($A219="EU",Variables!$B$6,Variables!$B$3),'Rates from Ireland Fedex Priort'!I218)</f>
        <v>124</v>
      </c>
      <c r="J219" s="10">
        <f>IF(ISNUMBER('Rates from Ireland Fedex Priort'!J218),_xlfn.CEILING.MATH('Rates from Ireland Fedex Priort'!J218,1)+IF($A219="EU",Variables!$B$6,Variables!$B$3),'Rates from Ireland Fedex Priort'!J218)</f>
        <v>133</v>
      </c>
      <c r="K219" s="10">
        <f>IF(ISNUMBER('Rates from Ireland Fedex Priort'!K218),_xlfn.CEILING.MATH('Rates from Ireland Fedex Priort'!K218,1)+IF($A219="EU",Variables!$B$6,Variables!$B$3),'Rates from Ireland Fedex Priort'!K218)</f>
        <v>142</v>
      </c>
      <c r="L219" s="10">
        <f>IF(ISNUMBER('Rates from Ireland Fedex Priort'!L218),_xlfn.CEILING.MATH('Rates from Ireland Fedex Priort'!L218,1)+IF($A219="EU",Variables!$B$6,Variables!$B$3),'Rates from Ireland Fedex Priort'!L218)</f>
        <v>142</v>
      </c>
      <c r="M219" s="10">
        <f>IF(ISNUMBER('Rates from Ireland Fedex Priort'!M218),_xlfn.CEILING.MATH('Rates from Ireland Fedex Priort'!M218,1)+IF($A219="EU",Variables!$B$6,Variables!$B$3),'Rates from Ireland Fedex Priort'!M218)</f>
        <v>158</v>
      </c>
      <c r="N219" s="10">
        <f>IF(ISNUMBER('Rates from Ireland Fedex Priort'!N218),_xlfn.CEILING.MATH('Rates from Ireland Fedex Priort'!N218,1)+IF($A219="EU",Variables!$B$6,Variables!$B$3),'Rates from Ireland Fedex Priort'!N218)</f>
        <v>175</v>
      </c>
      <c r="O219" s="15" t="s">
        <v>29</v>
      </c>
      <c r="P219" s="15" t="s">
        <v>69</v>
      </c>
      <c r="Q219" s="16">
        <v>80</v>
      </c>
      <c r="R219" s="15" t="s">
        <v>25</v>
      </c>
      <c r="S219" s="17" t="s">
        <v>26</v>
      </c>
      <c r="T219" s="40" t="s">
        <v>27</v>
      </c>
    </row>
    <row r="220" spans="1:20" ht="15.75" customHeight="1" x14ac:dyDescent="0.3">
      <c r="A220" s="39" t="str">
        <f>IF('Rates from Ireland Fedex Priort'!A219="","",'Rates from Ireland Fedex Priort'!A219)</f>
        <v>EU</v>
      </c>
      <c r="B220" s="8" t="str">
        <f>IF('Rates from Ireland Fedex Priort'!B219="","",'Rates from Ireland Fedex Priort'!B219)</f>
        <v>Ireland</v>
      </c>
      <c r="C220" s="9" t="str">
        <f>IF('Rates from Ireland Fedex Priort'!C219="","",'Rates from Ireland Fedex Priort'!C219)</f>
        <v>Syria</v>
      </c>
      <c r="D220" s="10" t="str">
        <f>IF(ISNUMBER('Rates from Ireland Fedex Priort'!D219),_xlfn.CEILING.MATH('Rates from Ireland Fedex Priort'!D219,1)+IF($A220="EU",Variables!$B$5,Variables!$B$2),'Rates from Ireland Fedex Priort'!D219)</f>
        <v>No service</v>
      </c>
      <c r="E220" s="10" t="str">
        <f>IF(ISNUMBER('Rates from Ireland Fedex Priort'!E219),_xlfn.CEILING.MATH('Rates from Ireland Fedex Priort'!E219,1)+IF($A220="EU",Variables!$B$6,Variables!$B$3),'Rates from Ireland Fedex Priort'!E219)</f>
        <v>No service</v>
      </c>
      <c r="F220" s="10" t="str">
        <f>IF(ISNUMBER('Rates from Ireland Fedex Priort'!F219),_xlfn.CEILING.MATH('Rates from Ireland Fedex Priort'!F219,1)+IF($A220="EU",Variables!$B$6,Variables!$B$3),'Rates from Ireland Fedex Priort'!F219)</f>
        <v>No service</v>
      </c>
      <c r="G220" s="10" t="str">
        <f>IF(ISNUMBER('Rates from Ireland Fedex Priort'!G219),_xlfn.CEILING.MATH('Rates from Ireland Fedex Priort'!G219,1)+IF($A220="EU",Variables!$B$6,Variables!$B$3),'Rates from Ireland Fedex Priort'!G219)</f>
        <v>No service</v>
      </c>
      <c r="H220" s="10" t="str">
        <f>IF(ISNUMBER('Rates from Ireland Fedex Priort'!H219),_xlfn.CEILING.MATH('Rates from Ireland Fedex Priort'!H219,1)+IF($A220="EU",Variables!$B$6,Variables!$B$3),'Rates from Ireland Fedex Priort'!H219)</f>
        <v>No service</v>
      </c>
      <c r="I220" s="10" t="str">
        <f>IF(ISNUMBER('Rates from Ireland Fedex Priort'!I219),_xlfn.CEILING.MATH('Rates from Ireland Fedex Priort'!I219,1)+IF($A220="EU",Variables!$B$6,Variables!$B$3),'Rates from Ireland Fedex Priort'!I219)</f>
        <v>No service</v>
      </c>
      <c r="J220" s="10" t="str">
        <f>IF(ISNUMBER('Rates from Ireland Fedex Priort'!J219),_xlfn.CEILING.MATH('Rates from Ireland Fedex Priort'!J219,1)+IF($A220="EU",Variables!$B$6,Variables!$B$3),'Rates from Ireland Fedex Priort'!J219)</f>
        <v>No service</v>
      </c>
      <c r="K220" s="10" t="str">
        <f>IF(ISNUMBER('Rates from Ireland Fedex Priort'!K219),_xlfn.CEILING.MATH('Rates from Ireland Fedex Priort'!K219,1)+IF($A220="EU",Variables!$B$6,Variables!$B$3),'Rates from Ireland Fedex Priort'!K219)</f>
        <v>No service</v>
      </c>
      <c r="L220" s="10" t="str">
        <f>IF(ISNUMBER('Rates from Ireland Fedex Priort'!L219),_xlfn.CEILING.MATH('Rates from Ireland Fedex Priort'!L219,1)+IF($A220="EU",Variables!$B$6,Variables!$B$3),'Rates from Ireland Fedex Priort'!L219)</f>
        <v>No service</v>
      </c>
      <c r="M220" s="10" t="str">
        <f>IF(ISNUMBER('Rates from Ireland Fedex Priort'!M219),_xlfn.CEILING.MATH('Rates from Ireland Fedex Priort'!M219,1)+IF($A220="EU",Variables!$B$6,Variables!$B$3),'Rates from Ireland Fedex Priort'!M219)</f>
        <v>No service</v>
      </c>
      <c r="N220" s="10" t="str">
        <f>IF(ISNUMBER('Rates from Ireland Fedex Priort'!N219),_xlfn.CEILING.MATH('Rates from Ireland Fedex Priort'!N219,1)+IF($A220="EU",Variables!$B$6,Variables!$B$3),'Rates from Ireland Fedex Priort'!N219)</f>
        <v>No service</v>
      </c>
      <c r="O220" s="11"/>
      <c r="P220" s="11"/>
      <c r="Q220" s="11"/>
      <c r="R220" s="11"/>
      <c r="S220" s="3" t="s">
        <v>26</v>
      </c>
      <c r="T220" s="38" t="s">
        <v>27</v>
      </c>
    </row>
    <row r="221" spans="1:20" ht="15.75" customHeight="1" x14ac:dyDescent="0.3">
      <c r="A221" s="39" t="str">
        <f>IF('Rates from Ireland Fedex Priort'!A220="","",'Rates from Ireland Fedex Priort'!A220)</f>
        <v>EU</v>
      </c>
      <c r="B221" s="8" t="str">
        <f>IF('Rates from Ireland Fedex Priort'!B220="","",'Rates from Ireland Fedex Priort'!B220)</f>
        <v>Ireland</v>
      </c>
      <c r="C221" s="9" t="str">
        <f>IF('Rates from Ireland Fedex Priort'!C220="","",'Rates from Ireland Fedex Priort'!C220)</f>
        <v>Taiwan</v>
      </c>
      <c r="D221" s="10">
        <f>IF(ISNUMBER('Rates from Ireland Fedex Priort'!D220),_xlfn.CEILING.MATH('Rates from Ireland Fedex Priort'!D220,1)+IF($A221="EU",Variables!$B$5,Variables!$B$2),'Rates from Ireland Fedex Priort'!D220)</f>
        <v>69</v>
      </c>
      <c r="E221" s="10">
        <f>IF(ISNUMBER('Rates from Ireland Fedex Priort'!E220),_xlfn.CEILING.MATH('Rates from Ireland Fedex Priort'!E220,1)+IF($A221="EU",Variables!$B$6,Variables!$B$3),'Rates from Ireland Fedex Priort'!E220)</f>
        <v>74</v>
      </c>
      <c r="F221" s="10">
        <f>IF(ISNUMBER('Rates from Ireland Fedex Priort'!F220),_xlfn.CEILING.MATH('Rates from Ireland Fedex Priort'!F220,1)+IF($A221="EU",Variables!$B$6,Variables!$B$3),'Rates from Ireland Fedex Priort'!F220)</f>
        <v>79</v>
      </c>
      <c r="G221" s="10">
        <f>IF(ISNUMBER('Rates from Ireland Fedex Priort'!G220),_xlfn.CEILING.MATH('Rates from Ireland Fedex Priort'!G220,1)+IF($A221="EU",Variables!$B$6,Variables!$B$3),'Rates from Ireland Fedex Priort'!G220)</f>
        <v>95</v>
      </c>
      <c r="H221" s="10">
        <f>IF(ISNUMBER('Rates from Ireland Fedex Priort'!H220),_xlfn.CEILING.MATH('Rates from Ireland Fedex Priort'!H220,1)+IF($A221="EU",Variables!$B$6,Variables!$B$3),'Rates from Ireland Fedex Priort'!H220)</f>
        <v>119</v>
      </c>
      <c r="I221" s="10">
        <f>IF(ISNUMBER('Rates from Ireland Fedex Priort'!I220),_xlfn.CEILING.MATH('Rates from Ireland Fedex Priort'!I220,1)+IF($A221="EU",Variables!$B$6,Variables!$B$3),'Rates from Ireland Fedex Priort'!I220)</f>
        <v>179</v>
      </c>
      <c r="J221" s="10" t="str">
        <f>IF(ISNUMBER('Rates from Ireland Fedex Priort'!J220),_xlfn.CEILING.MATH('Rates from Ireland Fedex Priort'!J220,1)+IF($A221="EU",Variables!$B$6,Variables!$B$3),'Rates from Ireland Fedex Priort'!J220)</f>
        <v>No service</v>
      </c>
      <c r="K221" s="10" t="str">
        <f>IF(ISNUMBER('Rates from Ireland Fedex Priort'!K220),_xlfn.CEILING.MATH('Rates from Ireland Fedex Priort'!K220,1)+IF($A221="EU",Variables!$B$6,Variables!$B$3),'Rates from Ireland Fedex Priort'!K220)</f>
        <v>No service</v>
      </c>
      <c r="L221" s="10" t="str">
        <f>IF(ISNUMBER('Rates from Ireland Fedex Priort'!L220),_xlfn.CEILING.MATH('Rates from Ireland Fedex Priort'!L220,1)+IF($A221="EU",Variables!$B$6,Variables!$B$3),'Rates from Ireland Fedex Priort'!L220)</f>
        <v>No service</v>
      </c>
      <c r="M221" s="10" t="str">
        <f>IF(ISNUMBER('Rates from Ireland Fedex Priort'!M220),_xlfn.CEILING.MATH('Rates from Ireland Fedex Priort'!M220,1)+IF($A221="EU",Variables!$B$6,Variables!$B$3),'Rates from Ireland Fedex Priort'!M220)</f>
        <v>No service</v>
      </c>
      <c r="N221" s="10">
        <f>IF(ISNUMBER('Rates from Ireland Fedex Priort'!N220),_xlfn.CEILING.MATH('Rates from Ireland Fedex Priort'!N220,1)+IF($A221="EU",Variables!$B$6,Variables!$B$3),'Rates from Ireland Fedex Priort'!N220)</f>
        <v>333</v>
      </c>
      <c r="O221" s="11" t="s">
        <v>41</v>
      </c>
      <c r="P221" s="11" t="s">
        <v>143</v>
      </c>
      <c r="Q221" s="12">
        <v>80</v>
      </c>
      <c r="R221" s="11"/>
      <c r="S221" s="3" t="s">
        <v>26</v>
      </c>
      <c r="T221" s="38" t="s">
        <v>27</v>
      </c>
    </row>
    <row r="222" spans="1:20" ht="15.75" customHeight="1" x14ac:dyDescent="0.3">
      <c r="A222" s="39" t="str">
        <f>IF('Rates from Ireland Fedex Priort'!A221="","",'Rates from Ireland Fedex Priort'!A221)</f>
        <v>EU</v>
      </c>
      <c r="B222" s="8" t="str">
        <f>IF('Rates from Ireland Fedex Priort'!B221="","",'Rates from Ireland Fedex Priort'!B221)</f>
        <v>Ireland</v>
      </c>
      <c r="C222" s="9" t="str">
        <f>IF('Rates from Ireland Fedex Priort'!C221="","",'Rates from Ireland Fedex Priort'!C221)</f>
        <v>Tajikistan</v>
      </c>
      <c r="D222" s="10" t="str">
        <f>IF(ISNUMBER('Rates from Ireland Fedex Priort'!D221),_xlfn.CEILING.MATH('Rates from Ireland Fedex Priort'!D221,1)+IF($A222="EU",Variables!$B$5,Variables!$B$2),'Rates from Ireland Fedex Priort'!D221)</f>
        <v>No service</v>
      </c>
      <c r="E222" s="10" t="str">
        <f>IF(ISNUMBER('Rates from Ireland Fedex Priort'!E221),_xlfn.CEILING.MATH('Rates from Ireland Fedex Priort'!E221,1)+IF($A222="EU",Variables!$B$6,Variables!$B$3),'Rates from Ireland Fedex Priort'!E221)</f>
        <v>No service</v>
      </c>
      <c r="F222" s="10" t="str">
        <f>IF(ISNUMBER('Rates from Ireland Fedex Priort'!F221),_xlfn.CEILING.MATH('Rates from Ireland Fedex Priort'!F221,1)+IF($A222="EU",Variables!$B$6,Variables!$B$3),'Rates from Ireland Fedex Priort'!F221)</f>
        <v>No service</v>
      </c>
      <c r="G222" s="10" t="str">
        <f>IF(ISNUMBER('Rates from Ireland Fedex Priort'!G221),_xlfn.CEILING.MATH('Rates from Ireland Fedex Priort'!G221,1)+IF($A222="EU",Variables!$B$6,Variables!$B$3),'Rates from Ireland Fedex Priort'!G221)</f>
        <v>No service</v>
      </c>
      <c r="H222" s="10" t="str">
        <f>IF(ISNUMBER('Rates from Ireland Fedex Priort'!H221),_xlfn.CEILING.MATH('Rates from Ireland Fedex Priort'!H221,1)+IF($A222="EU",Variables!$B$6,Variables!$B$3),'Rates from Ireland Fedex Priort'!H221)</f>
        <v>No service</v>
      </c>
      <c r="I222" s="10" t="str">
        <f>IF(ISNUMBER('Rates from Ireland Fedex Priort'!I221),_xlfn.CEILING.MATH('Rates from Ireland Fedex Priort'!I221,1)+IF($A222="EU",Variables!$B$6,Variables!$B$3),'Rates from Ireland Fedex Priort'!I221)</f>
        <v>No service</v>
      </c>
      <c r="J222" s="10" t="str">
        <f>IF(ISNUMBER('Rates from Ireland Fedex Priort'!J221),_xlfn.CEILING.MATH('Rates from Ireland Fedex Priort'!J221,1)+IF($A222="EU",Variables!$B$6,Variables!$B$3),'Rates from Ireland Fedex Priort'!J221)</f>
        <v>No service</v>
      </c>
      <c r="K222" s="10" t="str">
        <f>IF(ISNUMBER('Rates from Ireland Fedex Priort'!K221),_xlfn.CEILING.MATH('Rates from Ireland Fedex Priort'!K221,1)+IF($A222="EU",Variables!$B$6,Variables!$B$3),'Rates from Ireland Fedex Priort'!K221)</f>
        <v>No service</v>
      </c>
      <c r="L222" s="10" t="str">
        <f>IF(ISNUMBER('Rates from Ireland Fedex Priort'!L221),_xlfn.CEILING.MATH('Rates from Ireland Fedex Priort'!L221,1)+IF($A222="EU",Variables!$B$6,Variables!$B$3),'Rates from Ireland Fedex Priort'!L221)</f>
        <v>No service</v>
      </c>
      <c r="M222" s="10" t="str">
        <f>IF(ISNUMBER('Rates from Ireland Fedex Priort'!M221),_xlfn.CEILING.MATH('Rates from Ireland Fedex Priort'!M221,1)+IF($A222="EU",Variables!$B$6,Variables!$B$3),'Rates from Ireland Fedex Priort'!M221)</f>
        <v>No service</v>
      </c>
      <c r="N222" s="10" t="str">
        <f>IF(ISNUMBER('Rates from Ireland Fedex Priort'!N221),_xlfn.CEILING.MATH('Rates from Ireland Fedex Priort'!N221,1)+IF($A222="EU",Variables!$B$6,Variables!$B$3),'Rates from Ireland Fedex Priort'!N221)</f>
        <v>No service</v>
      </c>
      <c r="O222" s="11"/>
      <c r="P222" s="11"/>
      <c r="Q222" s="11"/>
      <c r="R222" s="11"/>
      <c r="S222" s="3" t="s">
        <v>26</v>
      </c>
      <c r="T222" s="38" t="s">
        <v>27</v>
      </c>
    </row>
    <row r="223" spans="1:20" ht="15.75" customHeight="1" x14ac:dyDescent="0.3">
      <c r="A223" s="39" t="str">
        <f>IF('Rates from Ireland Fedex Priort'!A222="","",'Rates from Ireland Fedex Priort'!A222)</f>
        <v>EU</v>
      </c>
      <c r="B223" s="8" t="str">
        <f>IF('Rates from Ireland Fedex Priort'!B222="","",'Rates from Ireland Fedex Priort'!B222)</f>
        <v>Ireland</v>
      </c>
      <c r="C223" s="9" t="str">
        <f>IF('Rates from Ireland Fedex Priort'!C222="","",'Rates from Ireland Fedex Priort'!C222)</f>
        <v>Tanzania</v>
      </c>
      <c r="D223" s="10">
        <f>IF(ISNUMBER('Rates from Ireland Fedex Priort'!D222),_xlfn.CEILING.MATH('Rates from Ireland Fedex Priort'!D222,1)+IF($A223="EU",Variables!$B$5,Variables!$B$2),'Rates from Ireland Fedex Priort'!D222)</f>
        <v>75</v>
      </c>
      <c r="E223" s="10">
        <f>IF(ISNUMBER('Rates from Ireland Fedex Priort'!E222),_xlfn.CEILING.MATH('Rates from Ireland Fedex Priort'!E222,1)+IF($A223="EU",Variables!$B$6,Variables!$B$3),'Rates from Ireland Fedex Priort'!E222)</f>
        <v>83</v>
      </c>
      <c r="F223" s="10">
        <f>IF(ISNUMBER('Rates from Ireland Fedex Priort'!F222),_xlfn.CEILING.MATH('Rates from Ireland Fedex Priort'!F222,1)+IF($A223="EU",Variables!$B$6,Variables!$B$3),'Rates from Ireland Fedex Priort'!F222)</f>
        <v>88</v>
      </c>
      <c r="G223" s="10">
        <f>IF(ISNUMBER('Rates from Ireland Fedex Priort'!G222),_xlfn.CEILING.MATH('Rates from Ireland Fedex Priort'!G222,1)+IF($A223="EU",Variables!$B$6,Variables!$B$3),'Rates from Ireland Fedex Priort'!G222)</f>
        <v>106</v>
      </c>
      <c r="H223" s="10">
        <f>IF(ISNUMBER('Rates from Ireland Fedex Priort'!H222),_xlfn.CEILING.MATH('Rates from Ireland Fedex Priort'!H222,1)+IF($A223="EU",Variables!$B$6,Variables!$B$3),'Rates from Ireland Fedex Priort'!H222)</f>
        <v>134</v>
      </c>
      <c r="I223" s="10">
        <f>IF(ISNUMBER('Rates from Ireland Fedex Priort'!I222),_xlfn.CEILING.MATH('Rates from Ireland Fedex Priort'!I222,1)+IF($A223="EU",Variables!$B$6,Variables!$B$3),'Rates from Ireland Fedex Priort'!I222)</f>
        <v>242</v>
      </c>
      <c r="J223" s="10" t="str">
        <f>IF(ISNUMBER('Rates from Ireland Fedex Priort'!J222),_xlfn.CEILING.MATH('Rates from Ireland Fedex Priort'!J222,1)+IF($A223="EU",Variables!$B$6,Variables!$B$3),'Rates from Ireland Fedex Priort'!J222)</f>
        <v>No service</v>
      </c>
      <c r="K223" s="10" t="str">
        <f>IF(ISNUMBER('Rates from Ireland Fedex Priort'!K222),_xlfn.CEILING.MATH('Rates from Ireland Fedex Priort'!K222,1)+IF($A223="EU",Variables!$B$6,Variables!$B$3),'Rates from Ireland Fedex Priort'!K222)</f>
        <v>No service</v>
      </c>
      <c r="L223" s="10" t="str">
        <f>IF(ISNUMBER('Rates from Ireland Fedex Priort'!L222),_xlfn.CEILING.MATH('Rates from Ireland Fedex Priort'!L222,1)+IF($A223="EU",Variables!$B$6,Variables!$B$3),'Rates from Ireland Fedex Priort'!L222)</f>
        <v>No service</v>
      </c>
      <c r="M223" s="10" t="str">
        <f>IF(ISNUMBER('Rates from Ireland Fedex Priort'!M222),_xlfn.CEILING.MATH('Rates from Ireland Fedex Priort'!M222,1)+IF($A223="EU",Variables!$B$6,Variables!$B$3),'Rates from Ireland Fedex Priort'!M222)</f>
        <v>No service</v>
      </c>
      <c r="N223" s="10">
        <f>IF(ISNUMBER('Rates from Ireland Fedex Priort'!N222),_xlfn.CEILING.MATH('Rates from Ireland Fedex Priort'!N222,1)+IF($A223="EU",Variables!$B$6,Variables!$B$3),'Rates from Ireland Fedex Priort'!N222)</f>
        <v>454</v>
      </c>
      <c r="O223" s="11" t="s">
        <v>271</v>
      </c>
      <c r="P223" s="11" t="s">
        <v>271</v>
      </c>
      <c r="Q223" s="12">
        <v>80</v>
      </c>
      <c r="R223" s="11"/>
      <c r="S223" s="3" t="s">
        <v>26</v>
      </c>
      <c r="T223" s="38" t="s">
        <v>27</v>
      </c>
    </row>
    <row r="224" spans="1:20" ht="15.75" customHeight="1" x14ac:dyDescent="0.3">
      <c r="A224" s="39" t="str">
        <f>IF('Rates from Ireland Fedex Priort'!A223="","",'Rates from Ireland Fedex Priort'!A223)</f>
        <v>EU</v>
      </c>
      <c r="B224" s="8" t="str">
        <f>IF('Rates from Ireland Fedex Priort'!B223="","",'Rates from Ireland Fedex Priort'!B223)</f>
        <v>Ireland</v>
      </c>
      <c r="C224" s="9" t="str">
        <f>IF('Rates from Ireland Fedex Priort'!C223="","",'Rates from Ireland Fedex Priort'!C223)</f>
        <v>Thailand</v>
      </c>
      <c r="D224" s="10" t="str">
        <f>IF(ISNUMBER('Rates from Ireland Fedex Priort'!D223),_xlfn.CEILING.MATH('Rates from Ireland Fedex Priort'!D223,1)+IF($A224="EU",Variables!$B$5,Variables!$B$2),'Rates from Ireland Fedex Priort'!D223)</f>
        <v>No service</v>
      </c>
      <c r="E224" s="10" t="str">
        <f>IF(ISNUMBER('Rates from Ireland Fedex Priort'!E223),_xlfn.CEILING.MATH('Rates from Ireland Fedex Priort'!E223,1)+IF($A224="EU",Variables!$B$6,Variables!$B$3),'Rates from Ireland Fedex Priort'!E223)</f>
        <v>No service</v>
      </c>
      <c r="F224" s="10" t="str">
        <f>IF(ISNUMBER('Rates from Ireland Fedex Priort'!F223),_xlfn.CEILING.MATH('Rates from Ireland Fedex Priort'!F223,1)+IF($A224="EU",Variables!$B$6,Variables!$B$3),'Rates from Ireland Fedex Priort'!F223)</f>
        <v>No service</v>
      </c>
      <c r="G224" s="10" t="str">
        <f>IF(ISNUMBER('Rates from Ireland Fedex Priort'!G223),_xlfn.CEILING.MATH('Rates from Ireland Fedex Priort'!G223,1)+IF($A224="EU",Variables!$B$6,Variables!$B$3),'Rates from Ireland Fedex Priort'!G223)</f>
        <v>No service</v>
      </c>
      <c r="H224" s="10" t="str">
        <f>IF(ISNUMBER('Rates from Ireland Fedex Priort'!H223),_xlfn.CEILING.MATH('Rates from Ireland Fedex Priort'!H223,1)+IF($A224="EU",Variables!$B$6,Variables!$B$3),'Rates from Ireland Fedex Priort'!H223)</f>
        <v>No service</v>
      </c>
      <c r="I224" s="10" t="str">
        <f>IF(ISNUMBER('Rates from Ireland Fedex Priort'!I223),_xlfn.CEILING.MATH('Rates from Ireland Fedex Priort'!I223,1)+IF($A224="EU",Variables!$B$6,Variables!$B$3),'Rates from Ireland Fedex Priort'!I223)</f>
        <v>No service</v>
      </c>
      <c r="J224" s="10" t="str">
        <f>IF(ISNUMBER('Rates from Ireland Fedex Priort'!J223),_xlfn.CEILING.MATH('Rates from Ireland Fedex Priort'!J223,1)+IF($A224="EU",Variables!$B$6,Variables!$B$3),'Rates from Ireland Fedex Priort'!J223)</f>
        <v>No service</v>
      </c>
      <c r="K224" s="10" t="str">
        <f>IF(ISNUMBER('Rates from Ireland Fedex Priort'!K223),_xlfn.CEILING.MATH('Rates from Ireland Fedex Priort'!K223,1)+IF($A224="EU",Variables!$B$6,Variables!$B$3),'Rates from Ireland Fedex Priort'!K223)</f>
        <v>No service</v>
      </c>
      <c r="L224" s="10" t="str">
        <f>IF(ISNUMBER('Rates from Ireland Fedex Priort'!L223),_xlfn.CEILING.MATH('Rates from Ireland Fedex Priort'!L223,1)+IF($A224="EU",Variables!$B$6,Variables!$B$3),'Rates from Ireland Fedex Priort'!L223)</f>
        <v>No service</v>
      </c>
      <c r="M224" s="10" t="str">
        <f>IF(ISNUMBER('Rates from Ireland Fedex Priort'!M223),_xlfn.CEILING.MATH('Rates from Ireland Fedex Priort'!M223,1)+IF($A224="EU",Variables!$B$6,Variables!$B$3),'Rates from Ireland Fedex Priort'!M223)</f>
        <v>No service</v>
      </c>
      <c r="N224" s="10" t="str">
        <f>IF(ISNUMBER('Rates from Ireland Fedex Priort'!N223),_xlfn.CEILING.MATH('Rates from Ireland Fedex Priort'!N223,1)+IF($A224="EU",Variables!$B$6,Variables!$B$3),'Rates from Ireland Fedex Priort'!N223)</f>
        <v>No service</v>
      </c>
      <c r="O224" s="11"/>
      <c r="P224" s="11"/>
      <c r="Q224" s="11"/>
      <c r="R224" s="11"/>
      <c r="S224" s="3" t="s">
        <v>26</v>
      </c>
      <c r="T224" s="38" t="s">
        <v>27</v>
      </c>
    </row>
    <row r="225" spans="1:20" ht="15.75" customHeight="1" x14ac:dyDescent="0.3">
      <c r="A225" s="39" t="str">
        <f>IF('Rates from Ireland Fedex Priort'!A224="","",'Rates from Ireland Fedex Priort'!A224)</f>
        <v>EU</v>
      </c>
      <c r="B225" s="8" t="str">
        <f>IF('Rates from Ireland Fedex Priort'!B224="","",'Rates from Ireland Fedex Priort'!B224)</f>
        <v>Ireland</v>
      </c>
      <c r="C225" s="9" t="str">
        <f>IF('Rates from Ireland Fedex Priort'!C224="","",'Rates from Ireland Fedex Priort'!C224)</f>
        <v>Togo</v>
      </c>
      <c r="D225" s="10">
        <f>IF(ISNUMBER('Rates from Ireland Fedex Priort'!D224),_xlfn.CEILING.MATH('Rates from Ireland Fedex Priort'!D224,1)+IF($A225="EU",Variables!$B$5,Variables!$B$2),'Rates from Ireland Fedex Priort'!D224)</f>
        <v>75</v>
      </c>
      <c r="E225" s="10">
        <f>IF(ISNUMBER('Rates from Ireland Fedex Priort'!E224),_xlfn.CEILING.MATH('Rates from Ireland Fedex Priort'!E224,1)+IF($A225="EU",Variables!$B$6,Variables!$B$3),'Rates from Ireland Fedex Priort'!E224)</f>
        <v>83</v>
      </c>
      <c r="F225" s="10">
        <f>IF(ISNUMBER('Rates from Ireland Fedex Priort'!F224),_xlfn.CEILING.MATH('Rates from Ireland Fedex Priort'!F224,1)+IF($A225="EU",Variables!$B$6,Variables!$B$3),'Rates from Ireland Fedex Priort'!F224)</f>
        <v>88</v>
      </c>
      <c r="G225" s="10">
        <f>IF(ISNUMBER('Rates from Ireland Fedex Priort'!G224),_xlfn.CEILING.MATH('Rates from Ireland Fedex Priort'!G224,1)+IF($A225="EU",Variables!$B$6,Variables!$B$3),'Rates from Ireland Fedex Priort'!G224)</f>
        <v>106</v>
      </c>
      <c r="H225" s="10">
        <f>IF(ISNUMBER('Rates from Ireland Fedex Priort'!H224),_xlfn.CEILING.MATH('Rates from Ireland Fedex Priort'!H224,1)+IF($A225="EU",Variables!$B$6,Variables!$B$3),'Rates from Ireland Fedex Priort'!H224)</f>
        <v>134</v>
      </c>
      <c r="I225" s="10">
        <f>IF(ISNUMBER('Rates from Ireland Fedex Priort'!I224),_xlfn.CEILING.MATH('Rates from Ireland Fedex Priort'!I224,1)+IF($A225="EU",Variables!$B$6,Variables!$B$3),'Rates from Ireland Fedex Priort'!I224)</f>
        <v>242</v>
      </c>
      <c r="J225" s="10" t="str">
        <f>IF(ISNUMBER('Rates from Ireland Fedex Priort'!J224),_xlfn.CEILING.MATH('Rates from Ireland Fedex Priort'!J224,1)+IF($A225="EU",Variables!$B$6,Variables!$B$3),'Rates from Ireland Fedex Priort'!J224)</f>
        <v>No service</v>
      </c>
      <c r="K225" s="10" t="str">
        <f>IF(ISNUMBER('Rates from Ireland Fedex Priort'!K224),_xlfn.CEILING.MATH('Rates from Ireland Fedex Priort'!K224,1)+IF($A225="EU",Variables!$B$6,Variables!$B$3),'Rates from Ireland Fedex Priort'!K224)</f>
        <v>No service</v>
      </c>
      <c r="L225" s="10" t="str">
        <f>IF(ISNUMBER('Rates from Ireland Fedex Priort'!L224),_xlfn.CEILING.MATH('Rates from Ireland Fedex Priort'!L224,1)+IF($A225="EU",Variables!$B$6,Variables!$B$3),'Rates from Ireland Fedex Priort'!L224)</f>
        <v>No service</v>
      </c>
      <c r="M225" s="10" t="str">
        <f>IF(ISNUMBER('Rates from Ireland Fedex Priort'!M224),_xlfn.CEILING.MATH('Rates from Ireland Fedex Priort'!M224,1)+IF($A225="EU",Variables!$B$6,Variables!$B$3),'Rates from Ireland Fedex Priort'!M224)</f>
        <v>No service</v>
      </c>
      <c r="N225" s="10">
        <f>IF(ISNUMBER('Rates from Ireland Fedex Priort'!N224),_xlfn.CEILING.MATH('Rates from Ireland Fedex Priort'!N224,1)+IF($A225="EU",Variables!$B$6,Variables!$B$3),'Rates from Ireland Fedex Priort'!N224)</f>
        <v>454</v>
      </c>
      <c r="O225" s="11" t="s">
        <v>271</v>
      </c>
      <c r="P225" s="11" t="s">
        <v>271</v>
      </c>
      <c r="Q225" s="12">
        <v>80</v>
      </c>
      <c r="R225" s="11"/>
      <c r="S225" s="3" t="s">
        <v>26</v>
      </c>
      <c r="T225" s="38" t="s">
        <v>27</v>
      </c>
    </row>
    <row r="226" spans="1:20" ht="15.75" customHeight="1" x14ac:dyDescent="0.3">
      <c r="A226" s="39" t="str">
        <f>IF('Rates from Ireland Fedex Priort'!A225="","",'Rates from Ireland Fedex Priort'!A225)</f>
        <v>EU</v>
      </c>
      <c r="B226" s="8" t="str">
        <f>IF('Rates from Ireland Fedex Priort'!B225="","",'Rates from Ireland Fedex Priort'!B225)</f>
        <v>Ireland</v>
      </c>
      <c r="C226" s="9" t="str">
        <f>IF('Rates from Ireland Fedex Priort'!C225="","",'Rates from Ireland Fedex Priort'!C225)</f>
        <v xml:space="preserve">Tokelau </v>
      </c>
      <c r="D226" s="10" t="str">
        <f>IF(ISNUMBER('Rates from Ireland Fedex Priort'!D225),_xlfn.CEILING.MATH('Rates from Ireland Fedex Priort'!D225,1)+IF($A226="EU",Variables!$B$5,Variables!$B$2),'Rates from Ireland Fedex Priort'!D225)</f>
        <v>No service</v>
      </c>
      <c r="E226" s="10" t="str">
        <f>IF(ISNUMBER('Rates from Ireland Fedex Priort'!E225),_xlfn.CEILING.MATH('Rates from Ireland Fedex Priort'!E225,1)+IF($A226="EU",Variables!$B$6,Variables!$B$3),'Rates from Ireland Fedex Priort'!E225)</f>
        <v>No service</v>
      </c>
      <c r="F226" s="10" t="str">
        <f>IF(ISNUMBER('Rates from Ireland Fedex Priort'!F225),_xlfn.CEILING.MATH('Rates from Ireland Fedex Priort'!F225,1)+IF($A226="EU",Variables!$B$6,Variables!$B$3),'Rates from Ireland Fedex Priort'!F225)</f>
        <v>No service</v>
      </c>
      <c r="G226" s="10" t="str">
        <f>IF(ISNUMBER('Rates from Ireland Fedex Priort'!G225),_xlfn.CEILING.MATH('Rates from Ireland Fedex Priort'!G225,1)+IF($A226="EU",Variables!$B$6,Variables!$B$3),'Rates from Ireland Fedex Priort'!G225)</f>
        <v>No service</v>
      </c>
      <c r="H226" s="10" t="str">
        <f>IF(ISNUMBER('Rates from Ireland Fedex Priort'!H225),_xlfn.CEILING.MATH('Rates from Ireland Fedex Priort'!H225,1)+IF($A226="EU",Variables!$B$6,Variables!$B$3),'Rates from Ireland Fedex Priort'!H225)</f>
        <v>No service</v>
      </c>
      <c r="I226" s="10" t="str">
        <f>IF(ISNUMBER('Rates from Ireland Fedex Priort'!I225),_xlfn.CEILING.MATH('Rates from Ireland Fedex Priort'!I225,1)+IF($A226="EU",Variables!$B$6,Variables!$B$3),'Rates from Ireland Fedex Priort'!I225)</f>
        <v>No service</v>
      </c>
      <c r="J226" s="10" t="str">
        <f>IF(ISNUMBER('Rates from Ireland Fedex Priort'!J225),_xlfn.CEILING.MATH('Rates from Ireland Fedex Priort'!J225,1)+IF($A226="EU",Variables!$B$6,Variables!$B$3),'Rates from Ireland Fedex Priort'!J225)</f>
        <v>No service</v>
      </c>
      <c r="K226" s="10" t="str">
        <f>IF(ISNUMBER('Rates from Ireland Fedex Priort'!K225),_xlfn.CEILING.MATH('Rates from Ireland Fedex Priort'!K225,1)+IF($A226="EU",Variables!$B$6,Variables!$B$3),'Rates from Ireland Fedex Priort'!K225)</f>
        <v>No service</v>
      </c>
      <c r="L226" s="10" t="str">
        <f>IF(ISNUMBER('Rates from Ireland Fedex Priort'!L225),_xlfn.CEILING.MATH('Rates from Ireland Fedex Priort'!L225,1)+IF($A226="EU",Variables!$B$6,Variables!$B$3),'Rates from Ireland Fedex Priort'!L225)</f>
        <v>No service</v>
      </c>
      <c r="M226" s="10" t="str">
        <f>IF(ISNUMBER('Rates from Ireland Fedex Priort'!M225),_xlfn.CEILING.MATH('Rates from Ireland Fedex Priort'!M225,1)+IF($A226="EU",Variables!$B$6,Variables!$B$3),'Rates from Ireland Fedex Priort'!M225)</f>
        <v>No service</v>
      </c>
      <c r="N226" s="10" t="str">
        <f>IF(ISNUMBER('Rates from Ireland Fedex Priort'!N225),_xlfn.CEILING.MATH('Rates from Ireland Fedex Priort'!N225,1)+IF($A226="EU",Variables!$B$6,Variables!$B$3),'Rates from Ireland Fedex Priort'!N225)</f>
        <v>No service</v>
      </c>
      <c r="O226" s="11"/>
      <c r="P226" s="11"/>
      <c r="Q226" s="11"/>
      <c r="R226" s="11"/>
      <c r="S226" s="3" t="s">
        <v>26</v>
      </c>
      <c r="T226" s="38" t="s">
        <v>27</v>
      </c>
    </row>
    <row r="227" spans="1:20" ht="15.75" customHeight="1" x14ac:dyDescent="0.3">
      <c r="A227" s="39" t="str">
        <f>IF('Rates from Ireland Fedex Priort'!A226="","",'Rates from Ireland Fedex Priort'!A226)</f>
        <v>EU</v>
      </c>
      <c r="B227" s="8" t="str">
        <f>IF('Rates from Ireland Fedex Priort'!B226="","",'Rates from Ireland Fedex Priort'!B226)</f>
        <v>Ireland</v>
      </c>
      <c r="C227" s="9" t="str">
        <f>IF('Rates from Ireland Fedex Priort'!C226="","",'Rates from Ireland Fedex Priort'!C226)</f>
        <v>Tonga</v>
      </c>
      <c r="D227" s="10">
        <f>IF(ISNUMBER('Rates from Ireland Fedex Priort'!D226),_xlfn.CEILING.MATH('Rates from Ireland Fedex Priort'!D226,1)+IF($A227="EU",Variables!$B$5,Variables!$B$2),'Rates from Ireland Fedex Priort'!D226)</f>
        <v>75</v>
      </c>
      <c r="E227" s="10">
        <f>IF(ISNUMBER('Rates from Ireland Fedex Priort'!E226),_xlfn.CEILING.MATH('Rates from Ireland Fedex Priort'!E226,1)+IF($A227="EU",Variables!$B$6,Variables!$B$3),'Rates from Ireland Fedex Priort'!E226)</f>
        <v>83</v>
      </c>
      <c r="F227" s="10">
        <f>IF(ISNUMBER('Rates from Ireland Fedex Priort'!F226),_xlfn.CEILING.MATH('Rates from Ireland Fedex Priort'!F226,1)+IF($A227="EU",Variables!$B$6,Variables!$B$3),'Rates from Ireland Fedex Priort'!F226)</f>
        <v>88</v>
      </c>
      <c r="G227" s="10">
        <f>IF(ISNUMBER('Rates from Ireland Fedex Priort'!G226),_xlfn.CEILING.MATH('Rates from Ireland Fedex Priort'!G226,1)+IF($A227="EU",Variables!$B$6,Variables!$B$3),'Rates from Ireland Fedex Priort'!G226)</f>
        <v>106</v>
      </c>
      <c r="H227" s="10">
        <f>IF(ISNUMBER('Rates from Ireland Fedex Priort'!H226),_xlfn.CEILING.MATH('Rates from Ireland Fedex Priort'!H226,1)+IF($A227="EU",Variables!$B$6,Variables!$B$3),'Rates from Ireland Fedex Priort'!H226)</f>
        <v>134</v>
      </c>
      <c r="I227" s="10">
        <f>IF(ISNUMBER('Rates from Ireland Fedex Priort'!I226),_xlfn.CEILING.MATH('Rates from Ireland Fedex Priort'!I226,1)+IF($A227="EU",Variables!$B$6,Variables!$B$3),'Rates from Ireland Fedex Priort'!I226)</f>
        <v>242</v>
      </c>
      <c r="J227" s="10" t="str">
        <f>IF(ISNUMBER('Rates from Ireland Fedex Priort'!J226),_xlfn.CEILING.MATH('Rates from Ireland Fedex Priort'!J226,1)+IF($A227="EU",Variables!$B$6,Variables!$B$3),'Rates from Ireland Fedex Priort'!J226)</f>
        <v>No service</v>
      </c>
      <c r="K227" s="10" t="str">
        <f>IF(ISNUMBER('Rates from Ireland Fedex Priort'!K226),_xlfn.CEILING.MATH('Rates from Ireland Fedex Priort'!K226,1)+IF($A227="EU",Variables!$B$6,Variables!$B$3),'Rates from Ireland Fedex Priort'!K226)</f>
        <v>No service</v>
      </c>
      <c r="L227" s="10" t="str">
        <f>IF(ISNUMBER('Rates from Ireland Fedex Priort'!L226),_xlfn.CEILING.MATH('Rates from Ireland Fedex Priort'!L226,1)+IF($A227="EU",Variables!$B$6,Variables!$B$3),'Rates from Ireland Fedex Priort'!L226)</f>
        <v>No service</v>
      </c>
      <c r="M227" s="10" t="str">
        <f>IF(ISNUMBER('Rates from Ireland Fedex Priort'!M226),_xlfn.CEILING.MATH('Rates from Ireland Fedex Priort'!M226,1)+IF($A227="EU",Variables!$B$6,Variables!$B$3),'Rates from Ireland Fedex Priort'!M226)</f>
        <v>No service</v>
      </c>
      <c r="N227" s="10">
        <f>IF(ISNUMBER('Rates from Ireland Fedex Priort'!N226),_xlfn.CEILING.MATH('Rates from Ireland Fedex Priort'!N226,1)+IF($A227="EU",Variables!$B$6,Variables!$B$3),'Rates from Ireland Fedex Priort'!N226)</f>
        <v>454</v>
      </c>
      <c r="O227" s="11" t="s">
        <v>271</v>
      </c>
      <c r="P227" s="11" t="s">
        <v>271</v>
      </c>
      <c r="Q227" s="12">
        <v>80</v>
      </c>
      <c r="R227" s="11" t="s">
        <v>25</v>
      </c>
      <c r="S227" s="3" t="s">
        <v>26</v>
      </c>
      <c r="T227" s="38" t="s">
        <v>27</v>
      </c>
    </row>
    <row r="228" spans="1:20" ht="15.75" customHeight="1" x14ac:dyDescent="0.3">
      <c r="A228" s="39" t="str">
        <f>IF('Rates from Ireland Fedex Priort'!A227="","",'Rates from Ireland Fedex Priort'!A227)</f>
        <v>EU</v>
      </c>
      <c r="B228" s="8" t="str">
        <f>IF('Rates from Ireland Fedex Priort'!B227="","",'Rates from Ireland Fedex Priort'!B227)</f>
        <v>Ireland</v>
      </c>
      <c r="C228" s="9" t="str">
        <f>IF('Rates from Ireland Fedex Priort'!C227="","",'Rates from Ireland Fedex Priort'!C227)</f>
        <v>Transnistria</v>
      </c>
      <c r="D228" s="10">
        <f>IF(ISNUMBER('Rates from Ireland Fedex Priort'!D227),_xlfn.CEILING.MATH('Rates from Ireland Fedex Priort'!D227,1)+IF($A228="EU",Variables!$B$5,Variables!$B$2),'Rates from Ireland Fedex Priort'!D227)</f>
        <v>76</v>
      </c>
      <c r="E228" s="10">
        <f>IF(ISNUMBER('Rates from Ireland Fedex Priort'!E227),_xlfn.CEILING.MATH('Rates from Ireland Fedex Priort'!E227,1)+IF($A228="EU",Variables!$B$6,Variables!$B$3),'Rates from Ireland Fedex Priort'!E227)</f>
        <v>86</v>
      </c>
      <c r="F228" s="10">
        <f>IF(ISNUMBER('Rates from Ireland Fedex Priort'!F227),_xlfn.CEILING.MATH('Rates from Ireland Fedex Priort'!F227,1)+IF($A228="EU",Variables!$B$6,Variables!$B$3),'Rates from Ireland Fedex Priort'!F227)</f>
        <v>85</v>
      </c>
      <c r="G228" s="10">
        <f>IF(ISNUMBER('Rates from Ireland Fedex Priort'!G227),_xlfn.CEILING.MATH('Rates from Ireland Fedex Priort'!G227,1)+IF($A228="EU",Variables!$B$6,Variables!$B$3),'Rates from Ireland Fedex Priort'!G227)</f>
        <v>94</v>
      </c>
      <c r="H228" s="10">
        <f>IF(ISNUMBER('Rates from Ireland Fedex Priort'!H227),_xlfn.CEILING.MATH('Rates from Ireland Fedex Priort'!H227,1)+IF($A228="EU",Variables!$B$6,Variables!$B$3),'Rates from Ireland Fedex Priort'!H227)</f>
        <v>97</v>
      </c>
      <c r="I228" s="10">
        <f>IF(ISNUMBER('Rates from Ireland Fedex Priort'!I227),_xlfn.CEILING.MATH('Rates from Ireland Fedex Priort'!I227,1)+IF($A228="EU",Variables!$B$6,Variables!$B$3),'Rates from Ireland Fedex Priort'!I227)</f>
        <v>107</v>
      </c>
      <c r="J228" s="10" t="str">
        <f>IF(ISNUMBER('Rates from Ireland Fedex Priort'!J227),_xlfn.CEILING.MATH('Rates from Ireland Fedex Priort'!J227,1)+IF($A228="EU",Variables!$B$6,Variables!$B$3),'Rates from Ireland Fedex Priort'!J227)</f>
        <v>No service</v>
      </c>
      <c r="K228" s="10" t="str">
        <f>IF(ISNUMBER('Rates from Ireland Fedex Priort'!K227),_xlfn.CEILING.MATH('Rates from Ireland Fedex Priort'!K227,1)+IF($A228="EU",Variables!$B$6,Variables!$B$3),'Rates from Ireland Fedex Priort'!K227)</f>
        <v>No service</v>
      </c>
      <c r="L228" s="10" t="str">
        <f>IF(ISNUMBER('Rates from Ireland Fedex Priort'!L227),_xlfn.CEILING.MATH('Rates from Ireland Fedex Priort'!L227,1)+IF($A228="EU",Variables!$B$6,Variables!$B$3),'Rates from Ireland Fedex Priort'!L227)</f>
        <v>No service</v>
      </c>
      <c r="M228" s="10" t="str">
        <f>IF(ISNUMBER('Rates from Ireland Fedex Priort'!M227),_xlfn.CEILING.MATH('Rates from Ireland Fedex Priort'!M227,1)+IF($A228="EU",Variables!$B$6,Variables!$B$3),'Rates from Ireland Fedex Priort'!M227)</f>
        <v>No service</v>
      </c>
      <c r="N228" s="10">
        <f>IF(ISNUMBER('Rates from Ireland Fedex Priort'!N227),_xlfn.CEILING.MATH('Rates from Ireland Fedex Priort'!N227,1)+IF($A228="EU",Variables!$B$6,Variables!$B$3),'Rates from Ireland Fedex Priort'!N227)</f>
        <v>164</v>
      </c>
      <c r="O228" s="11" t="s">
        <v>61</v>
      </c>
      <c r="P228" s="11" t="s">
        <v>187</v>
      </c>
      <c r="Q228" s="12">
        <v>80</v>
      </c>
      <c r="R228" s="11" t="s">
        <v>25</v>
      </c>
      <c r="S228" s="3" t="s">
        <v>26</v>
      </c>
      <c r="T228" s="38" t="s">
        <v>27</v>
      </c>
    </row>
    <row r="229" spans="1:20" ht="15.75" customHeight="1" x14ac:dyDescent="0.3">
      <c r="A229" s="39" t="str">
        <f>IF('Rates from Ireland Fedex Priort'!A228="","",'Rates from Ireland Fedex Priort'!A228)</f>
        <v>EU</v>
      </c>
      <c r="B229" s="8" t="str">
        <f>IF('Rates from Ireland Fedex Priort'!B228="","",'Rates from Ireland Fedex Priort'!B228)</f>
        <v>Ireland</v>
      </c>
      <c r="C229" s="9" t="str">
        <f>IF('Rates from Ireland Fedex Priort'!C228="","",'Rates from Ireland Fedex Priort'!C228)</f>
        <v>Trinidad and Tobago</v>
      </c>
      <c r="D229" s="10">
        <f>IF(ISNUMBER('Rates from Ireland Fedex Priort'!D228),_xlfn.CEILING.MATH('Rates from Ireland Fedex Priort'!D228,1)+IF($A229="EU",Variables!$B$5,Variables!$B$2),'Rates from Ireland Fedex Priort'!D228)</f>
        <v>71</v>
      </c>
      <c r="E229" s="10">
        <f>IF(ISNUMBER('Rates from Ireland Fedex Priort'!E228),_xlfn.CEILING.MATH('Rates from Ireland Fedex Priort'!E228,1)+IF($A229="EU",Variables!$B$6,Variables!$B$3),'Rates from Ireland Fedex Priort'!E228)</f>
        <v>77</v>
      </c>
      <c r="F229" s="10">
        <f>IF(ISNUMBER('Rates from Ireland Fedex Priort'!F228),_xlfn.CEILING.MATH('Rates from Ireland Fedex Priort'!F228,1)+IF($A229="EU",Variables!$B$6,Variables!$B$3),'Rates from Ireland Fedex Priort'!F228)</f>
        <v>81</v>
      </c>
      <c r="G229" s="10">
        <f>IF(ISNUMBER('Rates from Ireland Fedex Priort'!G228),_xlfn.CEILING.MATH('Rates from Ireland Fedex Priort'!G228,1)+IF($A229="EU",Variables!$B$6,Variables!$B$3),'Rates from Ireland Fedex Priort'!G228)</f>
        <v>96</v>
      </c>
      <c r="H229" s="10">
        <f>IF(ISNUMBER('Rates from Ireland Fedex Priort'!H228),_xlfn.CEILING.MATH('Rates from Ireland Fedex Priort'!H228,1)+IF($A229="EU",Variables!$B$6,Variables!$B$3),'Rates from Ireland Fedex Priort'!H228)</f>
        <v>117</v>
      </c>
      <c r="I229" s="10">
        <f>IF(ISNUMBER('Rates from Ireland Fedex Priort'!I228),_xlfn.CEILING.MATH('Rates from Ireland Fedex Priort'!I228,1)+IF($A229="EU",Variables!$B$6,Variables!$B$3),'Rates from Ireland Fedex Priort'!I228)</f>
        <v>219</v>
      </c>
      <c r="J229" s="10" t="str">
        <f>IF(ISNUMBER('Rates from Ireland Fedex Priort'!J228),_xlfn.CEILING.MATH('Rates from Ireland Fedex Priort'!J228,1)+IF($A229="EU",Variables!$B$6,Variables!$B$3),'Rates from Ireland Fedex Priort'!J228)</f>
        <v>No service</v>
      </c>
      <c r="K229" s="10" t="str">
        <f>IF(ISNUMBER('Rates from Ireland Fedex Priort'!K228),_xlfn.CEILING.MATH('Rates from Ireland Fedex Priort'!K228,1)+IF($A229="EU",Variables!$B$6,Variables!$B$3),'Rates from Ireland Fedex Priort'!K228)</f>
        <v>No service</v>
      </c>
      <c r="L229" s="10" t="str">
        <f>IF(ISNUMBER('Rates from Ireland Fedex Priort'!L228),_xlfn.CEILING.MATH('Rates from Ireland Fedex Priort'!L228,1)+IF($A229="EU",Variables!$B$6,Variables!$B$3),'Rates from Ireland Fedex Priort'!L228)</f>
        <v>No service</v>
      </c>
      <c r="M229" s="10" t="str">
        <f>IF(ISNUMBER('Rates from Ireland Fedex Priort'!M228),_xlfn.CEILING.MATH('Rates from Ireland Fedex Priort'!M228,1)+IF($A229="EU",Variables!$B$6,Variables!$B$3),'Rates from Ireland Fedex Priort'!M228)</f>
        <v>No service</v>
      </c>
      <c r="N229" s="10">
        <f>IF(ISNUMBER('Rates from Ireland Fedex Priort'!N228),_xlfn.CEILING.MATH('Rates from Ireland Fedex Priort'!N228,1)+IF($A229="EU",Variables!$B$6,Variables!$B$3),'Rates from Ireland Fedex Priort'!N228)</f>
        <v>422</v>
      </c>
      <c r="O229" s="11" t="s">
        <v>23</v>
      </c>
      <c r="P229" s="11" t="s">
        <v>24</v>
      </c>
      <c r="Q229" s="12">
        <v>80</v>
      </c>
      <c r="R229" s="11" t="s">
        <v>25</v>
      </c>
      <c r="S229" s="3" t="s">
        <v>26</v>
      </c>
      <c r="T229" s="38" t="s">
        <v>27</v>
      </c>
    </row>
    <row r="230" spans="1:20" ht="15.75" customHeight="1" x14ac:dyDescent="0.3">
      <c r="A230" s="39" t="str">
        <f>IF('Rates from Ireland Fedex Priort'!A229="","",'Rates from Ireland Fedex Priort'!A229)</f>
        <v>EU</v>
      </c>
      <c r="B230" s="8" t="str">
        <f>IF('Rates from Ireland Fedex Priort'!B229="","",'Rates from Ireland Fedex Priort'!B229)</f>
        <v>Ireland</v>
      </c>
      <c r="C230" s="9" t="str">
        <f>IF('Rates from Ireland Fedex Priort'!C229="","",'Rates from Ireland Fedex Priort'!C229)</f>
        <v>Tunisia</v>
      </c>
      <c r="D230" s="10">
        <f>IF(ISNUMBER('Rates from Ireland Fedex Priort'!D229),_xlfn.CEILING.MATH('Rates from Ireland Fedex Priort'!D229,1)+IF($A230="EU",Variables!$B$5,Variables!$B$2),'Rates from Ireland Fedex Priort'!D229)</f>
        <v>67</v>
      </c>
      <c r="E230" s="10">
        <f>IF(ISNUMBER('Rates from Ireland Fedex Priort'!E229),_xlfn.CEILING.MATH('Rates from Ireland Fedex Priort'!E229,1)+IF($A230="EU",Variables!$B$6,Variables!$B$3),'Rates from Ireland Fedex Priort'!E229)</f>
        <v>69</v>
      </c>
      <c r="F230" s="10">
        <f>IF(ISNUMBER('Rates from Ireland Fedex Priort'!F229),_xlfn.CEILING.MATH('Rates from Ireland Fedex Priort'!F229,1)+IF($A230="EU",Variables!$B$6,Variables!$B$3),'Rates from Ireland Fedex Priort'!F229)</f>
        <v>72</v>
      </c>
      <c r="G230" s="10">
        <f>IF(ISNUMBER('Rates from Ireland Fedex Priort'!G229),_xlfn.CEILING.MATH('Rates from Ireland Fedex Priort'!G229,1)+IF($A230="EU",Variables!$B$6,Variables!$B$3),'Rates from Ireland Fedex Priort'!G229)</f>
        <v>88</v>
      </c>
      <c r="H230" s="10">
        <f>IF(ISNUMBER('Rates from Ireland Fedex Priort'!H229),_xlfn.CEILING.MATH('Rates from Ireland Fedex Priort'!H229,1)+IF($A230="EU",Variables!$B$6,Variables!$B$3),'Rates from Ireland Fedex Priort'!H229)</f>
        <v>111</v>
      </c>
      <c r="I230" s="10">
        <f>IF(ISNUMBER('Rates from Ireland Fedex Priort'!I229),_xlfn.CEILING.MATH('Rates from Ireland Fedex Priort'!I229,1)+IF($A230="EU",Variables!$B$6,Variables!$B$3),'Rates from Ireland Fedex Priort'!I229)</f>
        <v>174</v>
      </c>
      <c r="J230" s="10" t="str">
        <f>IF(ISNUMBER('Rates from Ireland Fedex Priort'!J229),_xlfn.CEILING.MATH('Rates from Ireland Fedex Priort'!J229,1)+IF($A230="EU",Variables!$B$6,Variables!$B$3),'Rates from Ireland Fedex Priort'!J229)</f>
        <v>No service</v>
      </c>
      <c r="K230" s="10" t="str">
        <f>IF(ISNUMBER('Rates from Ireland Fedex Priort'!K229),_xlfn.CEILING.MATH('Rates from Ireland Fedex Priort'!K229,1)+IF($A230="EU",Variables!$B$6,Variables!$B$3),'Rates from Ireland Fedex Priort'!K229)</f>
        <v>No service</v>
      </c>
      <c r="L230" s="10" t="str">
        <f>IF(ISNUMBER('Rates from Ireland Fedex Priort'!L229),_xlfn.CEILING.MATH('Rates from Ireland Fedex Priort'!L229,1)+IF($A230="EU",Variables!$B$6,Variables!$B$3),'Rates from Ireland Fedex Priort'!L229)</f>
        <v>No service</v>
      </c>
      <c r="M230" s="10" t="str">
        <f>IF(ISNUMBER('Rates from Ireland Fedex Priort'!M229),_xlfn.CEILING.MATH('Rates from Ireland Fedex Priort'!M229,1)+IF($A230="EU",Variables!$B$6,Variables!$B$3),'Rates from Ireland Fedex Priort'!M229)</f>
        <v>No service</v>
      </c>
      <c r="N230" s="10">
        <f>IF(ISNUMBER('Rates from Ireland Fedex Priort'!N229),_xlfn.CEILING.MATH('Rates from Ireland Fedex Priort'!N229,1)+IF($A230="EU",Variables!$B$6,Variables!$B$3),'Rates from Ireland Fedex Priort'!N229)</f>
        <v>309</v>
      </c>
      <c r="O230" s="11" t="s">
        <v>23</v>
      </c>
      <c r="P230" s="11" t="s">
        <v>24</v>
      </c>
      <c r="Q230" s="12">
        <v>80</v>
      </c>
      <c r="R230" s="11" t="s">
        <v>25</v>
      </c>
      <c r="S230" s="3" t="s">
        <v>26</v>
      </c>
      <c r="T230" s="38" t="s">
        <v>27</v>
      </c>
    </row>
    <row r="231" spans="1:20" ht="15.75" customHeight="1" x14ac:dyDescent="0.3">
      <c r="A231" s="39" t="str">
        <f>IF('Rates from Ireland Fedex Priort'!A230="","",'Rates from Ireland Fedex Priort'!A230)</f>
        <v>EU</v>
      </c>
      <c r="B231" s="8" t="str">
        <f>IF('Rates from Ireland Fedex Priort'!B230="","",'Rates from Ireland Fedex Priort'!B230)</f>
        <v>Ireland</v>
      </c>
      <c r="C231" s="9" t="str">
        <f>IF('Rates from Ireland Fedex Priort'!C230="","",'Rates from Ireland Fedex Priort'!C230)</f>
        <v>Turkey</v>
      </c>
      <c r="D231" s="10">
        <f>IF(ISNUMBER('Rates from Ireland Fedex Priort'!D230),_xlfn.CEILING.MATH('Rates from Ireland Fedex Priort'!D230,1)+IF($A231="EU",Variables!$B$5,Variables!$B$2),'Rates from Ireland Fedex Priort'!D230)</f>
        <v>78</v>
      </c>
      <c r="E231" s="10">
        <f>IF(ISNUMBER('Rates from Ireland Fedex Priort'!E230),_xlfn.CEILING.MATH('Rates from Ireland Fedex Priort'!E230,1)+IF($A231="EU",Variables!$B$6,Variables!$B$3),'Rates from Ireland Fedex Priort'!E230)</f>
        <v>86</v>
      </c>
      <c r="F231" s="10">
        <f>IF(ISNUMBER('Rates from Ireland Fedex Priort'!F230),_xlfn.CEILING.MATH('Rates from Ireland Fedex Priort'!F230,1)+IF($A231="EU",Variables!$B$6,Variables!$B$3),'Rates from Ireland Fedex Priort'!F230)</f>
        <v>85</v>
      </c>
      <c r="G231" s="10">
        <f>IF(ISNUMBER('Rates from Ireland Fedex Priort'!G230),_xlfn.CEILING.MATH('Rates from Ireland Fedex Priort'!G230,1)+IF($A231="EU",Variables!$B$6,Variables!$B$3),'Rates from Ireland Fedex Priort'!G230)</f>
        <v>94</v>
      </c>
      <c r="H231" s="10">
        <f>IF(ISNUMBER('Rates from Ireland Fedex Priort'!H230),_xlfn.CEILING.MATH('Rates from Ireland Fedex Priort'!H230,1)+IF($A231="EU",Variables!$B$6,Variables!$B$3),'Rates from Ireland Fedex Priort'!H230)</f>
        <v>97</v>
      </c>
      <c r="I231" s="10">
        <f>IF(ISNUMBER('Rates from Ireland Fedex Priort'!I230),_xlfn.CEILING.MATH('Rates from Ireland Fedex Priort'!I230,1)+IF($A231="EU",Variables!$B$6,Variables!$B$3),'Rates from Ireland Fedex Priort'!I230)</f>
        <v>107</v>
      </c>
      <c r="J231" s="10" t="str">
        <f>IF(ISNUMBER('Rates from Ireland Fedex Priort'!J230),_xlfn.CEILING.MATH('Rates from Ireland Fedex Priort'!J230,1)+IF($A231="EU",Variables!$B$6,Variables!$B$3),'Rates from Ireland Fedex Priort'!J230)</f>
        <v>No service</v>
      </c>
      <c r="K231" s="10" t="str">
        <f>IF(ISNUMBER('Rates from Ireland Fedex Priort'!K230),_xlfn.CEILING.MATH('Rates from Ireland Fedex Priort'!K230,1)+IF($A231="EU",Variables!$B$6,Variables!$B$3),'Rates from Ireland Fedex Priort'!K230)</f>
        <v>No service</v>
      </c>
      <c r="L231" s="10" t="str">
        <f>IF(ISNUMBER('Rates from Ireland Fedex Priort'!L230),_xlfn.CEILING.MATH('Rates from Ireland Fedex Priort'!L230,1)+IF($A231="EU",Variables!$B$6,Variables!$B$3),'Rates from Ireland Fedex Priort'!L230)</f>
        <v>No service</v>
      </c>
      <c r="M231" s="10" t="str">
        <f>IF(ISNUMBER('Rates from Ireland Fedex Priort'!M230),_xlfn.CEILING.MATH('Rates from Ireland Fedex Priort'!M230,1)+IF($A231="EU",Variables!$B$6,Variables!$B$3),'Rates from Ireland Fedex Priort'!M230)</f>
        <v>No service</v>
      </c>
      <c r="N231" s="10">
        <f>IF(ISNUMBER('Rates from Ireland Fedex Priort'!N230),_xlfn.CEILING.MATH('Rates from Ireland Fedex Priort'!N230,1)+IF($A231="EU",Variables!$B$6,Variables!$B$3),'Rates from Ireland Fedex Priort'!N230)</f>
        <v>164</v>
      </c>
      <c r="O231" s="11" t="s">
        <v>61</v>
      </c>
      <c r="P231" s="11" t="s">
        <v>187</v>
      </c>
      <c r="Q231" s="12">
        <v>80</v>
      </c>
      <c r="R231" s="11" t="s">
        <v>25</v>
      </c>
      <c r="S231" s="3" t="s">
        <v>26</v>
      </c>
      <c r="T231" s="38" t="s">
        <v>27</v>
      </c>
    </row>
    <row r="232" spans="1:20" ht="15.75" customHeight="1" x14ac:dyDescent="0.3">
      <c r="A232" s="39" t="str">
        <f>IF('Rates from Ireland Fedex Priort'!A231="","",'Rates from Ireland Fedex Priort'!A231)</f>
        <v>EU</v>
      </c>
      <c r="B232" s="8" t="str">
        <f>IF('Rates from Ireland Fedex Priort'!B231="","",'Rates from Ireland Fedex Priort'!B231)</f>
        <v>Ireland</v>
      </c>
      <c r="C232" s="9" t="str">
        <f>IF('Rates from Ireland Fedex Priort'!C231="","",'Rates from Ireland Fedex Priort'!C231)</f>
        <v>Turkmenistan</v>
      </c>
      <c r="D232" s="10" t="str">
        <f>IF(ISNUMBER('Rates from Ireland Fedex Priort'!D231),_xlfn.CEILING.MATH('Rates from Ireland Fedex Priort'!D231,1)+IF($A232="EU",Variables!$B$5,Variables!$B$2),'Rates from Ireland Fedex Priort'!D231)</f>
        <v>No service</v>
      </c>
      <c r="E232" s="10" t="str">
        <f>IF(ISNUMBER('Rates from Ireland Fedex Priort'!E231),_xlfn.CEILING.MATH('Rates from Ireland Fedex Priort'!E231,1)+IF($A232="EU",Variables!$B$6,Variables!$B$3),'Rates from Ireland Fedex Priort'!E231)</f>
        <v>No service</v>
      </c>
      <c r="F232" s="10" t="str">
        <f>IF(ISNUMBER('Rates from Ireland Fedex Priort'!F231),_xlfn.CEILING.MATH('Rates from Ireland Fedex Priort'!F231,1)+IF($A232="EU",Variables!$B$6,Variables!$B$3),'Rates from Ireland Fedex Priort'!F231)</f>
        <v>No service</v>
      </c>
      <c r="G232" s="10" t="str">
        <f>IF(ISNUMBER('Rates from Ireland Fedex Priort'!G231),_xlfn.CEILING.MATH('Rates from Ireland Fedex Priort'!G231,1)+IF($A232="EU",Variables!$B$6,Variables!$B$3),'Rates from Ireland Fedex Priort'!G231)</f>
        <v>No service</v>
      </c>
      <c r="H232" s="10" t="str">
        <f>IF(ISNUMBER('Rates from Ireland Fedex Priort'!H231),_xlfn.CEILING.MATH('Rates from Ireland Fedex Priort'!H231,1)+IF($A232="EU",Variables!$B$6,Variables!$B$3),'Rates from Ireland Fedex Priort'!H231)</f>
        <v>No service</v>
      </c>
      <c r="I232" s="10" t="str">
        <f>IF(ISNUMBER('Rates from Ireland Fedex Priort'!I231),_xlfn.CEILING.MATH('Rates from Ireland Fedex Priort'!I231,1)+IF($A232="EU",Variables!$B$6,Variables!$B$3),'Rates from Ireland Fedex Priort'!I231)</f>
        <v>No service</v>
      </c>
      <c r="J232" s="10" t="str">
        <f>IF(ISNUMBER('Rates from Ireland Fedex Priort'!J231),_xlfn.CEILING.MATH('Rates from Ireland Fedex Priort'!J231,1)+IF($A232="EU",Variables!$B$6,Variables!$B$3),'Rates from Ireland Fedex Priort'!J231)</f>
        <v>No service</v>
      </c>
      <c r="K232" s="10" t="str">
        <f>IF(ISNUMBER('Rates from Ireland Fedex Priort'!K231),_xlfn.CEILING.MATH('Rates from Ireland Fedex Priort'!K231,1)+IF($A232="EU",Variables!$B$6,Variables!$B$3),'Rates from Ireland Fedex Priort'!K231)</f>
        <v>No service</v>
      </c>
      <c r="L232" s="10" t="str">
        <f>IF(ISNUMBER('Rates from Ireland Fedex Priort'!L231),_xlfn.CEILING.MATH('Rates from Ireland Fedex Priort'!L231,1)+IF($A232="EU",Variables!$B$6,Variables!$B$3),'Rates from Ireland Fedex Priort'!L231)</f>
        <v>No service</v>
      </c>
      <c r="M232" s="10" t="str">
        <f>IF(ISNUMBER('Rates from Ireland Fedex Priort'!M231),_xlfn.CEILING.MATH('Rates from Ireland Fedex Priort'!M231,1)+IF($A232="EU",Variables!$B$6,Variables!$B$3),'Rates from Ireland Fedex Priort'!M231)</f>
        <v>No service</v>
      </c>
      <c r="N232" s="10" t="str">
        <f>IF(ISNUMBER('Rates from Ireland Fedex Priort'!N231),_xlfn.CEILING.MATH('Rates from Ireland Fedex Priort'!N231,1)+IF($A232="EU",Variables!$B$6,Variables!$B$3),'Rates from Ireland Fedex Priort'!N231)</f>
        <v>No service</v>
      </c>
      <c r="O232" s="11"/>
      <c r="P232" s="11"/>
      <c r="Q232" s="11"/>
      <c r="R232" s="11"/>
      <c r="S232" s="3" t="s">
        <v>26</v>
      </c>
      <c r="T232" s="38" t="s">
        <v>27</v>
      </c>
    </row>
    <row r="233" spans="1:20" ht="15.75" customHeight="1" x14ac:dyDescent="0.3">
      <c r="A233" s="39" t="str">
        <f>IF('Rates from Ireland Fedex Priort'!A232="","",'Rates from Ireland Fedex Priort'!A232)</f>
        <v>EU</v>
      </c>
      <c r="B233" s="8" t="str">
        <f>IF('Rates from Ireland Fedex Priort'!B232="","",'Rates from Ireland Fedex Priort'!B232)</f>
        <v>Ireland</v>
      </c>
      <c r="C233" s="9" t="str">
        <f>IF('Rates from Ireland Fedex Priort'!C232="","",'Rates from Ireland Fedex Priort'!C232)</f>
        <v xml:space="preserve">Turks and Caicos Islands </v>
      </c>
      <c r="D233" s="10">
        <f>IF(ISNUMBER('Rates from Ireland Fedex Priort'!D232),_xlfn.CEILING.MATH('Rates from Ireland Fedex Priort'!D232,1)+IF($A233="EU",Variables!$B$5,Variables!$B$2),'Rates from Ireland Fedex Priort'!D232)</f>
        <v>71</v>
      </c>
      <c r="E233" s="10">
        <f>IF(ISNUMBER('Rates from Ireland Fedex Priort'!E232),_xlfn.CEILING.MATH('Rates from Ireland Fedex Priort'!E232,1)+IF($A233="EU",Variables!$B$6,Variables!$B$3),'Rates from Ireland Fedex Priort'!E232)</f>
        <v>77</v>
      </c>
      <c r="F233" s="10">
        <f>IF(ISNUMBER('Rates from Ireland Fedex Priort'!F232),_xlfn.CEILING.MATH('Rates from Ireland Fedex Priort'!F232,1)+IF($A233="EU",Variables!$B$6,Variables!$B$3),'Rates from Ireland Fedex Priort'!F232)</f>
        <v>81</v>
      </c>
      <c r="G233" s="10">
        <f>IF(ISNUMBER('Rates from Ireland Fedex Priort'!G232),_xlfn.CEILING.MATH('Rates from Ireland Fedex Priort'!G232,1)+IF($A233="EU",Variables!$B$6,Variables!$B$3),'Rates from Ireland Fedex Priort'!G232)</f>
        <v>96</v>
      </c>
      <c r="H233" s="10">
        <f>IF(ISNUMBER('Rates from Ireland Fedex Priort'!H232),_xlfn.CEILING.MATH('Rates from Ireland Fedex Priort'!H232,1)+IF($A233="EU",Variables!$B$6,Variables!$B$3),'Rates from Ireland Fedex Priort'!H232)</f>
        <v>117</v>
      </c>
      <c r="I233" s="10">
        <f>IF(ISNUMBER('Rates from Ireland Fedex Priort'!I232),_xlfn.CEILING.MATH('Rates from Ireland Fedex Priort'!I232,1)+IF($A233="EU",Variables!$B$6,Variables!$B$3),'Rates from Ireland Fedex Priort'!I232)</f>
        <v>219</v>
      </c>
      <c r="J233" s="10" t="str">
        <f>IF(ISNUMBER('Rates from Ireland Fedex Priort'!J232),_xlfn.CEILING.MATH('Rates from Ireland Fedex Priort'!J232,1)+IF($A233="EU",Variables!$B$6,Variables!$B$3),'Rates from Ireland Fedex Priort'!J232)</f>
        <v>No service</v>
      </c>
      <c r="K233" s="10" t="str">
        <f>IF(ISNUMBER('Rates from Ireland Fedex Priort'!K232),_xlfn.CEILING.MATH('Rates from Ireland Fedex Priort'!K232,1)+IF($A233="EU",Variables!$B$6,Variables!$B$3),'Rates from Ireland Fedex Priort'!K232)</f>
        <v>No service</v>
      </c>
      <c r="L233" s="10" t="str">
        <f>IF(ISNUMBER('Rates from Ireland Fedex Priort'!L232),_xlfn.CEILING.MATH('Rates from Ireland Fedex Priort'!L232,1)+IF($A233="EU",Variables!$B$6,Variables!$B$3),'Rates from Ireland Fedex Priort'!L232)</f>
        <v>No service</v>
      </c>
      <c r="M233" s="10" t="str">
        <f>IF(ISNUMBER('Rates from Ireland Fedex Priort'!M232),_xlfn.CEILING.MATH('Rates from Ireland Fedex Priort'!M232,1)+IF($A233="EU",Variables!$B$6,Variables!$B$3),'Rates from Ireland Fedex Priort'!M232)</f>
        <v>No service</v>
      </c>
      <c r="N233" s="10">
        <f>IF(ISNUMBER('Rates from Ireland Fedex Priort'!N232),_xlfn.CEILING.MATH('Rates from Ireland Fedex Priort'!N232,1)+IF($A233="EU",Variables!$B$6,Variables!$B$3),'Rates from Ireland Fedex Priort'!N232)</f>
        <v>422</v>
      </c>
      <c r="O233" s="11" t="s">
        <v>23</v>
      </c>
      <c r="P233" s="11" t="s">
        <v>24</v>
      </c>
      <c r="Q233" s="12">
        <v>80</v>
      </c>
      <c r="R233" s="11" t="s">
        <v>25</v>
      </c>
      <c r="S233" s="3" t="s">
        <v>26</v>
      </c>
      <c r="T233" s="38" t="s">
        <v>27</v>
      </c>
    </row>
    <row r="234" spans="1:20" ht="15.75" customHeight="1" x14ac:dyDescent="0.3">
      <c r="A234" s="39" t="str">
        <f>IF('Rates from Ireland Fedex Priort'!A233="","",'Rates from Ireland Fedex Priort'!A233)</f>
        <v>EU</v>
      </c>
      <c r="B234" s="8" t="str">
        <f>IF('Rates from Ireland Fedex Priort'!B233="","",'Rates from Ireland Fedex Priort'!B233)</f>
        <v>Ireland</v>
      </c>
      <c r="C234" s="9" t="str">
        <f>IF('Rates from Ireland Fedex Priort'!C233="","",'Rates from Ireland Fedex Priort'!C233)</f>
        <v>Tuvalu</v>
      </c>
      <c r="D234" s="10" t="str">
        <f>IF(ISNUMBER('Rates from Ireland Fedex Priort'!D233),_xlfn.CEILING.MATH('Rates from Ireland Fedex Priort'!D233,1)+IF($A234="EU",Variables!$B$5,Variables!$B$2),'Rates from Ireland Fedex Priort'!D233)</f>
        <v>No service</v>
      </c>
      <c r="E234" s="10" t="str">
        <f>IF(ISNUMBER('Rates from Ireland Fedex Priort'!E233),_xlfn.CEILING.MATH('Rates from Ireland Fedex Priort'!E233,1)+IF($A234="EU",Variables!$B$6,Variables!$B$3),'Rates from Ireland Fedex Priort'!E233)</f>
        <v>No service</v>
      </c>
      <c r="F234" s="10" t="str">
        <f>IF(ISNUMBER('Rates from Ireland Fedex Priort'!F233),_xlfn.CEILING.MATH('Rates from Ireland Fedex Priort'!F233,1)+IF($A234="EU",Variables!$B$6,Variables!$B$3),'Rates from Ireland Fedex Priort'!F233)</f>
        <v>No service</v>
      </c>
      <c r="G234" s="10" t="str">
        <f>IF(ISNUMBER('Rates from Ireland Fedex Priort'!G233),_xlfn.CEILING.MATH('Rates from Ireland Fedex Priort'!G233,1)+IF($A234="EU",Variables!$B$6,Variables!$B$3),'Rates from Ireland Fedex Priort'!G233)</f>
        <v>No service</v>
      </c>
      <c r="H234" s="10" t="str">
        <f>IF(ISNUMBER('Rates from Ireland Fedex Priort'!H233),_xlfn.CEILING.MATH('Rates from Ireland Fedex Priort'!H233,1)+IF($A234="EU",Variables!$B$6,Variables!$B$3),'Rates from Ireland Fedex Priort'!H233)</f>
        <v>No service</v>
      </c>
      <c r="I234" s="10" t="str">
        <f>IF(ISNUMBER('Rates from Ireland Fedex Priort'!I233),_xlfn.CEILING.MATH('Rates from Ireland Fedex Priort'!I233,1)+IF($A234="EU",Variables!$B$6,Variables!$B$3),'Rates from Ireland Fedex Priort'!I233)</f>
        <v>No service</v>
      </c>
      <c r="J234" s="10" t="str">
        <f>IF(ISNUMBER('Rates from Ireland Fedex Priort'!J233),_xlfn.CEILING.MATH('Rates from Ireland Fedex Priort'!J233,1)+IF($A234="EU",Variables!$B$6,Variables!$B$3),'Rates from Ireland Fedex Priort'!J233)</f>
        <v>No service</v>
      </c>
      <c r="K234" s="10" t="str">
        <f>IF(ISNUMBER('Rates from Ireland Fedex Priort'!K233),_xlfn.CEILING.MATH('Rates from Ireland Fedex Priort'!K233,1)+IF($A234="EU",Variables!$B$6,Variables!$B$3),'Rates from Ireland Fedex Priort'!K233)</f>
        <v>No service</v>
      </c>
      <c r="L234" s="10" t="str">
        <f>IF(ISNUMBER('Rates from Ireland Fedex Priort'!L233),_xlfn.CEILING.MATH('Rates from Ireland Fedex Priort'!L233,1)+IF($A234="EU",Variables!$B$6,Variables!$B$3),'Rates from Ireland Fedex Priort'!L233)</f>
        <v>No service</v>
      </c>
      <c r="M234" s="10" t="str">
        <f>IF(ISNUMBER('Rates from Ireland Fedex Priort'!M233),_xlfn.CEILING.MATH('Rates from Ireland Fedex Priort'!M233,1)+IF($A234="EU",Variables!$B$6,Variables!$B$3),'Rates from Ireland Fedex Priort'!M233)</f>
        <v>No service</v>
      </c>
      <c r="N234" s="10" t="str">
        <f>IF(ISNUMBER('Rates from Ireland Fedex Priort'!N233),_xlfn.CEILING.MATH('Rates from Ireland Fedex Priort'!N233,1)+IF($A234="EU",Variables!$B$6,Variables!$B$3),'Rates from Ireland Fedex Priort'!N233)</f>
        <v>No service</v>
      </c>
      <c r="O234" s="11"/>
      <c r="P234" s="11"/>
      <c r="Q234" s="11"/>
      <c r="R234" s="11"/>
      <c r="S234" s="3" t="s">
        <v>26</v>
      </c>
      <c r="T234" s="38" t="s">
        <v>27</v>
      </c>
    </row>
    <row r="235" spans="1:20" ht="15.75" customHeight="1" x14ac:dyDescent="0.3">
      <c r="A235" s="39" t="str">
        <f>IF('Rates from Ireland Fedex Priort'!A234="","",'Rates from Ireland Fedex Priort'!A234)</f>
        <v>EU</v>
      </c>
      <c r="B235" s="8" t="str">
        <f>IF('Rates from Ireland Fedex Priort'!B234="","",'Rates from Ireland Fedex Priort'!B234)</f>
        <v>Ireland</v>
      </c>
      <c r="C235" s="9" t="str">
        <f>IF('Rates from Ireland Fedex Priort'!C234="","",'Rates from Ireland Fedex Priort'!C234)</f>
        <v>U.S. Virgin Islands (US)</v>
      </c>
      <c r="D235" s="10" t="str">
        <f>IF(ISNUMBER('Rates from Ireland Fedex Priort'!D234),_xlfn.CEILING.MATH('Rates from Ireland Fedex Priort'!D234,1)+IF($A235="EU",Variables!$B$5,Variables!$B$2),'Rates from Ireland Fedex Priort'!D234)</f>
        <v>No service</v>
      </c>
      <c r="E235" s="10" t="str">
        <f>IF(ISNUMBER('Rates from Ireland Fedex Priort'!E234),_xlfn.CEILING.MATH('Rates from Ireland Fedex Priort'!E234,1)+IF($A235="EU",Variables!$B$6,Variables!$B$3),'Rates from Ireland Fedex Priort'!E234)</f>
        <v>No service</v>
      </c>
      <c r="F235" s="10" t="str">
        <f>IF(ISNUMBER('Rates from Ireland Fedex Priort'!F234),_xlfn.CEILING.MATH('Rates from Ireland Fedex Priort'!F234,1)+IF($A235="EU",Variables!$B$6,Variables!$B$3),'Rates from Ireland Fedex Priort'!F234)</f>
        <v>No service</v>
      </c>
      <c r="G235" s="10" t="str">
        <f>IF(ISNUMBER('Rates from Ireland Fedex Priort'!G234),_xlfn.CEILING.MATH('Rates from Ireland Fedex Priort'!G234,1)+IF($A235="EU",Variables!$B$6,Variables!$B$3),'Rates from Ireland Fedex Priort'!G234)</f>
        <v>No service</v>
      </c>
      <c r="H235" s="10" t="str">
        <f>IF(ISNUMBER('Rates from Ireland Fedex Priort'!H234),_xlfn.CEILING.MATH('Rates from Ireland Fedex Priort'!H234,1)+IF($A235="EU",Variables!$B$6,Variables!$B$3),'Rates from Ireland Fedex Priort'!H234)</f>
        <v>No service</v>
      </c>
      <c r="I235" s="10" t="str">
        <f>IF(ISNUMBER('Rates from Ireland Fedex Priort'!I234),_xlfn.CEILING.MATH('Rates from Ireland Fedex Priort'!I234,1)+IF($A235="EU",Variables!$B$6,Variables!$B$3),'Rates from Ireland Fedex Priort'!I234)</f>
        <v>No service</v>
      </c>
      <c r="J235" s="10" t="str">
        <f>IF(ISNUMBER('Rates from Ireland Fedex Priort'!J234),_xlfn.CEILING.MATH('Rates from Ireland Fedex Priort'!J234,1)+IF($A235="EU",Variables!$B$6,Variables!$B$3),'Rates from Ireland Fedex Priort'!J234)</f>
        <v>No service</v>
      </c>
      <c r="K235" s="10" t="str">
        <f>IF(ISNUMBER('Rates from Ireland Fedex Priort'!K234),_xlfn.CEILING.MATH('Rates from Ireland Fedex Priort'!K234,1)+IF($A235="EU",Variables!$B$6,Variables!$B$3),'Rates from Ireland Fedex Priort'!K234)</f>
        <v>No service</v>
      </c>
      <c r="L235" s="10" t="str">
        <f>IF(ISNUMBER('Rates from Ireland Fedex Priort'!L234),_xlfn.CEILING.MATH('Rates from Ireland Fedex Priort'!L234,1)+IF($A235="EU",Variables!$B$6,Variables!$B$3),'Rates from Ireland Fedex Priort'!L234)</f>
        <v>No service</v>
      </c>
      <c r="M235" s="10" t="str">
        <f>IF(ISNUMBER('Rates from Ireland Fedex Priort'!M234),_xlfn.CEILING.MATH('Rates from Ireland Fedex Priort'!M234,1)+IF($A235="EU",Variables!$B$6,Variables!$B$3),'Rates from Ireland Fedex Priort'!M234)</f>
        <v>No service</v>
      </c>
      <c r="N235" s="10" t="str">
        <f>IF(ISNUMBER('Rates from Ireland Fedex Priort'!N234),_xlfn.CEILING.MATH('Rates from Ireland Fedex Priort'!N234,1)+IF($A235="EU",Variables!$B$6,Variables!$B$3),'Rates from Ireland Fedex Priort'!N234)</f>
        <v>No service</v>
      </c>
      <c r="O235" s="11"/>
      <c r="P235" s="11"/>
      <c r="Q235" s="11"/>
      <c r="R235" s="11"/>
      <c r="S235" s="3" t="s">
        <v>26</v>
      </c>
      <c r="T235" s="38" t="s">
        <v>27</v>
      </c>
    </row>
    <row r="236" spans="1:20" ht="15.75" customHeight="1" x14ac:dyDescent="0.3">
      <c r="A236" s="39" t="str">
        <f>IF('Rates from Ireland Fedex Priort'!A235="","",'Rates from Ireland Fedex Priort'!A235)</f>
        <v>EU</v>
      </c>
      <c r="B236" s="8" t="str">
        <f>IF('Rates from Ireland Fedex Priort'!B235="","",'Rates from Ireland Fedex Priort'!B235)</f>
        <v>Ireland</v>
      </c>
      <c r="C236" s="9" t="str">
        <f>IF('Rates from Ireland Fedex Priort'!C235="","",'Rates from Ireland Fedex Priort'!C235)</f>
        <v>Uganda</v>
      </c>
      <c r="D236" s="10">
        <f>IF(ISNUMBER('Rates from Ireland Fedex Priort'!D235),_xlfn.CEILING.MATH('Rates from Ireland Fedex Priort'!D235,1)+IF($A236="EU",Variables!$B$5,Variables!$B$2),'Rates from Ireland Fedex Priort'!D235)</f>
        <v>75</v>
      </c>
      <c r="E236" s="10">
        <f>IF(ISNUMBER('Rates from Ireland Fedex Priort'!E235),_xlfn.CEILING.MATH('Rates from Ireland Fedex Priort'!E235,1)+IF($A236="EU",Variables!$B$6,Variables!$B$3),'Rates from Ireland Fedex Priort'!E235)</f>
        <v>83</v>
      </c>
      <c r="F236" s="10">
        <f>IF(ISNUMBER('Rates from Ireland Fedex Priort'!F235),_xlfn.CEILING.MATH('Rates from Ireland Fedex Priort'!F235,1)+IF($A236="EU",Variables!$B$6,Variables!$B$3),'Rates from Ireland Fedex Priort'!F235)</f>
        <v>88</v>
      </c>
      <c r="G236" s="10">
        <f>IF(ISNUMBER('Rates from Ireland Fedex Priort'!G235),_xlfn.CEILING.MATH('Rates from Ireland Fedex Priort'!G235,1)+IF($A236="EU",Variables!$B$6,Variables!$B$3),'Rates from Ireland Fedex Priort'!G235)</f>
        <v>106</v>
      </c>
      <c r="H236" s="10">
        <f>IF(ISNUMBER('Rates from Ireland Fedex Priort'!H235),_xlfn.CEILING.MATH('Rates from Ireland Fedex Priort'!H235,1)+IF($A236="EU",Variables!$B$6,Variables!$B$3),'Rates from Ireland Fedex Priort'!H235)</f>
        <v>134</v>
      </c>
      <c r="I236" s="10">
        <f>IF(ISNUMBER('Rates from Ireland Fedex Priort'!I235),_xlfn.CEILING.MATH('Rates from Ireland Fedex Priort'!I235,1)+IF($A236="EU",Variables!$B$6,Variables!$B$3),'Rates from Ireland Fedex Priort'!I235)</f>
        <v>242</v>
      </c>
      <c r="J236" s="10" t="str">
        <f>IF(ISNUMBER('Rates from Ireland Fedex Priort'!J235),_xlfn.CEILING.MATH('Rates from Ireland Fedex Priort'!J235,1)+IF($A236="EU",Variables!$B$6,Variables!$B$3),'Rates from Ireland Fedex Priort'!J235)</f>
        <v>No service</v>
      </c>
      <c r="K236" s="10" t="str">
        <f>IF(ISNUMBER('Rates from Ireland Fedex Priort'!K235),_xlfn.CEILING.MATH('Rates from Ireland Fedex Priort'!K235,1)+IF($A236="EU",Variables!$B$6,Variables!$B$3),'Rates from Ireland Fedex Priort'!K235)</f>
        <v>No service</v>
      </c>
      <c r="L236" s="10" t="str">
        <f>IF(ISNUMBER('Rates from Ireland Fedex Priort'!L235),_xlfn.CEILING.MATH('Rates from Ireland Fedex Priort'!L235,1)+IF($A236="EU",Variables!$B$6,Variables!$B$3),'Rates from Ireland Fedex Priort'!L235)</f>
        <v>No service</v>
      </c>
      <c r="M236" s="10" t="str">
        <f>IF(ISNUMBER('Rates from Ireland Fedex Priort'!M235),_xlfn.CEILING.MATH('Rates from Ireland Fedex Priort'!M235,1)+IF($A236="EU",Variables!$B$6,Variables!$B$3),'Rates from Ireland Fedex Priort'!M235)</f>
        <v>No service</v>
      </c>
      <c r="N236" s="10">
        <f>IF(ISNUMBER('Rates from Ireland Fedex Priort'!N235),_xlfn.CEILING.MATH('Rates from Ireland Fedex Priort'!N235,1)+IF($A236="EU",Variables!$B$6,Variables!$B$3),'Rates from Ireland Fedex Priort'!N235)</f>
        <v>454</v>
      </c>
      <c r="O236" s="11" t="s">
        <v>271</v>
      </c>
      <c r="P236" s="11" t="s">
        <v>271</v>
      </c>
      <c r="Q236" s="12">
        <v>80</v>
      </c>
      <c r="R236" s="11" t="s">
        <v>25</v>
      </c>
      <c r="S236" s="3" t="s">
        <v>26</v>
      </c>
      <c r="T236" s="38" t="s">
        <v>27</v>
      </c>
    </row>
    <row r="237" spans="1:20" ht="15.75" customHeight="1" x14ac:dyDescent="0.3">
      <c r="A237" s="39" t="str">
        <f>IF('Rates from Ireland Fedex Priort'!A236="","",'Rates from Ireland Fedex Priort'!A236)</f>
        <v>EU</v>
      </c>
      <c r="B237" s="8" t="str">
        <f>IF('Rates from Ireland Fedex Priort'!B236="","",'Rates from Ireland Fedex Priort'!B236)</f>
        <v>Ireland</v>
      </c>
      <c r="C237" s="9" t="str">
        <f>IF('Rates from Ireland Fedex Priort'!C236="","",'Rates from Ireland Fedex Priort'!C236)</f>
        <v>Ukraine</v>
      </c>
      <c r="D237" s="10" t="str">
        <f>IF(ISNUMBER('Rates from Ireland Fedex Priort'!D236),_xlfn.CEILING.MATH('Rates from Ireland Fedex Priort'!D236,1)+IF($A237="EU",Variables!$B$5,Variables!$B$2),'Rates from Ireland Fedex Priort'!D236)</f>
        <v>No service</v>
      </c>
      <c r="E237" s="10" t="str">
        <f>IF(ISNUMBER('Rates from Ireland Fedex Priort'!E236),_xlfn.CEILING.MATH('Rates from Ireland Fedex Priort'!E236,1)+IF($A237="EU",Variables!$B$6,Variables!$B$3),'Rates from Ireland Fedex Priort'!E236)</f>
        <v>No service</v>
      </c>
      <c r="F237" s="10" t="str">
        <f>IF(ISNUMBER('Rates from Ireland Fedex Priort'!F236),_xlfn.CEILING.MATH('Rates from Ireland Fedex Priort'!F236,1)+IF($A237="EU",Variables!$B$6,Variables!$B$3),'Rates from Ireland Fedex Priort'!F236)</f>
        <v>No service</v>
      </c>
      <c r="G237" s="10" t="str">
        <f>IF(ISNUMBER('Rates from Ireland Fedex Priort'!G236),_xlfn.CEILING.MATH('Rates from Ireland Fedex Priort'!G236,1)+IF($A237="EU",Variables!$B$6,Variables!$B$3),'Rates from Ireland Fedex Priort'!G236)</f>
        <v>No service</v>
      </c>
      <c r="H237" s="10" t="str">
        <f>IF(ISNUMBER('Rates from Ireland Fedex Priort'!H236),_xlfn.CEILING.MATH('Rates from Ireland Fedex Priort'!H236,1)+IF($A237="EU",Variables!$B$6,Variables!$B$3),'Rates from Ireland Fedex Priort'!H236)</f>
        <v>No service</v>
      </c>
      <c r="I237" s="10" t="str">
        <f>IF(ISNUMBER('Rates from Ireland Fedex Priort'!I236),_xlfn.CEILING.MATH('Rates from Ireland Fedex Priort'!I236,1)+IF($A237="EU",Variables!$B$6,Variables!$B$3),'Rates from Ireland Fedex Priort'!I236)</f>
        <v>No service</v>
      </c>
      <c r="J237" s="10" t="str">
        <f>IF(ISNUMBER('Rates from Ireland Fedex Priort'!J236),_xlfn.CEILING.MATH('Rates from Ireland Fedex Priort'!J236,1)+IF($A237="EU",Variables!$B$6,Variables!$B$3),'Rates from Ireland Fedex Priort'!J236)</f>
        <v>No service</v>
      </c>
      <c r="K237" s="10" t="str">
        <f>IF(ISNUMBER('Rates from Ireland Fedex Priort'!K236),_xlfn.CEILING.MATH('Rates from Ireland Fedex Priort'!K236,1)+IF($A237="EU",Variables!$B$6,Variables!$B$3),'Rates from Ireland Fedex Priort'!K236)</f>
        <v>No service</v>
      </c>
      <c r="L237" s="10" t="str">
        <f>IF(ISNUMBER('Rates from Ireland Fedex Priort'!L236),_xlfn.CEILING.MATH('Rates from Ireland Fedex Priort'!L236,1)+IF($A237="EU",Variables!$B$6,Variables!$B$3),'Rates from Ireland Fedex Priort'!L236)</f>
        <v>No service</v>
      </c>
      <c r="M237" s="10" t="str">
        <f>IF(ISNUMBER('Rates from Ireland Fedex Priort'!M236),_xlfn.CEILING.MATH('Rates from Ireland Fedex Priort'!M236,1)+IF($A237="EU",Variables!$B$6,Variables!$B$3),'Rates from Ireland Fedex Priort'!M236)</f>
        <v>No service</v>
      </c>
      <c r="N237" s="10" t="str">
        <f>IF(ISNUMBER('Rates from Ireland Fedex Priort'!N236),_xlfn.CEILING.MATH('Rates from Ireland Fedex Priort'!N236,1)+IF($A237="EU",Variables!$B$6,Variables!$B$3),'Rates from Ireland Fedex Priort'!N236)</f>
        <v>No service</v>
      </c>
      <c r="O237" s="11"/>
      <c r="P237" s="11"/>
      <c r="Q237" s="11"/>
      <c r="R237" s="11"/>
      <c r="S237" s="3" t="s">
        <v>26</v>
      </c>
      <c r="T237" s="38" t="s">
        <v>27</v>
      </c>
    </row>
    <row r="238" spans="1:20" ht="15.75" customHeight="1" x14ac:dyDescent="0.3">
      <c r="A238" s="39" t="str">
        <f>IF('Rates from Ireland Fedex Priort'!A237="","",'Rates from Ireland Fedex Priort'!A237)</f>
        <v>EU</v>
      </c>
      <c r="B238" s="8" t="str">
        <f>IF('Rates from Ireland Fedex Priort'!B237="","",'Rates from Ireland Fedex Priort'!B237)</f>
        <v>Ireland</v>
      </c>
      <c r="C238" s="9" t="str">
        <f>IF('Rates from Ireland Fedex Priort'!C237="","",'Rates from Ireland Fedex Priort'!C237)</f>
        <v>United Arab Emirates</v>
      </c>
      <c r="D238" s="10">
        <f>IF(ISNUMBER('Rates from Ireland Fedex Priort'!D237),_xlfn.CEILING.MATH('Rates from Ireland Fedex Priort'!D237,1)+IF($A238="EU",Variables!$B$5,Variables!$B$2),'Rates from Ireland Fedex Priort'!D237)</f>
        <v>67</v>
      </c>
      <c r="E238" s="10">
        <f>IF(ISNUMBER('Rates from Ireland Fedex Priort'!E237),_xlfn.CEILING.MATH('Rates from Ireland Fedex Priort'!E237,1)+IF($A238="EU",Variables!$B$6,Variables!$B$3),'Rates from Ireland Fedex Priort'!E237)</f>
        <v>69</v>
      </c>
      <c r="F238" s="10">
        <f>IF(ISNUMBER('Rates from Ireland Fedex Priort'!F237),_xlfn.CEILING.MATH('Rates from Ireland Fedex Priort'!F237,1)+IF($A238="EU",Variables!$B$6,Variables!$B$3),'Rates from Ireland Fedex Priort'!F237)</f>
        <v>72</v>
      </c>
      <c r="G238" s="10">
        <f>IF(ISNUMBER('Rates from Ireland Fedex Priort'!G237),_xlfn.CEILING.MATH('Rates from Ireland Fedex Priort'!G237,1)+IF($A238="EU",Variables!$B$6,Variables!$B$3),'Rates from Ireland Fedex Priort'!G237)</f>
        <v>86</v>
      </c>
      <c r="H238" s="10">
        <f>IF(ISNUMBER('Rates from Ireland Fedex Priort'!H237),_xlfn.CEILING.MATH('Rates from Ireland Fedex Priort'!H237,1)+IF($A238="EU",Variables!$B$6,Variables!$B$3),'Rates from Ireland Fedex Priort'!H237)</f>
        <v>111</v>
      </c>
      <c r="I238" s="10">
        <f>IF(ISNUMBER('Rates from Ireland Fedex Priort'!I237),_xlfn.CEILING.MATH('Rates from Ireland Fedex Priort'!I237,1)+IF($A238="EU",Variables!$B$6,Variables!$B$3),'Rates from Ireland Fedex Priort'!I237)</f>
        <v>174</v>
      </c>
      <c r="J238" s="10" t="str">
        <f>IF(ISNUMBER('Rates from Ireland Fedex Priort'!J237),_xlfn.CEILING.MATH('Rates from Ireland Fedex Priort'!J237,1)+IF($A238="EU",Variables!$B$6,Variables!$B$3),'Rates from Ireland Fedex Priort'!J237)</f>
        <v>No service</v>
      </c>
      <c r="K238" s="10" t="str">
        <f>IF(ISNUMBER('Rates from Ireland Fedex Priort'!K237),_xlfn.CEILING.MATH('Rates from Ireland Fedex Priort'!K237,1)+IF($A238="EU",Variables!$B$6,Variables!$B$3),'Rates from Ireland Fedex Priort'!K237)</f>
        <v>No service</v>
      </c>
      <c r="L238" s="10" t="str">
        <f>IF(ISNUMBER('Rates from Ireland Fedex Priort'!L237),_xlfn.CEILING.MATH('Rates from Ireland Fedex Priort'!L237,1)+IF($A238="EU",Variables!$B$6,Variables!$B$3),'Rates from Ireland Fedex Priort'!L237)</f>
        <v>No service</v>
      </c>
      <c r="M238" s="10" t="str">
        <f>IF(ISNUMBER('Rates from Ireland Fedex Priort'!M237),_xlfn.CEILING.MATH('Rates from Ireland Fedex Priort'!M237,1)+IF($A238="EU",Variables!$B$6,Variables!$B$3),'Rates from Ireland Fedex Priort'!M237)</f>
        <v>No service</v>
      </c>
      <c r="N238" s="10">
        <f>IF(ISNUMBER('Rates from Ireland Fedex Priort'!N237),_xlfn.CEILING.MATH('Rates from Ireland Fedex Priort'!N237,1)+IF($A238="EU",Variables!$B$6,Variables!$B$3),'Rates from Ireland Fedex Priort'!N237)</f>
        <v>322</v>
      </c>
      <c r="O238" s="11" t="s">
        <v>29</v>
      </c>
      <c r="P238" s="11" t="s">
        <v>30</v>
      </c>
      <c r="Q238" s="12">
        <v>80</v>
      </c>
      <c r="R238" s="11" t="s">
        <v>25</v>
      </c>
      <c r="S238" s="3" t="s">
        <v>26</v>
      </c>
      <c r="T238" s="38" t="s">
        <v>27</v>
      </c>
    </row>
    <row r="239" spans="1:20" ht="15.75" customHeight="1" x14ac:dyDescent="0.3">
      <c r="A239" s="39" t="str">
        <f>IF('Rates from Ireland Fedex Priort'!A238="","",'Rates from Ireland Fedex Priort'!A238)</f>
        <v>EU</v>
      </c>
      <c r="B239" s="8" t="str">
        <f>IF('Rates from Ireland Fedex Priort'!B238="","",'Rates from Ireland Fedex Priort'!B238)</f>
        <v>Ireland</v>
      </c>
      <c r="C239" s="9" t="str">
        <f>IF('Rates from Ireland Fedex Priort'!C238="","",'Rates from Ireland Fedex Priort'!C238)</f>
        <v>United Kingdom</v>
      </c>
      <c r="D239" s="10">
        <f>IF(ISNUMBER('Rates from Ireland Fedex Priort'!D238),_xlfn.CEILING.MATH('Rates from Ireland Fedex Priort'!D238,1)+IF($A239="EU",Variables!$B$5,Variables!$B$2),'Rates from Ireland Fedex Priort'!D238)</f>
        <v>60</v>
      </c>
      <c r="E239" s="10">
        <f>IF(ISNUMBER('Rates from Ireland Fedex Priort'!E238),_xlfn.CEILING.MATH('Rates from Ireland Fedex Priort'!E238,1)+IF($A239="EU",Variables!$B$6,Variables!$B$3),'Rates from Ireland Fedex Priort'!E238)</f>
        <v>64</v>
      </c>
      <c r="F239" s="10">
        <f>IF(ISNUMBER('Rates from Ireland Fedex Priort'!F238),_xlfn.CEILING.MATH('Rates from Ireland Fedex Priort'!F238,1)+IF($A239="EU",Variables!$B$6,Variables!$B$3),'Rates from Ireland Fedex Priort'!F238)</f>
        <v>67</v>
      </c>
      <c r="G239" s="10">
        <f>IF(ISNUMBER('Rates from Ireland Fedex Priort'!G238),_xlfn.CEILING.MATH('Rates from Ireland Fedex Priort'!G238,1)+IF($A239="EU",Variables!$B$6,Variables!$B$3),'Rates from Ireland Fedex Priort'!G238)</f>
        <v>69</v>
      </c>
      <c r="H239" s="10">
        <f>IF(ISNUMBER('Rates from Ireland Fedex Priort'!H238),_xlfn.CEILING.MATH('Rates from Ireland Fedex Priort'!H238,1)+IF($A239="EU",Variables!$B$6,Variables!$B$3),'Rates from Ireland Fedex Priort'!H238)</f>
        <v>72</v>
      </c>
      <c r="I239" s="10">
        <f>IF(ISNUMBER('Rates from Ireland Fedex Priort'!I238),_xlfn.CEILING.MATH('Rates from Ireland Fedex Priort'!I238,1)+IF($A239="EU",Variables!$B$6,Variables!$B$3),'Rates from Ireland Fedex Priort'!I238)</f>
        <v>77</v>
      </c>
      <c r="J239" s="10" t="str">
        <f>IF(ISNUMBER('Rates from Ireland Fedex Priort'!J238),_xlfn.CEILING.MATH('Rates from Ireland Fedex Priort'!J238,1)+IF($A239="EU",Variables!$B$6,Variables!$B$3),'Rates from Ireland Fedex Priort'!J238)</f>
        <v>No service</v>
      </c>
      <c r="K239" s="10" t="str">
        <f>IF(ISNUMBER('Rates from Ireland Fedex Priort'!K238),_xlfn.CEILING.MATH('Rates from Ireland Fedex Priort'!K238,1)+IF($A239="EU",Variables!$B$6,Variables!$B$3),'Rates from Ireland Fedex Priort'!K238)</f>
        <v>No service</v>
      </c>
      <c r="L239" s="10" t="str">
        <f>IF(ISNUMBER('Rates from Ireland Fedex Priort'!L238),_xlfn.CEILING.MATH('Rates from Ireland Fedex Priort'!L238,1)+IF($A239="EU",Variables!$B$6,Variables!$B$3),'Rates from Ireland Fedex Priort'!L238)</f>
        <v>No service</v>
      </c>
      <c r="M239" s="10" t="str">
        <f>IF(ISNUMBER('Rates from Ireland Fedex Priort'!M238),_xlfn.CEILING.MATH('Rates from Ireland Fedex Priort'!M238,1)+IF($A239="EU",Variables!$B$6,Variables!$B$3),'Rates from Ireland Fedex Priort'!M238)</f>
        <v>No service</v>
      </c>
      <c r="N239" s="10">
        <f>IF(ISNUMBER('Rates from Ireland Fedex Priort'!N238),_xlfn.CEILING.MATH('Rates from Ireland Fedex Priort'!N238,1)+IF($A239="EU",Variables!$B$6,Variables!$B$3),'Rates from Ireland Fedex Priort'!N238)</f>
        <v>132</v>
      </c>
      <c r="O239" s="11" t="s">
        <v>29</v>
      </c>
      <c r="P239" s="11" t="s">
        <v>33</v>
      </c>
      <c r="Q239" s="12">
        <v>80</v>
      </c>
      <c r="R239" s="11" t="s">
        <v>25</v>
      </c>
      <c r="S239" s="3" t="s">
        <v>26</v>
      </c>
      <c r="T239" s="38" t="s">
        <v>27</v>
      </c>
    </row>
    <row r="240" spans="1:20" ht="15.75" customHeight="1" x14ac:dyDescent="0.3">
      <c r="A240" s="39" t="str">
        <f>IF('Rates from Ireland Fedex Priort'!A239="","",'Rates from Ireland Fedex Priort'!A239)</f>
        <v>EU</v>
      </c>
      <c r="B240" s="8" t="str">
        <f>IF('Rates from Ireland Fedex Priort'!B239="","",'Rates from Ireland Fedex Priort'!B239)</f>
        <v>Ireland</v>
      </c>
      <c r="C240" s="9" t="str">
        <f>IF('Rates from Ireland Fedex Priort'!C239="","",'Rates from Ireland Fedex Priort'!C239)</f>
        <v>United States</v>
      </c>
      <c r="D240" s="10">
        <f>IF(ISNUMBER('Rates from Ireland Fedex Priort'!D239),_xlfn.CEILING.MATH('Rates from Ireland Fedex Priort'!D239,1)+IF($A240="EU",Variables!$B$5,Variables!$B$2),'Rates from Ireland Fedex Priort'!D239)</f>
        <v>64</v>
      </c>
      <c r="E240" s="10">
        <f>IF(ISNUMBER('Rates from Ireland Fedex Priort'!E239),_xlfn.CEILING.MATH('Rates from Ireland Fedex Priort'!E239,1)+IF($A240="EU",Variables!$B$6,Variables!$B$3),'Rates from Ireland Fedex Priort'!E239)</f>
        <v>74</v>
      </c>
      <c r="F240" s="10">
        <f>IF(ISNUMBER('Rates from Ireland Fedex Priort'!F239),_xlfn.CEILING.MATH('Rates from Ireland Fedex Priort'!F239,1)+IF($A240="EU",Variables!$B$6,Variables!$B$3),'Rates from Ireland Fedex Priort'!F239)</f>
        <v>78</v>
      </c>
      <c r="G240" s="10">
        <f>IF(ISNUMBER('Rates from Ireland Fedex Priort'!G239),_xlfn.CEILING.MATH('Rates from Ireland Fedex Priort'!G239,1)+IF($A240="EU",Variables!$B$6,Variables!$B$3),'Rates from Ireland Fedex Priort'!G239)</f>
        <v>94</v>
      </c>
      <c r="H240" s="10">
        <f>IF(ISNUMBER('Rates from Ireland Fedex Priort'!H239),_xlfn.CEILING.MATH('Rates from Ireland Fedex Priort'!H239,1)+IF($A240="EU",Variables!$B$6,Variables!$B$3),'Rates from Ireland Fedex Priort'!H239)</f>
        <v>114</v>
      </c>
      <c r="I240" s="10">
        <f>IF(ISNUMBER('Rates from Ireland Fedex Priort'!I239),_xlfn.CEILING.MATH('Rates from Ireland Fedex Priort'!I239,1)+IF($A240="EU",Variables!$B$6,Variables!$B$3),'Rates from Ireland Fedex Priort'!I239)</f>
        <v>176</v>
      </c>
      <c r="J240" s="10" t="str">
        <f>IF(ISNUMBER('Rates from Ireland Fedex Priort'!J239),_xlfn.CEILING.MATH('Rates from Ireland Fedex Priort'!J239,1)+IF($A240="EU",Variables!$B$6,Variables!$B$3),'Rates from Ireland Fedex Priort'!J239)</f>
        <v>No service</v>
      </c>
      <c r="K240" s="10" t="str">
        <f>IF(ISNUMBER('Rates from Ireland Fedex Priort'!K239),_xlfn.CEILING.MATH('Rates from Ireland Fedex Priort'!K239,1)+IF($A240="EU",Variables!$B$6,Variables!$B$3),'Rates from Ireland Fedex Priort'!K239)</f>
        <v>No service</v>
      </c>
      <c r="L240" s="10" t="str">
        <f>IF(ISNUMBER('Rates from Ireland Fedex Priort'!L239),_xlfn.CEILING.MATH('Rates from Ireland Fedex Priort'!L239,1)+IF($A240="EU",Variables!$B$6,Variables!$B$3),'Rates from Ireland Fedex Priort'!L239)</f>
        <v>No service</v>
      </c>
      <c r="M240" s="10" t="str">
        <f>IF(ISNUMBER('Rates from Ireland Fedex Priort'!M239),_xlfn.CEILING.MATH('Rates from Ireland Fedex Priort'!M239,1)+IF($A240="EU",Variables!$B$6,Variables!$B$3),'Rates from Ireland Fedex Priort'!M239)</f>
        <v>No service</v>
      </c>
      <c r="N240" s="10">
        <f>IF(ISNUMBER('Rates from Ireland Fedex Priort'!N239),_xlfn.CEILING.MATH('Rates from Ireland Fedex Priort'!N239,1)+IF($A240="EU",Variables!$B$6,Variables!$B$3),'Rates from Ireland Fedex Priort'!N239)</f>
        <v>327</v>
      </c>
      <c r="O240" s="11" t="s">
        <v>29</v>
      </c>
      <c r="P240" s="11" t="s">
        <v>38</v>
      </c>
      <c r="Q240" s="12">
        <v>80</v>
      </c>
      <c r="R240" s="11" t="s">
        <v>25</v>
      </c>
      <c r="S240" s="3" t="s">
        <v>26</v>
      </c>
      <c r="T240" s="38" t="s">
        <v>27</v>
      </c>
    </row>
    <row r="241" spans="1:20" ht="15.75" customHeight="1" x14ac:dyDescent="0.3">
      <c r="A241" s="39" t="str">
        <f>IF('Rates from Ireland Fedex Priort'!A240="","",'Rates from Ireland Fedex Priort'!A240)</f>
        <v>EU</v>
      </c>
      <c r="B241" s="8" t="str">
        <f>IF('Rates from Ireland Fedex Priort'!B240="","",'Rates from Ireland Fedex Priort'!B240)</f>
        <v>Ireland</v>
      </c>
      <c r="C241" s="9" t="str">
        <f>IF('Rates from Ireland Fedex Priort'!C240="","",'Rates from Ireland Fedex Priort'!C240)</f>
        <v>Uruguay</v>
      </c>
      <c r="D241" s="10">
        <f>IF(ISNUMBER('Rates from Ireland Fedex Priort'!D240),_xlfn.CEILING.MATH('Rates from Ireland Fedex Priort'!D240,1)+IF($A241="EU",Variables!$B$5,Variables!$B$2),'Rates from Ireland Fedex Priort'!D240)</f>
        <v>71</v>
      </c>
      <c r="E241" s="10">
        <f>IF(ISNUMBER('Rates from Ireland Fedex Priort'!E240),_xlfn.CEILING.MATH('Rates from Ireland Fedex Priort'!E240,1)+IF($A241="EU",Variables!$B$6,Variables!$B$3),'Rates from Ireland Fedex Priort'!E240)</f>
        <v>77</v>
      </c>
      <c r="F241" s="10">
        <f>IF(ISNUMBER('Rates from Ireland Fedex Priort'!F240),_xlfn.CEILING.MATH('Rates from Ireland Fedex Priort'!F240,1)+IF($A241="EU",Variables!$B$6,Variables!$B$3),'Rates from Ireland Fedex Priort'!F240)</f>
        <v>81</v>
      </c>
      <c r="G241" s="10">
        <f>IF(ISNUMBER('Rates from Ireland Fedex Priort'!G240),_xlfn.CEILING.MATH('Rates from Ireland Fedex Priort'!G240,1)+IF($A241="EU",Variables!$B$6,Variables!$B$3),'Rates from Ireland Fedex Priort'!G240)</f>
        <v>96</v>
      </c>
      <c r="H241" s="10">
        <f>IF(ISNUMBER('Rates from Ireland Fedex Priort'!H240),_xlfn.CEILING.MATH('Rates from Ireland Fedex Priort'!H240,1)+IF($A241="EU",Variables!$B$6,Variables!$B$3),'Rates from Ireland Fedex Priort'!H240)</f>
        <v>117</v>
      </c>
      <c r="I241" s="10">
        <f>IF(ISNUMBER('Rates from Ireland Fedex Priort'!I240),_xlfn.CEILING.MATH('Rates from Ireland Fedex Priort'!I240,1)+IF($A241="EU",Variables!$B$6,Variables!$B$3),'Rates from Ireland Fedex Priort'!I240)</f>
        <v>219</v>
      </c>
      <c r="J241" s="10" t="str">
        <f>IF(ISNUMBER('Rates from Ireland Fedex Priort'!J240),_xlfn.CEILING.MATH('Rates from Ireland Fedex Priort'!J240,1)+IF($A241="EU",Variables!$B$6,Variables!$B$3),'Rates from Ireland Fedex Priort'!J240)</f>
        <v>No service</v>
      </c>
      <c r="K241" s="10" t="str">
        <f>IF(ISNUMBER('Rates from Ireland Fedex Priort'!K240),_xlfn.CEILING.MATH('Rates from Ireland Fedex Priort'!K240,1)+IF($A241="EU",Variables!$B$6,Variables!$B$3),'Rates from Ireland Fedex Priort'!K240)</f>
        <v>No service</v>
      </c>
      <c r="L241" s="10" t="str">
        <f>IF(ISNUMBER('Rates from Ireland Fedex Priort'!L240),_xlfn.CEILING.MATH('Rates from Ireland Fedex Priort'!L240,1)+IF($A241="EU",Variables!$B$6,Variables!$B$3),'Rates from Ireland Fedex Priort'!L240)</f>
        <v>No service</v>
      </c>
      <c r="M241" s="10" t="str">
        <f>IF(ISNUMBER('Rates from Ireland Fedex Priort'!M240),_xlfn.CEILING.MATH('Rates from Ireland Fedex Priort'!M240,1)+IF($A241="EU",Variables!$B$6,Variables!$B$3),'Rates from Ireland Fedex Priort'!M240)</f>
        <v>No service</v>
      </c>
      <c r="N241" s="10">
        <f>IF(ISNUMBER('Rates from Ireland Fedex Priort'!N240),_xlfn.CEILING.MATH('Rates from Ireland Fedex Priort'!N240,1)+IF($A241="EU",Variables!$B$6,Variables!$B$3),'Rates from Ireland Fedex Priort'!N240)</f>
        <v>422</v>
      </c>
      <c r="O241" s="11" t="s">
        <v>23</v>
      </c>
      <c r="P241" s="11" t="s">
        <v>24</v>
      </c>
      <c r="Q241" s="12">
        <v>80</v>
      </c>
      <c r="R241" s="11" t="s">
        <v>25</v>
      </c>
      <c r="S241" s="3" t="s">
        <v>26</v>
      </c>
      <c r="T241" s="38" t="s">
        <v>27</v>
      </c>
    </row>
    <row r="242" spans="1:20" ht="15.75" customHeight="1" x14ac:dyDescent="0.3">
      <c r="A242" s="39" t="str">
        <f>IF('Rates from Ireland Fedex Priort'!A241="","",'Rates from Ireland Fedex Priort'!A241)</f>
        <v>EU</v>
      </c>
      <c r="B242" s="8" t="str">
        <f>IF('Rates from Ireland Fedex Priort'!B241="","",'Rates from Ireland Fedex Priort'!B241)</f>
        <v>Ireland</v>
      </c>
      <c r="C242" s="9" t="str">
        <f>IF('Rates from Ireland Fedex Priort'!C241="","",'Rates from Ireland Fedex Priort'!C241)</f>
        <v>Uzbekistan</v>
      </c>
      <c r="D242" s="10">
        <f>IF(ISNUMBER('Rates from Ireland Fedex Priort'!D241),_xlfn.CEILING.MATH('Rates from Ireland Fedex Priort'!D241,1)+IF($A242="EU",Variables!$B$5,Variables!$B$2),'Rates from Ireland Fedex Priort'!D241)</f>
        <v>75</v>
      </c>
      <c r="E242" s="10">
        <f>IF(ISNUMBER('Rates from Ireland Fedex Priort'!E241),_xlfn.CEILING.MATH('Rates from Ireland Fedex Priort'!E241,1)+IF($A242="EU",Variables!$B$6,Variables!$B$3),'Rates from Ireland Fedex Priort'!E241)</f>
        <v>83</v>
      </c>
      <c r="F242" s="10">
        <f>IF(ISNUMBER('Rates from Ireland Fedex Priort'!F241),_xlfn.CEILING.MATH('Rates from Ireland Fedex Priort'!F241,1)+IF($A242="EU",Variables!$B$6,Variables!$B$3),'Rates from Ireland Fedex Priort'!F241)</f>
        <v>88</v>
      </c>
      <c r="G242" s="10">
        <f>IF(ISNUMBER('Rates from Ireland Fedex Priort'!G241),_xlfn.CEILING.MATH('Rates from Ireland Fedex Priort'!G241,1)+IF($A242="EU",Variables!$B$6,Variables!$B$3),'Rates from Ireland Fedex Priort'!G241)</f>
        <v>106</v>
      </c>
      <c r="H242" s="10">
        <f>IF(ISNUMBER('Rates from Ireland Fedex Priort'!H241),_xlfn.CEILING.MATH('Rates from Ireland Fedex Priort'!H241,1)+IF($A242="EU",Variables!$B$6,Variables!$B$3),'Rates from Ireland Fedex Priort'!H241)</f>
        <v>134</v>
      </c>
      <c r="I242" s="10">
        <f>IF(ISNUMBER('Rates from Ireland Fedex Priort'!I241),_xlfn.CEILING.MATH('Rates from Ireland Fedex Priort'!I241,1)+IF($A242="EU",Variables!$B$6,Variables!$B$3),'Rates from Ireland Fedex Priort'!I241)</f>
        <v>242</v>
      </c>
      <c r="J242" s="10" t="str">
        <f>IF(ISNUMBER('Rates from Ireland Fedex Priort'!J241),_xlfn.CEILING.MATH('Rates from Ireland Fedex Priort'!J241,1)+IF($A242="EU",Variables!$B$6,Variables!$B$3),'Rates from Ireland Fedex Priort'!J241)</f>
        <v>No service</v>
      </c>
      <c r="K242" s="10" t="str">
        <f>IF(ISNUMBER('Rates from Ireland Fedex Priort'!K241),_xlfn.CEILING.MATH('Rates from Ireland Fedex Priort'!K241,1)+IF($A242="EU",Variables!$B$6,Variables!$B$3),'Rates from Ireland Fedex Priort'!K241)</f>
        <v>No service</v>
      </c>
      <c r="L242" s="10" t="str">
        <f>IF(ISNUMBER('Rates from Ireland Fedex Priort'!L241),_xlfn.CEILING.MATH('Rates from Ireland Fedex Priort'!L241,1)+IF($A242="EU",Variables!$B$6,Variables!$B$3),'Rates from Ireland Fedex Priort'!L241)</f>
        <v>No service</v>
      </c>
      <c r="M242" s="10" t="str">
        <f>IF(ISNUMBER('Rates from Ireland Fedex Priort'!M241),_xlfn.CEILING.MATH('Rates from Ireland Fedex Priort'!M241,1)+IF($A242="EU",Variables!$B$6,Variables!$B$3),'Rates from Ireland Fedex Priort'!M241)</f>
        <v>No service</v>
      </c>
      <c r="N242" s="10">
        <f>IF(ISNUMBER('Rates from Ireland Fedex Priort'!N241),_xlfn.CEILING.MATH('Rates from Ireland Fedex Priort'!N241,1)+IF($A242="EU",Variables!$B$6,Variables!$B$3),'Rates from Ireland Fedex Priort'!N241)</f>
        <v>454</v>
      </c>
      <c r="O242" s="11" t="s">
        <v>271</v>
      </c>
      <c r="P242" s="11" t="s">
        <v>271</v>
      </c>
      <c r="Q242" s="12">
        <v>80</v>
      </c>
      <c r="R242" s="11" t="s">
        <v>25</v>
      </c>
      <c r="S242" s="3" t="s">
        <v>26</v>
      </c>
      <c r="T242" s="38" t="s">
        <v>27</v>
      </c>
    </row>
    <row r="243" spans="1:20" ht="15.75" customHeight="1" x14ac:dyDescent="0.3">
      <c r="A243" s="39" t="str">
        <f>IF('Rates from Ireland Fedex Priort'!A242="","",'Rates from Ireland Fedex Priort'!A242)</f>
        <v>EU</v>
      </c>
      <c r="B243" s="8" t="str">
        <f>IF('Rates from Ireland Fedex Priort'!B242="","",'Rates from Ireland Fedex Priort'!B242)</f>
        <v>Ireland</v>
      </c>
      <c r="C243" s="9" t="str">
        <f>IF('Rates from Ireland Fedex Priort'!C242="","",'Rates from Ireland Fedex Priort'!C242)</f>
        <v>Vanuatu</v>
      </c>
      <c r="D243" s="10">
        <f>IF(ISNUMBER('Rates from Ireland Fedex Priort'!D242),_xlfn.CEILING.MATH('Rates from Ireland Fedex Priort'!D242,1)+IF($A243="EU",Variables!$B$5,Variables!$B$2),'Rates from Ireland Fedex Priort'!D242)</f>
        <v>75</v>
      </c>
      <c r="E243" s="10">
        <f>IF(ISNUMBER('Rates from Ireland Fedex Priort'!E242),_xlfn.CEILING.MATH('Rates from Ireland Fedex Priort'!E242,1)+IF($A243="EU",Variables!$B$6,Variables!$B$3),'Rates from Ireland Fedex Priort'!E242)</f>
        <v>83</v>
      </c>
      <c r="F243" s="10">
        <f>IF(ISNUMBER('Rates from Ireland Fedex Priort'!F242),_xlfn.CEILING.MATH('Rates from Ireland Fedex Priort'!F242,1)+IF($A243="EU",Variables!$B$6,Variables!$B$3),'Rates from Ireland Fedex Priort'!F242)</f>
        <v>88</v>
      </c>
      <c r="G243" s="10">
        <f>IF(ISNUMBER('Rates from Ireland Fedex Priort'!G242),_xlfn.CEILING.MATH('Rates from Ireland Fedex Priort'!G242,1)+IF($A243="EU",Variables!$B$6,Variables!$B$3),'Rates from Ireland Fedex Priort'!G242)</f>
        <v>106</v>
      </c>
      <c r="H243" s="10">
        <f>IF(ISNUMBER('Rates from Ireland Fedex Priort'!H242),_xlfn.CEILING.MATH('Rates from Ireland Fedex Priort'!H242,1)+IF($A243="EU",Variables!$B$6,Variables!$B$3),'Rates from Ireland Fedex Priort'!H242)</f>
        <v>134</v>
      </c>
      <c r="I243" s="10">
        <f>IF(ISNUMBER('Rates from Ireland Fedex Priort'!I242),_xlfn.CEILING.MATH('Rates from Ireland Fedex Priort'!I242,1)+IF($A243="EU",Variables!$B$6,Variables!$B$3),'Rates from Ireland Fedex Priort'!I242)</f>
        <v>242</v>
      </c>
      <c r="J243" s="10" t="str">
        <f>IF(ISNUMBER('Rates from Ireland Fedex Priort'!J242),_xlfn.CEILING.MATH('Rates from Ireland Fedex Priort'!J242,1)+IF($A243="EU",Variables!$B$6,Variables!$B$3),'Rates from Ireland Fedex Priort'!J242)</f>
        <v>No service</v>
      </c>
      <c r="K243" s="10" t="str">
        <f>IF(ISNUMBER('Rates from Ireland Fedex Priort'!K242),_xlfn.CEILING.MATH('Rates from Ireland Fedex Priort'!K242,1)+IF($A243="EU",Variables!$B$6,Variables!$B$3),'Rates from Ireland Fedex Priort'!K242)</f>
        <v>No service</v>
      </c>
      <c r="L243" s="10" t="str">
        <f>IF(ISNUMBER('Rates from Ireland Fedex Priort'!L242),_xlfn.CEILING.MATH('Rates from Ireland Fedex Priort'!L242,1)+IF($A243="EU",Variables!$B$6,Variables!$B$3),'Rates from Ireland Fedex Priort'!L242)</f>
        <v>No service</v>
      </c>
      <c r="M243" s="10" t="str">
        <f>IF(ISNUMBER('Rates from Ireland Fedex Priort'!M242),_xlfn.CEILING.MATH('Rates from Ireland Fedex Priort'!M242,1)+IF($A243="EU",Variables!$B$6,Variables!$B$3),'Rates from Ireland Fedex Priort'!M242)</f>
        <v>No service</v>
      </c>
      <c r="N243" s="10">
        <f>IF(ISNUMBER('Rates from Ireland Fedex Priort'!N242),_xlfn.CEILING.MATH('Rates from Ireland Fedex Priort'!N242,1)+IF($A243="EU",Variables!$B$6,Variables!$B$3),'Rates from Ireland Fedex Priort'!N242)</f>
        <v>454</v>
      </c>
      <c r="O243" s="11" t="s">
        <v>271</v>
      </c>
      <c r="P243" s="11" t="s">
        <v>271</v>
      </c>
      <c r="Q243" s="12">
        <v>80</v>
      </c>
      <c r="R243" s="11" t="s">
        <v>25</v>
      </c>
      <c r="S243" s="3" t="s">
        <v>26</v>
      </c>
      <c r="T243" s="38" t="s">
        <v>27</v>
      </c>
    </row>
    <row r="244" spans="1:20" ht="15.75" customHeight="1" x14ac:dyDescent="0.3">
      <c r="A244" s="39" t="str">
        <f>IF('Rates from Ireland Fedex Priort'!A243="","",'Rates from Ireland Fedex Priort'!A243)</f>
        <v>EU</v>
      </c>
      <c r="B244" s="8" t="str">
        <f>IF('Rates from Ireland Fedex Priort'!B243="","",'Rates from Ireland Fedex Priort'!B243)</f>
        <v>Ireland</v>
      </c>
      <c r="C244" s="9" t="str">
        <f>IF('Rates from Ireland Fedex Priort'!C243="","",'Rates from Ireland Fedex Priort'!C243)</f>
        <v>Vatican City</v>
      </c>
      <c r="D244" s="10">
        <f>IF(ISNUMBER('Rates from Ireland Fedex Priort'!D243),_xlfn.CEILING.MATH('Rates from Ireland Fedex Priort'!D243,1)+IF($A244="EU",Variables!$B$5,Variables!$B$2),'Rates from Ireland Fedex Priort'!D243)</f>
        <v>63</v>
      </c>
      <c r="E244" s="10">
        <f>IF(ISNUMBER('Rates from Ireland Fedex Priort'!E243),_xlfn.CEILING.MATH('Rates from Ireland Fedex Priort'!E243,1)+IF($A244="EU",Variables!$B$6,Variables!$B$3),'Rates from Ireland Fedex Priort'!E243)</f>
        <v>65</v>
      </c>
      <c r="F244" s="10">
        <f>IF(ISNUMBER('Rates from Ireland Fedex Priort'!F243),_xlfn.CEILING.MATH('Rates from Ireland Fedex Priort'!F243,1)+IF($A244="EU",Variables!$B$6,Variables!$B$3),'Rates from Ireland Fedex Priort'!F243)</f>
        <v>65</v>
      </c>
      <c r="G244" s="10">
        <f>IF(ISNUMBER('Rates from Ireland Fedex Priort'!G243),_xlfn.CEILING.MATH('Rates from Ireland Fedex Priort'!G243,1)+IF($A244="EU",Variables!$B$6,Variables!$B$3),'Rates from Ireland Fedex Priort'!G243)</f>
        <v>68</v>
      </c>
      <c r="H244" s="10">
        <f>IF(ISNUMBER('Rates from Ireland Fedex Priort'!H243),_xlfn.CEILING.MATH('Rates from Ireland Fedex Priort'!H243,1)+IF($A244="EU",Variables!$B$6,Variables!$B$3),'Rates from Ireland Fedex Priort'!H243)</f>
        <v>74</v>
      </c>
      <c r="I244" s="10">
        <f>IF(ISNUMBER('Rates from Ireland Fedex Priort'!I243),_xlfn.CEILING.MATH('Rates from Ireland Fedex Priort'!I243,1)+IF($A244="EU",Variables!$B$6,Variables!$B$3),'Rates from Ireland Fedex Priort'!I243)</f>
        <v>81</v>
      </c>
      <c r="J244" s="10" t="str">
        <f>IF(ISNUMBER('Rates from Ireland Fedex Priort'!J243),_xlfn.CEILING.MATH('Rates from Ireland Fedex Priort'!J243,1)+IF($A244="EU",Variables!$B$6,Variables!$B$3),'Rates from Ireland Fedex Priort'!J243)</f>
        <v>No service</v>
      </c>
      <c r="K244" s="10" t="str">
        <f>IF(ISNUMBER('Rates from Ireland Fedex Priort'!K243),_xlfn.CEILING.MATH('Rates from Ireland Fedex Priort'!K243,1)+IF($A244="EU",Variables!$B$6,Variables!$B$3),'Rates from Ireland Fedex Priort'!K243)</f>
        <v>No service</v>
      </c>
      <c r="L244" s="10" t="str">
        <f>IF(ISNUMBER('Rates from Ireland Fedex Priort'!L243),_xlfn.CEILING.MATH('Rates from Ireland Fedex Priort'!L243,1)+IF($A244="EU",Variables!$B$6,Variables!$B$3),'Rates from Ireland Fedex Priort'!L243)</f>
        <v>No service</v>
      </c>
      <c r="M244" s="10" t="str">
        <f>IF(ISNUMBER('Rates from Ireland Fedex Priort'!M243),_xlfn.CEILING.MATH('Rates from Ireland Fedex Priort'!M243,1)+IF($A244="EU",Variables!$B$6,Variables!$B$3),'Rates from Ireland Fedex Priort'!M243)</f>
        <v>No service</v>
      </c>
      <c r="N244" s="10">
        <f>IF(ISNUMBER('Rates from Ireland Fedex Priort'!N243),_xlfn.CEILING.MATH('Rates from Ireland Fedex Priort'!N243,1)+IF($A244="EU",Variables!$B$6,Variables!$B$3),'Rates from Ireland Fedex Priort'!N243)</f>
        <v>127</v>
      </c>
      <c r="O244" s="11" t="s">
        <v>29</v>
      </c>
      <c r="P244" s="11" t="s">
        <v>38</v>
      </c>
      <c r="Q244" s="12">
        <v>80</v>
      </c>
      <c r="R244" s="11" t="s">
        <v>25</v>
      </c>
      <c r="S244" s="3" t="s">
        <v>26</v>
      </c>
      <c r="T244" s="38" t="s">
        <v>27</v>
      </c>
    </row>
    <row r="245" spans="1:20" ht="15.75" customHeight="1" x14ac:dyDescent="0.3">
      <c r="A245" s="39" t="str">
        <f>IF('Rates from Ireland Fedex Priort'!A244="","",'Rates from Ireland Fedex Priort'!A244)</f>
        <v>EU</v>
      </c>
      <c r="B245" s="8" t="str">
        <f>IF('Rates from Ireland Fedex Priort'!B244="","",'Rates from Ireland Fedex Priort'!B244)</f>
        <v>Ireland</v>
      </c>
      <c r="C245" s="9" t="str">
        <f>IF('Rates from Ireland Fedex Priort'!C244="","",'Rates from Ireland Fedex Priort'!C244)</f>
        <v>Venezuela</v>
      </c>
      <c r="D245" s="10" t="str">
        <f>IF(ISNUMBER('Rates from Ireland Fedex Priort'!D244),_xlfn.CEILING.MATH('Rates from Ireland Fedex Priort'!D244,1)+IF($A245="EU",Variables!$B$5,Variables!$B$2),'Rates from Ireland Fedex Priort'!D244)</f>
        <v>No service</v>
      </c>
      <c r="E245" s="10" t="str">
        <f>IF(ISNUMBER('Rates from Ireland Fedex Priort'!E244),_xlfn.CEILING.MATH('Rates from Ireland Fedex Priort'!E244,1)+IF($A245="EU",Variables!$B$6,Variables!$B$3),'Rates from Ireland Fedex Priort'!E244)</f>
        <v>No service</v>
      </c>
      <c r="F245" s="10" t="str">
        <f>IF(ISNUMBER('Rates from Ireland Fedex Priort'!F244),_xlfn.CEILING.MATH('Rates from Ireland Fedex Priort'!F244,1)+IF($A245="EU",Variables!$B$6,Variables!$B$3),'Rates from Ireland Fedex Priort'!F244)</f>
        <v>No service</v>
      </c>
      <c r="G245" s="10" t="str">
        <f>IF(ISNUMBER('Rates from Ireland Fedex Priort'!G244),_xlfn.CEILING.MATH('Rates from Ireland Fedex Priort'!G244,1)+IF($A245="EU",Variables!$B$6,Variables!$B$3),'Rates from Ireland Fedex Priort'!G244)</f>
        <v>No service</v>
      </c>
      <c r="H245" s="10" t="str">
        <f>IF(ISNUMBER('Rates from Ireland Fedex Priort'!H244),_xlfn.CEILING.MATH('Rates from Ireland Fedex Priort'!H244,1)+IF($A245="EU",Variables!$B$6,Variables!$B$3),'Rates from Ireland Fedex Priort'!H244)</f>
        <v>No service</v>
      </c>
      <c r="I245" s="10" t="str">
        <f>IF(ISNUMBER('Rates from Ireland Fedex Priort'!I244),_xlfn.CEILING.MATH('Rates from Ireland Fedex Priort'!I244,1)+IF($A245="EU",Variables!$B$6,Variables!$B$3),'Rates from Ireland Fedex Priort'!I244)</f>
        <v>No service</v>
      </c>
      <c r="J245" s="10" t="str">
        <f>IF(ISNUMBER('Rates from Ireland Fedex Priort'!J244),_xlfn.CEILING.MATH('Rates from Ireland Fedex Priort'!J244,1)+IF($A245="EU",Variables!$B$6,Variables!$B$3),'Rates from Ireland Fedex Priort'!J244)</f>
        <v>No service</v>
      </c>
      <c r="K245" s="10" t="str">
        <f>IF(ISNUMBER('Rates from Ireland Fedex Priort'!K244),_xlfn.CEILING.MATH('Rates from Ireland Fedex Priort'!K244,1)+IF($A245="EU",Variables!$B$6,Variables!$B$3),'Rates from Ireland Fedex Priort'!K244)</f>
        <v>No service</v>
      </c>
      <c r="L245" s="10" t="str">
        <f>IF(ISNUMBER('Rates from Ireland Fedex Priort'!L244),_xlfn.CEILING.MATH('Rates from Ireland Fedex Priort'!L244,1)+IF($A245="EU",Variables!$B$6,Variables!$B$3),'Rates from Ireland Fedex Priort'!L244)</f>
        <v>No service</v>
      </c>
      <c r="M245" s="10" t="str">
        <f>IF(ISNUMBER('Rates from Ireland Fedex Priort'!M244),_xlfn.CEILING.MATH('Rates from Ireland Fedex Priort'!M244,1)+IF($A245="EU",Variables!$B$6,Variables!$B$3),'Rates from Ireland Fedex Priort'!M244)</f>
        <v>No service</v>
      </c>
      <c r="N245" s="10" t="str">
        <f>IF(ISNUMBER('Rates from Ireland Fedex Priort'!N244),_xlfn.CEILING.MATH('Rates from Ireland Fedex Priort'!N244,1)+IF($A245="EU",Variables!$B$6,Variables!$B$3),'Rates from Ireland Fedex Priort'!N244)</f>
        <v>No service</v>
      </c>
      <c r="O245" s="11"/>
      <c r="P245" s="11"/>
      <c r="Q245" s="11"/>
      <c r="R245" s="11"/>
      <c r="S245" s="3" t="s">
        <v>26</v>
      </c>
      <c r="T245" s="38" t="s">
        <v>27</v>
      </c>
    </row>
    <row r="246" spans="1:20" ht="15.75" customHeight="1" x14ac:dyDescent="0.3">
      <c r="A246" s="39" t="str">
        <f>IF('Rates from Ireland Fedex Priort'!A245="","",'Rates from Ireland Fedex Priort'!A245)</f>
        <v>EU</v>
      </c>
      <c r="B246" s="8" t="str">
        <f>IF('Rates from Ireland Fedex Priort'!B245="","",'Rates from Ireland Fedex Priort'!B245)</f>
        <v>Ireland</v>
      </c>
      <c r="C246" s="9" t="str">
        <f>IF('Rates from Ireland Fedex Priort'!C245="","",'Rates from Ireland Fedex Priort'!C245)</f>
        <v>Vietnam</v>
      </c>
      <c r="D246" s="10">
        <f>IF(ISNUMBER('Rates from Ireland Fedex Priort'!D245),_xlfn.CEILING.MATH('Rates from Ireland Fedex Priort'!D245,1)+IF($A246="EU",Variables!$B$5,Variables!$B$2),'Rates from Ireland Fedex Priort'!D245)</f>
        <v>69</v>
      </c>
      <c r="E246" s="10">
        <f>IF(ISNUMBER('Rates from Ireland Fedex Priort'!E245),_xlfn.CEILING.MATH('Rates from Ireland Fedex Priort'!E245,1)+IF($A246="EU",Variables!$B$6,Variables!$B$3),'Rates from Ireland Fedex Priort'!E245)</f>
        <v>73</v>
      </c>
      <c r="F246" s="10">
        <f>IF(ISNUMBER('Rates from Ireland Fedex Priort'!F245),_xlfn.CEILING.MATH('Rates from Ireland Fedex Priort'!F245,1)+IF($A246="EU",Variables!$B$6,Variables!$B$3),'Rates from Ireland Fedex Priort'!F245)</f>
        <v>79</v>
      </c>
      <c r="G246" s="10">
        <f>IF(ISNUMBER('Rates from Ireland Fedex Priort'!G245),_xlfn.CEILING.MATH('Rates from Ireland Fedex Priort'!G245,1)+IF($A246="EU",Variables!$B$6,Variables!$B$3),'Rates from Ireland Fedex Priort'!G245)</f>
        <v>95</v>
      </c>
      <c r="H246" s="10">
        <f>IF(ISNUMBER('Rates from Ireland Fedex Priort'!H245),_xlfn.CEILING.MATH('Rates from Ireland Fedex Priort'!H245,1)+IF($A246="EU",Variables!$B$6,Variables!$B$3),'Rates from Ireland Fedex Priort'!H245)</f>
        <v>118</v>
      </c>
      <c r="I246" s="10">
        <f>IF(ISNUMBER('Rates from Ireland Fedex Priort'!I245),_xlfn.CEILING.MATH('Rates from Ireland Fedex Priort'!I245,1)+IF($A246="EU",Variables!$B$6,Variables!$B$3),'Rates from Ireland Fedex Priort'!I245)</f>
        <v>179</v>
      </c>
      <c r="J246" s="10" t="str">
        <f>IF(ISNUMBER('Rates from Ireland Fedex Priort'!J245),_xlfn.CEILING.MATH('Rates from Ireland Fedex Priort'!J245,1)+IF($A246="EU",Variables!$B$6,Variables!$B$3),'Rates from Ireland Fedex Priort'!J245)</f>
        <v>No service</v>
      </c>
      <c r="K246" s="10" t="str">
        <f>IF(ISNUMBER('Rates from Ireland Fedex Priort'!K245),_xlfn.CEILING.MATH('Rates from Ireland Fedex Priort'!K245,1)+IF($A246="EU",Variables!$B$6,Variables!$B$3),'Rates from Ireland Fedex Priort'!K245)</f>
        <v>No service</v>
      </c>
      <c r="L246" s="10" t="str">
        <f>IF(ISNUMBER('Rates from Ireland Fedex Priort'!L245),_xlfn.CEILING.MATH('Rates from Ireland Fedex Priort'!L245,1)+IF($A246="EU",Variables!$B$6,Variables!$B$3),'Rates from Ireland Fedex Priort'!L245)</f>
        <v>No service</v>
      </c>
      <c r="M246" s="10" t="str">
        <f>IF(ISNUMBER('Rates from Ireland Fedex Priort'!M245),_xlfn.CEILING.MATH('Rates from Ireland Fedex Priort'!M245,1)+IF($A246="EU",Variables!$B$6,Variables!$B$3),'Rates from Ireland Fedex Priort'!M245)</f>
        <v>No service</v>
      </c>
      <c r="N246" s="10">
        <f>IF(ISNUMBER('Rates from Ireland Fedex Priort'!N245),_xlfn.CEILING.MATH('Rates from Ireland Fedex Priort'!N245,1)+IF($A246="EU",Variables!$B$6,Variables!$B$3),'Rates from Ireland Fedex Priort'!N245)</f>
        <v>330</v>
      </c>
      <c r="O246" s="11" t="s">
        <v>38</v>
      </c>
      <c r="P246" s="11" t="s">
        <v>24</v>
      </c>
      <c r="Q246" s="12">
        <v>80</v>
      </c>
      <c r="R246" s="11" t="s">
        <v>25</v>
      </c>
      <c r="S246" s="3" t="s">
        <v>26</v>
      </c>
      <c r="T246" s="38" t="s">
        <v>27</v>
      </c>
    </row>
    <row r="247" spans="1:20" ht="15.75" customHeight="1" x14ac:dyDescent="0.3">
      <c r="A247" s="39" t="str">
        <f>IF('Rates from Ireland Fedex Priort'!A246="","",'Rates from Ireland Fedex Priort'!A246)</f>
        <v>EU</v>
      </c>
      <c r="B247" s="8" t="str">
        <f>IF('Rates from Ireland Fedex Priort'!B246="","",'Rates from Ireland Fedex Priort'!B246)</f>
        <v>Ireland</v>
      </c>
      <c r="C247" s="9" t="str">
        <f>IF('Rates from Ireland Fedex Priort'!C246="","",'Rates from Ireland Fedex Priort'!C246)</f>
        <v>Wallis and Futuna (France)</v>
      </c>
      <c r="D247" s="10">
        <f>IF(ISNUMBER('Rates from Ireland Fedex Priort'!D246),_xlfn.CEILING.MATH('Rates from Ireland Fedex Priort'!D246,1)+IF($A247="EU",Variables!$B$5,Variables!$B$2),'Rates from Ireland Fedex Priort'!D246)</f>
        <v>75</v>
      </c>
      <c r="E247" s="10">
        <f>IF(ISNUMBER('Rates from Ireland Fedex Priort'!E246),_xlfn.CEILING.MATH('Rates from Ireland Fedex Priort'!E246,1)+IF($A247="EU",Variables!$B$6,Variables!$B$3),'Rates from Ireland Fedex Priort'!E246)</f>
        <v>83</v>
      </c>
      <c r="F247" s="10">
        <f>IF(ISNUMBER('Rates from Ireland Fedex Priort'!F246),_xlfn.CEILING.MATH('Rates from Ireland Fedex Priort'!F246,1)+IF($A247="EU",Variables!$B$6,Variables!$B$3),'Rates from Ireland Fedex Priort'!F246)</f>
        <v>88</v>
      </c>
      <c r="G247" s="10">
        <f>IF(ISNUMBER('Rates from Ireland Fedex Priort'!G246),_xlfn.CEILING.MATH('Rates from Ireland Fedex Priort'!G246,1)+IF($A247="EU",Variables!$B$6,Variables!$B$3),'Rates from Ireland Fedex Priort'!G246)</f>
        <v>106</v>
      </c>
      <c r="H247" s="10">
        <f>IF(ISNUMBER('Rates from Ireland Fedex Priort'!H246),_xlfn.CEILING.MATH('Rates from Ireland Fedex Priort'!H246,1)+IF($A247="EU",Variables!$B$6,Variables!$B$3),'Rates from Ireland Fedex Priort'!H246)</f>
        <v>134</v>
      </c>
      <c r="I247" s="10">
        <f>IF(ISNUMBER('Rates from Ireland Fedex Priort'!I246),_xlfn.CEILING.MATH('Rates from Ireland Fedex Priort'!I246,1)+IF($A247="EU",Variables!$B$6,Variables!$B$3),'Rates from Ireland Fedex Priort'!I246)</f>
        <v>242</v>
      </c>
      <c r="J247" s="10" t="str">
        <f>IF(ISNUMBER('Rates from Ireland Fedex Priort'!J246),_xlfn.CEILING.MATH('Rates from Ireland Fedex Priort'!J246,1)+IF($A247="EU",Variables!$B$6,Variables!$B$3),'Rates from Ireland Fedex Priort'!J246)</f>
        <v>No service</v>
      </c>
      <c r="K247" s="10" t="str">
        <f>IF(ISNUMBER('Rates from Ireland Fedex Priort'!K246),_xlfn.CEILING.MATH('Rates from Ireland Fedex Priort'!K246,1)+IF($A247="EU",Variables!$B$6,Variables!$B$3),'Rates from Ireland Fedex Priort'!K246)</f>
        <v>No service</v>
      </c>
      <c r="L247" s="10" t="str">
        <f>IF(ISNUMBER('Rates from Ireland Fedex Priort'!L246),_xlfn.CEILING.MATH('Rates from Ireland Fedex Priort'!L246,1)+IF($A247="EU",Variables!$B$6,Variables!$B$3),'Rates from Ireland Fedex Priort'!L246)</f>
        <v>No service</v>
      </c>
      <c r="M247" s="10" t="str">
        <f>IF(ISNUMBER('Rates from Ireland Fedex Priort'!M246),_xlfn.CEILING.MATH('Rates from Ireland Fedex Priort'!M246,1)+IF($A247="EU",Variables!$B$6,Variables!$B$3),'Rates from Ireland Fedex Priort'!M246)</f>
        <v>No service</v>
      </c>
      <c r="N247" s="10">
        <f>IF(ISNUMBER('Rates from Ireland Fedex Priort'!N246),_xlfn.CEILING.MATH('Rates from Ireland Fedex Priort'!N246,1)+IF($A247="EU",Variables!$B$6,Variables!$B$3),'Rates from Ireland Fedex Priort'!N246)</f>
        <v>454</v>
      </c>
      <c r="O247" s="11" t="s">
        <v>271</v>
      </c>
      <c r="P247" s="11" t="s">
        <v>271</v>
      </c>
      <c r="Q247" s="12">
        <v>80</v>
      </c>
      <c r="R247" s="11" t="s">
        <v>25</v>
      </c>
      <c r="S247" s="3" t="s">
        <v>26</v>
      </c>
      <c r="T247" s="38" t="s">
        <v>27</v>
      </c>
    </row>
    <row r="248" spans="1:20" ht="15.75" customHeight="1" x14ac:dyDescent="0.3">
      <c r="A248" s="39" t="str">
        <f>IF('Rates from Ireland Fedex Priort'!A247="","",'Rates from Ireland Fedex Priort'!A247)</f>
        <v>EU</v>
      </c>
      <c r="B248" s="8" t="str">
        <f>IF('Rates from Ireland Fedex Priort'!B247="","",'Rates from Ireland Fedex Priort'!B247)</f>
        <v>Ireland</v>
      </c>
      <c r="C248" s="9" t="str">
        <f>IF('Rates from Ireland Fedex Priort'!C247="","",'Rates from Ireland Fedex Priort'!C247)</f>
        <v>Western Sahara</v>
      </c>
      <c r="D248" s="10" t="str">
        <f>IF(ISNUMBER('Rates from Ireland Fedex Priort'!D247),_xlfn.CEILING.MATH('Rates from Ireland Fedex Priort'!D247,1)+IF($A248="EU",Variables!$B$5,Variables!$B$2),'Rates from Ireland Fedex Priort'!D247)</f>
        <v>No service</v>
      </c>
      <c r="E248" s="10" t="str">
        <f>IF(ISNUMBER('Rates from Ireland Fedex Priort'!E247),_xlfn.CEILING.MATH('Rates from Ireland Fedex Priort'!E247,1)+IF($A248="EU",Variables!$B$6,Variables!$B$3),'Rates from Ireland Fedex Priort'!E247)</f>
        <v>No service</v>
      </c>
      <c r="F248" s="10" t="str">
        <f>IF(ISNUMBER('Rates from Ireland Fedex Priort'!F247),_xlfn.CEILING.MATH('Rates from Ireland Fedex Priort'!F247,1)+IF($A248="EU",Variables!$B$6,Variables!$B$3),'Rates from Ireland Fedex Priort'!F247)</f>
        <v>No service</v>
      </c>
      <c r="G248" s="10" t="str">
        <f>IF(ISNUMBER('Rates from Ireland Fedex Priort'!G247),_xlfn.CEILING.MATH('Rates from Ireland Fedex Priort'!G247,1)+IF($A248="EU",Variables!$B$6,Variables!$B$3),'Rates from Ireland Fedex Priort'!G247)</f>
        <v>No service</v>
      </c>
      <c r="H248" s="10" t="str">
        <f>IF(ISNUMBER('Rates from Ireland Fedex Priort'!H247),_xlfn.CEILING.MATH('Rates from Ireland Fedex Priort'!H247,1)+IF($A248="EU",Variables!$B$6,Variables!$B$3),'Rates from Ireland Fedex Priort'!H247)</f>
        <v>No service</v>
      </c>
      <c r="I248" s="10" t="str">
        <f>IF(ISNUMBER('Rates from Ireland Fedex Priort'!I247),_xlfn.CEILING.MATH('Rates from Ireland Fedex Priort'!I247,1)+IF($A248="EU",Variables!$B$6,Variables!$B$3),'Rates from Ireland Fedex Priort'!I247)</f>
        <v>No service</v>
      </c>
      <c r="J248" s="10" t="str">
        <f>IF(ISNUMBER('Rates from Ireland Fedex Priort'!J247),_xlfn.CEILING.MATH('Rates from Ireland Fedex Priort'!J247,1)+IF($A248="EU",Variables!$B$6,Variables!$B$3),'Rates from Ireland Fedex Priort'!J247)</f>
        <v>No service</v>
      </c>
      <c r="K248" s="10" t="str">
        <f>IF(ISNUMBER('Rates from Ireland Fedex Priort'!K247),_xlfn.CEILING.MATH('Rates from Ireland Fedex Priort'!K247,1)+IF($A248="EU",Variables!$B$6,Variables!$B$3),'Rates from Ireland Fedex Priort'!K247)</f>
        <v>No service</v>
      </c>
      <c r="L248" s="10" t="str">
        <f>IF(ISNUMBER('Rates from Ireland Fedex Priort'!L247),_xlfn.CEILING.MATH('Rates from Ireland Fedex Priort'!L247,1)+IF($A248="EU",Variables!$B$6,Variables!$B$3),'Rates from Ireland Fedex Priort'!L247)</f>
        <v>No service</v>
      </c>
      <c r="M248" s="10" t="str">
        <f>IF(ISNUMBER('Rates from Ireland Fedex Priort'!M247),_xlfn.CEILING.MATH('Rates from Ireland Fedex Priort'!M247,1)+IF($A248="EU",Variables!$B$6,Variables!$B$3),'Rates from Ireland Fedex Priort'!M247)</f>
        <v>No service</v>
      </c>
      <c r="N248" s="10" t="str">
        <f>IF(ISNUMBER('Rates from Ireland Fedex Priort'!N247),_xlfn.CEILING.MATH('Rates from Ireland Fedex Priort'!N247,1)+IF($A248="EU",Variables!$B$6,Variables!$B$3),'Rates from Ireland Fedex Priort'!N247)</f>
        <v>No service</v>
      </c>
      <c r="O248" s="11"/>
      <c r="P248" s="11"/>
      <c r="Q248" s="11"/>
      <c r="R248" s="11"/>
      <c r="S248" s="3" t="s">
        <v>26</v>
      </c>
      <c r="T248" s="38" t="s">
        <v>27</v>
      </c>
    </row>
    <row r="249" spans="1:20" ht="15.75" customHeight="1" x14ac:dyDescent="0.3">
      <c r="A249" s="39" t="str">
        <f>IF('Rates from Ireland Fedex Priort'!A248="","",'Rates from Ireland Fedex Priort'!A248)</f>
        <v>EU</v>
      </c>
      <c r="B249" s="8" t="str">
        <f>IF('Rates from Ireland Fedex Priort'!B248="","",'Rates from Ireland Fedex Priort'!B248)</f>
        <v>Ireland</v>
      </c>
      <c r="C249" s="9" t="str">
        <f>IF('Rates from Ireland Fedex Priort'!C248="","",'Rates from Ireland Fedex Priort'!C248)</f>
        <v>Yemen</v>
      </c>
      <c r="D249" s="10" t="str">
        <f>IF(ISNUMBER('Rates from Ireland Fedex Priort'!D248),_xlfn.CEILING.MATH('Rates from Ireland Fedex Priort'!D248,1)+IF($A249="EU",Variables!$B$5,Variables!$B$2),'Rates from Ireland Fedex Priort'!D248)</f>
        <v>No service</v>
      </c>
      <c r="E249" s="10" t="str">
        <f>IF(ISNUMBER('Rates from Ireland Fedex Priort'!E248),_xlfn.CEILING.MATH('Rates from Ireland Fedex Priort'!E248,1)+IF($A249="EU",Variables!$B$6,Variables!$B$3),'Rates from Ireland Fedex Priort'!E248)</f>
        <v>No service</v>
      </c>
      <c r="F249" s="10" t="str">
        <f>IF(ISNUMBER('Rates from Ireland Fedex Priort'!F248),_xlfn.CEILING.MATH('Rates from Ireland Fedex Priort'!F248,1)+IF($A249="EU",Variables!$B$6,Variables!$B$3),'Rates from Ireland Fedex Priort'!F248)</f>
        <v>No service</v>
      </c>
      <c r="G249" s="10" t="str">
        <f>IF(ISNUMBER('Rates from Ireland Fedex Priort'!G248),_xlfn.CEILING.MATH('Rates from Ireland Fedex Priort'!G248,1)+IF($A249="EU",Variables!$B$6,Variables!$B$3),'Rates from Ireland Fedex Priort'!G248)</f>
        <v>No service</v>
      </c>
      <c r="H249" s="10" t="str">
        <f>IF(ISNUMBER('Rates from Ireland Fedex Priort'!H248),_xlfn.CEILING.MATH('Rates from Ireland Fedex Priort'!H248,1)+IF($A249="EU",Variables!$B$6,Variables!$B$3),'Rates from Ireland Fedex Priort'!H248)</f>
        <v>No service</v>
      </c>
      <c r="I249" s="10" t="str">
        <f>IF(ISNUMBER('Rates from Ireland Fedex Priort'!I248),_xlfn.CEILING.MATH('Rates from Ireland Fedex Priort'!I248,1)+IF($A249="EU",Variables!$B$6,Variables!$B$3),'Rates from Ireland Fedex Priort'!I248)</f>
        <v>No service</v>
      </c>
      <c r="J249" s="10" t="str">
        <f>IF(ISNUMBER('Rates from Ireland Fedex Priort'!J248),_xlfn.CEILING.MATH('Rates from Ireland Fedex Priort'!J248,1)+IF($A249="EU",Variables!$B$6,Variables!$B$3),'Rates from Ireland Fedex Priort'!J248)</f>
        <v>No service</v>
      </c>
      <c r="K249" s="10" t="str">
        <f>IF(ISNUMBER('Rates from Ireland Fedex Priort'!K248),_xlfn.CEILING.MATH('Rates from Ireland Fedex Priort'!K248,1)+IF($A249="EU",Variables!$B$6,Variables!$B$3),'Rates from Ireland Fedex Priort'!K248)</f>
        <v>No service</v>
      </c>
      <c r="L249" s="10" t="str">
        <f>IF(ISNUMBER('Rates from Ireland Fedex Priort'!L248),_xlfn.CEILING.MATH('Rates from Ireland Fedex Priort'!L248,1)+IF($A249="EU",Variables!$B$6,Variables!$B$3),'Rates from Ireland Fedex Priort'!L248)</f>
        <v>No service</v>
      </c>
      <c r="M249" s="10" t="str">
        <f>IF(ISNUMBER('Rates from Ireland Fedex Priort'!M248),_xlfn.CEILING.MATH('Rates from Ireland Fedex Priort'!M248,1)+IF($A249="EU",Variables!$B$6,Variables!$B$3),'Rates from Ireland Fedex Priort'!M248)</f>
        <v>No service</v>
      </c>
      <c r="N249" s="10" t="str">
        <f>IF(ISNUMBER('Rates from Ireland Fedex Priort'!N248),_xlfn.CEILING.MATH('Rates from Ireland Fedex Priort'!N248,1)+IF($A249="EU",Variables!$B$6,Variables!$B$3),'Rates from Ireland Fedex Priort'!N248)</f>
        <v>No service</v>
      </c>
      <c r="O249" s="11"/>
      <c r="P249" s="11"/>
      <c r="Q249" s="11"/>
      <c r="R249" s="11"/>
      <c r="S249" s="3" t="s">
        <v>26</v>
      </c>
      <c r="T249" s="38" t="s">
        <v>27</v>
      </c>
    </row>
    <row r="250" spans="1:20" ht="15.75" customHeight="1" x14ac:dyDescent="0.3">
      <c r="A250" s="39" t="str">
        <f>IF('Rates from Ireland Fedex Priort'!A249="","",'Rates from Ireland Fedex Priort'!A249)</f>
        <v>EU</v>
      </c>
      <c r="B250" s="8" t="str">
        <f>IF('Rates from Ireland Fedex Priort'!B249="","",'Rates from Ireland Fedex Priort'!B249)</f>
        <v>Ireland</v>
      </c>
      <c r="C250" s="9" t="str">
        <f>IF('Rates from Ireland Fedex Priort'!C249="","",'Rates from Ireland Fedex Priort'!C249)</f>
        <v>Zambia</v>
      </c>
      <c r="D250" s="10">
        <f>IF(ISNUMBER('Rates from Ireland Fedex Priort'!D249),_xlfn.CEILING.MATH('Rates from Ireland Fedex Priort'!D249,1)+IF($A250="EU",Variables!$B$5,Variables!$B$2),'Rates from Ireland Fedex Priort'!D249)</f>
        <v>75</v>
      </c>
      <c r="E250" s="10">
        <f>IF(ISNUMBER('Rates from Ireland Fedex Priort'!E249),_xlfn.CEILING.MATH('Rates from Ireland Fedex Priort'!E249,1)+IF($A250="EU",Variables!$B$6,Variables!$B$3),'Rates from Ireland Fedex Priort'!E249)</f>
        <v>83</v>
      </c>
      <c r="F250" s="10">
        <f>IF(ISNUMBER('Rates from Ireland Fedex Priort'!F249),_xlfn.CEILING.MATH('Rates from Ireland Fedex Priort'!F249,1)+IF($A250="EU",Variables!$B$6,Variables!$B$3),'Rates from Ireland Fedex Priort'!F249)</f>
        <v>88</v>
      </c>
      <c r="G250" s="10">
        <f>IF(ISNUMBER('Rates from Ireland Fedex Priort'!G249),_xlfn.CEILING.MATH('Rates from Ireland Fedex Priort'!G249,1)+IF($A250="EU",Variables!$B$6,Variables!$B$3),'Rates from Ireland Fedex Priort'!G249)</f>
        <v>106</v>
      </c>
      <c r="H250" s="10">
        <f>IF(ISNUMBER('Rates from Ireland Fedex Priort'!H249),_xlfn.CEILING.MATH('Rates from Ireland Fedex Priort'!H249,1)+IF($A250="EU",Variables!$B$6,Variables!$B$3),'Rates from Ireland Fedex Priort'!H249)</f>
        <v>134</v>
      </c>
      <c r="I250" s="10">
        <f>IF(ISNUMBER('Rates from Ireland Fedex Priort'!I249),_xlfn.CEILING.MATH('Rates from Ireland Fedex Priort'!I249,1)+IF($A250="EU",Variables!$B$6,Variables!$B$3),'Rates from Ireland Fedex Priort'!I249)</f>
        <v>242</v>
      </c>
      <c r="J250" s="10" t="str">
        <f>IF(ISNUMBER('Rates from Ireland Fedex Priort'!J249),_xlfn.CEILING.MATH('Rates from Ireland Fedex Priort'!J249,1)+IF($A250="EU",Variables!$B$6,Variables!$B$3),'Rates from Ireland Fedex Priort'!J249)</f>
        <v>No service</v>
      </c>
      <c r="K250" s="10" t="str">
        <f>IF(ISNUMBER('Rates from Ireland Fedex Priort'!K249),_xlfn.CEILING.MATH('Rates from Ireland Fedex Priort'!K249,1)+IF($A250="EU",Variables!$B$6,Variables!$B$3),'Rates from Ireland Fedex Priort'!K249)</f>
        <v>No service</v>
      </c>
      <c r="L250" s="10" t="str">
        <f>IF(ISNUMBER('Rates from Ireland Fedex Priort'!L249),_xlfn.CEILING.MATH('Rates from Ireland Fedex Priort'!L249,1)+IF($A250="EU",Variables!$B$6,Variables!$B$3),'Rates from Ireland Fedex Priort'!L249)</f>
        <v>No service</v>
      </c>
      <c r="M250" s="10" t="str">
        <f>IF(ISNUMBER('Rates from Ireland Fedex Priort'!M249),_xlfn.CEILING.MATH('Rates from Ireland Fedex Priort'!M249,1)+IF($A250="EU",Variables!$B$6,Variables!$B$3),'Rates from Ireland Fedex Priort'!M249)</f>
        <v>No service</v>
      </c>
      <c r="N250" s="10">
        <f>IF(ISNUMBER('Rates from Ireland Fedex Priort'!N249),_xlfn.CEILING.MATH('Rates from Ireland Fedex Priort'!N249,1)+IF($A250="EU",Variables!$B$6,Variables!$B$3),'Rates from Ireland Fedex Priort'!N249)</f>
        <v>454</v>
      </c>
      <c r="O250" s="11" t="s">
        <v>271</v>
      </c>
      <c r="P250" s="11" t="s">
        <v>271</v>
      </c>
      <c r="Q250" s="12">
        <v>80</v>
      </c>
      <c r="R250" s="11" t="s">
        <v>25</v>
      </c>
      <c r="S250" s="3" t="s">
        <v>26</v>
      </c>
      <c r="T250" s="38" t="s">
        <v>27</v>
      </c>
    </row>
    <row r="251" spans="1:20" ht="15.75" customHeight="1" thickBot="1" x14ac:dyDescent="0.35">
      <c r="A251" s="39" t="str">
        <f>IF('Rates from Ireland Fedex Priort'!A250="","",'Rates from Ireland Fedex Priort'!A250)</f>
        <v>EU</v>
      </c>
      <c r="B251" s="8" t="str">
        <f>IF('Rates from Ireland Fedex Priort'!B250="","",'Rates from Ireland Fedex Priort'!B250)</f>
        <v>Ireland</v>
      </c>
      <c r="C251" s="9" t="str">
        <f>IF('Rates from Ireland Fedex Priort'!C250="","",'Rates from Ireland Fedex Priort'!C250)</f>
        <v>Zimbabwe</v>
      </c>
      <c r="D251" s="32">
        <f>IF(ISNUMBER('Rates from Ireland Fedex Priort'!D250),_xlfn.CEILING.MATH('Rates from Ireland Fedex Priort'!D250,1)+IF($A251="EU",Variables!$B$5,Variables!$B$2),'Rates from Ireland Fedex Priort'!D250)</f>
        <v>75</v>
      </c>
      <c r="E251" s="32">
        <f>IF(ISNUMBER('Rates from Ireland Fedex Priort'!E250),_xlfn.CEILING.MATH('Rates from Ireland Fedex Priort'!E250,1)+IF($A251="EU",Variables!$B$6,Variables!$B$3),'Rates from Ireland Fedex Priort'!E250)</f>
        <v>83</v>
      </c>
      <c r="F251" s="32">
        <f>IF(ISNUMBER('Rates from Ireland Fedex Priort'!F250),_xlfn.CEILING.MATH('Rates from Ireland Fedex Priort'!F250,1)+IF($A251="EU",Variables!$B$6,Variables!$B$3),'Rates from Ireland Fedex Priort'!F250)</f>
        <v>88</v>
      </c>
      <c r="G251" s="32">
        <f>IF(ISNUMBER('Rates from Ireland Fedex Priort'!G250),_xlfn.CEILING.MATH('Rates from Ireland Fedex Priort'!G250,1)+IF($A251="EU",Variables!$B$6,Variables!$B$3),'Rates from Ireland Fedex Priort'!G250)</f>
        <v>106</v>
      </c>
      <c r="H251" s="32">
        <f>IF(ISNUMBER('Rates from Ireland Fedex Priort'!H250),_xlfn.CEILING.MATH('Rates from Ireland Fedex Priort'!H250,1)+IF($A251="EU",Variables!$B$6,Variables!$B$3),'Rates from Ireland Fedex Priort'!H250)</f>
        <v>134</v>
      </c>
      <c r="I251" s="32">
        <f>IF(ISNUMBER('Rates from Ireland Fedex Priort'!I250),_xlfn.CEILING.MATH('Rates from Ireland Fedex Priort'!I250,1)+IF($A251="EU",Variables!$B$6,Variables!$B$3),'Rates from Ireland Fedex Priort'!I250)</f>
        <v>242</v>
      </c>
      <c r="J251" s="32" t="str">
        <f>IF(ISNUMBER('Rates from Ireland Fedex Priort'!J250),_xlfn.CEILING.MATH('Rates from Ireland Fedex Priort'!J250,1)+IF($A251="EU",Variables!$B$6,Variables!$B$3),'Rates from Ireland Fedex Priort'!J250)</f>
        <v>No service</v>
      </c>
      <c r="K251" s="32" t="str">
        <f>IF(ISNUMBER('Rates from Ireland Fedex Priort'!K250),_xlfn.CEILING.MATH('Rates from Ireland Fedex Priort'!K250,1)+IF($A251="EU",Variables!$B$6,Variables!$B$3),'Rates from Ireland Fedex Priort'!K250)</f>
        <v>No service</v>
      </c>
      <c r="L251" s="32" t="str">
        <f>IF(ISNUMBER('Rates from Ireland Fedex Priort'!L250),_xlfn.CEILING.MATH('Rates from Ireland Fedex Priort'!L250,1)+IF($A251="EU",Variables!$B$6,Variables!$B$3),'Rates from Ireland Fedex Priort'!L250)</f>
        <v>No service</v>
      </c>
      <c r="M251" s="32" t="str">
        <f>IF(ISNUMBER('Rates from Ireland Fedex Priort'!M250),_xlfn.CEILING.MATH('Rates from Ireland Fedex Priort'!M250,1)+IF($A251="EU",Variables!$B$6,Variables!$B$3),'Rates from Ireland Fedex Priort'!M250)</f>
        <v>No service</v>
      </c>
      <c r="N251" s="32">
        <f>IF(ISNUMBER('Rates from Ireland Fedex Priort'!N250),_xlfn.CEILING.MATH('Rates from Ireland Fedex Priort'!N250,1)+IF($A251="EU",Variables!$B$6,Variables!$B$3),'Rates from Ireland Fedex Priort'!N250)</f>
        <v>454</v>
      </c>
      <c r="O251" s="42" t="s">
        <v>271</v>
      </c>
      <c r="P251" s="42" t="s">
        <v>271</v>
      </c>
      <c r="Q251" s="43">
        <v>80</v>
      </c>
      <c r="R251" s="42" t="s">
        <v>25</v>
      </c>
      <c r="S251" s="44" t="s">
        <v>26</v>
      </c>
      <c r="T251" s="45" t="s">
        <v>27</v>
      </c>
    </row>
    <row r="252" spans="1:20" ht="15.75" customHeight="1" x14ac:dyDescent="0.25">
      <c r="B252" s="3"/>
      <c r="S252" s="3"/>
      <c r="T252" s="3"/>
    </row>
    <row r="253" spans="1:20" ht="15.75" customHeight="1" x14ac:dyDescent="0.25">
      <c r="B253" s="3"/>
      <c r="S253" s="3"/>
      <c r="T253" s="3"/>
    </row>
    <row r="254" spans="1:20" ht="15.75" customHeight="1" x14ac:dyDescent="0.25">
      <c r="B254" s="3"/>
      <c r="S254" s="3"/>
      <c r="T254" s="3"/>
    </row>
    <row r="255" spans="1:20" ht="15.75" customHeight="1" x14ac:dyDescent="0.25">
      <c r="B255" s="3"/>
      <c r="S255" s="3"/>
      <c r="T255" s="3"/>
    </row>
    <row r="256" spans="1:20" ht="15.75" customHeight="1" x14ac:dyDescent="0.25">
      <c r="B256" s="3"/>
      <c r="S256" s="3"/>
      <c r="T256" s="3"/>
    </row>
    <row r="257" spans="2:20" ht="15.75" customHeight="1" x14ac:dyDescent="0.25">
      <c r="B257" s="3"/>
      <c r="S257" s="3"/>
      <c r="T257" s="3"/>
    </row>
    <row r="258" spans="2:20" ht="15.75" customHeight="1" x14ac:dyDescent="0.25">
      <c r="B258" s="3"/>
      <c r="S258" s="3"/>
      <c r="T258" s="3"/>
    </row>
    <row r="259" spans="2:20" ht="15.75" customHeight="1" x14ac:dyDescent="0.25">
      <c r="B259" s="3"/>
      <c r="S259" s="3"/>
      <c r="T259" s="3"/>
    </row>
    <row r="260" spans="2:20" ht="15.75" customHeight="1" x14ac:dyDescent="0.25">
      <c r="B260" s="3"/>
      <c r="S260" s="3"/>
      <c r="T260" s="3"/>
    </row>
    <row r="261" spans="2:20" ht="15.75" customHeight="1" x14ac:dyDescent="0.25">
      <c r="B261" s="3"/>
      <c r="S261" s="3"/>
      <c r="T261" s="3"/>
    </row>
    <row r="262" spans="2:20" ht="15.75" customHeight="1" x14ac:dyDescent="0.25">
      <c r="B262" s="3"/>
      <c r="S262" s="3"/>
      <c r="T262" s="3"/>
    </row>
    <row r="263" spans="2:20" ht="15.75" customHeight="1" x14ac:dyDescent="0.25">
      <c r="B263" s="3"/>
      <c r="S263" s="3"/>
      <c r="T263" s="3"/>
    </row>
    <row r="264" spans="2:20" ht="15.75" customHeight="1" x14ac:dyDescent="0.25">
      <c r="B264" s="3"/>
      <c r="S264" s="3"/>
      <c r="T264" s="3"/>
    </row>
    <row r="265" spans="2:20" ht="15.75" customHeight="1" x14ac:dyDescent="0.25">
      <c r="B265" s="3"/>
      <c r="S265" s="3"/>
      <c r="T265" s="3"/>
    </row>
    <row r="266" spans="2:20" ht="15.75" customHeight="1" x14ac:dyDescent="0.25">
      <c r="B266" s="3"/>
      <c r="S266" s="3"/>
      <c r="T266" s="3"/>
    </row>
    <row r="267" spans="2:20" ht="15.75" customHeight="1" x14ac:dyDescent="0.25">
      <c r="B267" s="3"/>
      <c r="S267" s="3"/>
      <c r="T267" s="3"/>
    </row>
    <row r="268" spans="2:20" ht="15.75" customHeight="1" x14ac:dyDescent="0.25">
      <c r="B268" s="3"/>
      <c r="S268" s="3"/>
      <c r="T268" s="3"/>
    </row>
    <row r="269" spans="2:20" ht="15.75" customHeight="1" x14ac:dyDescent="0.25">
      <c r="B269" s="3"/>
      <c r="S269" s="3"/>
      <c r="T269" s="3"/>
    </row>
    <row r="270" spans="2:20" ht="15.75" customHeight="1" x14ac:dyDescent="0.25">
      <c r="B270" s="3"/>
      <c r="S270" s="3"/>
      <c r="T270" s="3"/>
    </row>
    <row r="271" spans="2:20" ht="15.75" customHeight="1" x14ac:dyDescent="0.25">
      <c r="B271" s="3"/>
      <c r="S271" s="3"/>
      <c r="T271" s="3"/>
    </row>
    <row r="272" spans="2:20" ht="15.75" customHeight="1" x14ac:dyDescent="0.25">
      <c r="B272" s="3"/>
      <c r="S272" s="3"/>
      <c r="T272" s="3"/>
    </row>
    <row r="273" spans="2:20" ht="15.75" customHeight="1" x14ac:dyDescent="0.25">
      <c r="B273" s="3"/>
      <c r="S273" s="3"/>
      <c r="T273" s="3"/>
    </row>
    <row r="274" spans="2:20" ht="15.75" customHeight="1" x14ac:dyDescent="0.25">
      <c r="B274" s="3"/>
      <c r="S274" s="3"/>
      <c r="T274" s="3"/>
    </row>
    <row r="275" spans="2:20" ht="15.75" customHeight="1" x14ac:dyDescent="0.25">
      <c r="B275" s="3"/>
      <c r="S275" s="3"/>
      <c r="T275" s="3"/>
    </row>
    <row r="276" spans="2:20" ht="15.75" customHeight="1" x14ac:dyDescent="0.25">
      <c r="B276" s="3"/>
      <c r="S276" s="3"/>
      <c r="T276" s="3"/>
    </row>
    <row r="277" spans="2:20" ht="15.75" customHeight="1" x14ac:dyDescent="0.25">
      <c r="B277" s="3"/>
      <c r="S277" s="3"/>
      <c r="T277" s="3"/>
    </row>
    <row r="278" spans="2:20" ht="15.75" customHeight="1" x14ac:dyDescent="0.25">
      <c r="B278" s="3"/>
      <c r="S278" s="3"/>
      <c r="T278" s="3"/>
    </row>
    <row r="279" spans="2:20" ht="15.75" customHeight="1" x14ac:dyDescent="0.25">
      <c r="B279" s="3"/>
      <c r="S279" s="3"/>
      <c r="T279" s="3"/>
    </row>
    <row r="280" spans="2:20" ht="15.75" customHeight="1" x14ac:dyDescent="0.25">
      <c r="B280" s="3"/>
      <c r="S280" s="3"/>
      <c r="T280" s="3"/>
    </row>
    <row r="281" spans="2:20" ht="15.75" customHeight="1" x14ac:dyDescent="0.25">
      <c r="B281" s="3"/>
      <c r="S281" s="3"/>
      <c r="T281" s="3"/>
    </row>
    <row r="282" spans="2:20" ht="15.75" customHeight="1" x14ac:dyDescent="0.25">
      <c r="B282" s="3"/>
      <c r="S282" s="3"/>
      <c r="T282" s="3"/>
    </row>
    <row r="283" spans="2:20" ht="15.75" customHeight="1" x14ac:dyDescent="0.25">
      <c r="B283" s="3"/>
      <c r="S283" s="3"/>
      <c r="T283" s="3"/>
    </row>
    <row r="284" spans="2:20" ht="15.75" customHeight="1" x14ac:dyDescent="0.25">
      <c r="B284" s="3"/>
      <c r="S284" s="3"/>
      <c r="T284" s="3"/>
    </row>
    <row r="285" spans="2:20" ht="15.75" customHeight="1" x14ac:dyDescent="0.25">
      <c r="B285" s="3"/>
      <c r="S285" s="3"/>
      <c r="T285" s="3"/>
    </row>
    <row r="286" spans="2:20" ht="15.75" customHeight="1" x14ac:dyDescent="0.25">
      <c r="B286" s="3"/>
      <c r="S286" s="3"/>
      <c r="T286" s="3"/>
    </row>
    <row r="287" spans="2:20" ht="15.75" customHeight="1" x14ac:dyDescent="0.25">
      <c r="B287" s="3"/>
      <c r="S287" s="3"/>
      <c r="T287" s="3"/>
    </row>
    <row r="288" spans="2:20" ht="15.75" customHeight="1" x14ac:dyDescent="0.25">
      <c r="B288" s="3"/>
      <c r="S288" s="3"/>
      <c r="T288" s="3"/>
    </row>
    <row r="289" spans="2:20" ht="15.75" customHeight="1" x14ac:dyDescent="0.25">
      <c r="B289" s="3"/>
      <c r="S289" s="3"/>
      <c r="T289" s="3"/>
    </row>
    <row r="290" spans="2:20" ht="15.75" customHeight="1" x14ac:dyDescent="0.25">
      <c r="B290" s="3"/>
      <c r="S290" s="3"/>
      <c r="T290" s="3"/>
    </row>
    <row r="291" spans="2:20" ht="15.75" customHeight="1" x14ac:dyDescent="0.25">
      <c r="B291" s="3"/>
      <c r="S291" s="3"/>
      <c r="T291" s="3"/>
    </row>
    <row r="292" spans="2:20" ht="15.75" customHeight="1" x14ac:dyDescent="0.25">
      <c r="B292" s="3"/>
      <c r="S292" s="3"/>
      <c r="T292" s="3"/>
    </row>
    <row r="293" spans="2:20" ht="15.75" customHeight="1" x14ac:dyDescent="0.25">
      <c r="B293" s="3"/>
      <c r="S293" s="3"/>
      <c r="T293" s="3"/>
    </row>
    <row r="294" spans="2:20" ht="15.75" customHeight="1" x14ac:dyDescent="0.25">
      <c r="B294" s="3"/>
      <c r="S294" s="3"/>
      <c r="T294" s="3"/>
    </row>
    <row r="295" spans="2:20" ht="15.75" customHeight="1" x14ac:dyDescent="0.25">
      <c r="B295" s="3"/>
      <c r="S295" s="3"/>
      <c r="T295" s="3"/>
    </row>
    <row r="296" spans="2:20" ht="15.75" customHeight="1" x14ac:dyDescent="0.25">
      <c r="B296" s="3"/>
      <c r="S296" s="3"/>
      <c r="T296" s="3"/>
    </row>
    <row r="297" spans="2:20" ht="15.75" customHeight="1" x14ac:dyDescent="0.25">
      <c r="B297" s="3"/>
      <c r="S297" s="3"/>
      <c r="T297" s="3"/>
    </row>
    <row r="298" spans="2:20" ht="15.75" customHeight="1" x14ac:dyDescent="0.25">
      <c r="B298" s="3"/>
      <c r="S298" s="3"/>
      <c r="T298" s="3"/>
    </row>
    <row r="299" spans="2:20" ht="15.75" customHeight="1" x14ac:dyDescent="0.25">
      <c r="B299" s="3"/>
      <c r="S299" s="3"/>
      <c r="T299" s="3"/>
    </row>
    <row r="300" spans="2:20" ht="15.75" customHeight="1" x14ac:dyDescent="0.25">
      <c r="B300" s="3"/>
      <c r="S300" s="3"/>
      <c r="T300" s="3"/>
    </row>
    <row r="301" spans="2:20" ht="15.75" customHeight="1" x14ac:dyDescent="0.25">
      <c r="B301" s="3"/>
      <c r="S301" s="3"/>
      <c r="T301" s="3"/>
    </row>
    <row r="302" spans="2:20" ht="15.75" customHeight="1" x14ac:dyDescent="0.25">
      <c r="B302" s="3"/>
      <c r="S302" s="3"/>
      <c r="T302" s="3"/>
    </row>
    <row r="303" spans="2:20" ht="15.75" customHeight="1" x14ac:dyDescent="0.25">
      <c r="B303" s="3"/>
      <c r="S303" s="3"/>
      <c r="T303" s="3"/>
    </row>
    <row r="304" spans="2:20" ht="15.75" customHeight="1" x14ac:dyDescent="0.25">
      <c r="B304" s="3"/>
      <c r="S304" s="3"/>
      <c r="T304" s="3"/>
    </row>
    <row r="305" spans="2:20" ht="15.75" customHeight="1" x14ac:dyDescent="0.25">
      <c r="B305" s="3"/>
      <c r="S305" s="3"/>
      <c r="T305" s="3"/>
    </row>
    <row r="306" spans="2:20" ht="15.75" customHeight="1" x14ac:dyDescent="0.25">
      <c r="B306" s="3"/>
      <c r="S306" s="3"/>
      <c r="T306" s="3"/>
    </row>
    <row r="307" spans="2:20" ht="15.75" customHeight="1" x14ac:dyDescent="0.25">
      <c r="B307" s="3"/>
      <c r="S307" s="3"/>
      <c r="T307" s="3"/>
    </row>
    <row r="308" spans="2:20" ht="15.75" customHeight="1" x14ac:dyDescent="0.25">
      <c r="B308" s="3"/>
      <c r="S308" s="3"/>
      <c r="T308" s="3"/>
    </row>
    <row r="309" spans="2:20" ht="15.75" customHeight="1" x14ac:dyDescent="0.25">
      <c r="B309" s="3"/>
      <c r="S309" s="3"/>
      <c r="T309" s="3"/>
    </row>
    <row r="310" spans="2:20" ht="15.75" customHeight="1" x14ac:dyDescent="0.25">
      <c r="B310" s="3"/>
      <c r="S310" s="3"/>
      <c r="T310" s="3"/>
    </row>
    <row r="311" spans="2:20" ht="15.75" customHeight="1" x14ac:dyDescent="0.25">
      <c r="B311" s="3"/>
      <c r="S311" s="3"/>
      <c r="T311" s="3"/>
    </row>
    <row r="312" spans="2:20" ht="15.75" customHeight="1" x14ac:dyDescent="0.25">
      <c r="B312" s="3"/>
      <c r="S312" s="3"/>
      <c r="T312" s="3"/>
    </row>
    <row r="313" spans="2:20" ht="15.75" customHeight="1" x14ac:dyDescent="0.25">
      <c r="B313" s="3"/>
      <c r="S313" s="3"/>
      <c r="T313" s="3"/>
    </row>
    <row r="314" spans="2:20" ht="15.75" customHeight="1" x14ac:dyDescent="0.25">
      <c r="B314" s="3"/>
      <c r="S314" s="3"/>
      <c r="T314" s="3"/>
    </row>
    <row r="315" spans="2:20" ht="15.75" customHeight="1" x14ac:dyDescent="0.25">
      <c r="B315" s="3"/>
      <c r="S315" s="3"/>
      <c r="T315" s="3"/>
    </row>
    <row r="316" spans="2:20" ht="15.75" customHeight="1" x14ac:dyDescent="0.25">
      <c r="B316" s="3"/>
      <c r="S316" s="3"/>
      <c r="T316" s="3"/>
    </row>
    <row r="317" spans="2:20" ht="15.75" customHeight="1" x14ac:dyDescent="0.25">
      <c r="B317" s="3"/>
      <c r="S317" s="3"/>
      <c r="T317" s="3"/>
    </row>
    <row r="318" spans="2:20" ht="15.75" customHeight="1" x14ac:dyDescent="0.25">
      <c r="B318" s="3"/>
      <c r="S318" s="3"/>
      <c r="T318" s="3"/>
    </row>
    <row r="319" spans="2:20" ht="15.75" customHeight="1" x14ac:dyDescent="0.25">
      <c r="B319" s="3"/>
      <c r="S319" s="3"/>
      <c r="T319" s="3"/>
    </row>
    <row r="320" spans="2:20" ht="15.75" customHeight="1" x14ac:dyDescent="0.25">
      <c r="B320" s="3"/>
      <c r="S320" s="3"/>
      <c r="T320" s="3"/>
    </row>
    <row r="321" spans="2:20" ht="15.75" customHeight="1" x14ac:dyDescent="0.25">
      <c r="B321" s="3"/>
      <c r="S321" s="3"/>
      <c r="T321" s="3"/>
    </row>
    <row r="322" spans="2:20" ht="15.75" customHeight="1" x14ac:dyDescent="0.25">
      <c r="B322" s="3"/>
      <c r="S322" s="3"/>
      <c r="T322" s="3"/>
    </row>
    <row r="323" spans="2:20" ht="15.75" customHeight="1" x14ac:dyDescent="0.25">
      <c r="B323" s="3"/>
      <c r="S323" s="3"/>
      <c r="T323" s="3"/>
    </row>
    <row r="324" spans="2:20" ht="15.75" customHeight="1" x14ac:dyDescent="0.25">
      <c r="B324" s="3"/>
      <c r="S324" s="3"/>
      <c r="T324" s="3"/>
    </row>
    <row r="325" spans="2:20" ht="15.75" customHeight="1" x14ac:dyDescent="0.25">
      <c r="B325" s="3"/>
      <c r="S325" s="3"/>
      <c r="T325" s="3"/>
    </row>
    <row r="326" spans="2:20" ht="15.75" customHeight="1" x14ac:dyDescent="0.25">
      <c r="B326" s="3"/>
      <c r="S326" s="3"/>
      <c r="T326" s="3"/>
    </row>
    <row r="327" spans="2:20" ht="15.75" customHeight="1" x14ac:dyDescent="0.25">
      <c r="B327" s="3"/>
      <c r="S327" s="3"/>
      <c r="T327" s="3"/>
    </row>
    <row r="328" spans="2:20" ht="15.75" customHeight="1" x14ac:dyDescent="0.25">
      <c r="B328" s="3"/>
      <c r="S328" s="3"/>
      <c r="T328" s="3"/>
    </row>
    <row r="329" spans="2:20" ht="15.75" customHeight="1" x14ac:dyDescent="0.25">
      <c r="B329" s="3"/>
      <c r="S329" s="3"/>
      <c r="T329" s="3"/>
    </row>
    <row r="330" spans="2:20" ht="15.75" customHeight="1" x14ac:dyDescent="0.25">
      <c r="B330" s="3"/>
      <c r="S330" s="3"/>
      <c r="T330" s="3"/>
    </row>
    <row r="331" spans="2:20" ht="15.75" customHeight="1" x14ac:dyDescent="0.25">
      <c r="B331" s="3"/>
      <c r="S331" s="3"/>
      <c r="T331" s="3"/>
    </row>
    <row r="332" spans="2:20" ht="15.75" customHeight="1" x14ac:dyDescent="0.25">
      <c r="B332" s="3"/>
      <c r="S332" s="3"/>
      <c r="T332" s="3"/>
    </row>
    <row r="333" spans="2:20" ht="15.75" customHeight="1" x14ac:dyDescent="0.25">
      <c r="B333" s="3"/>
      <c r="S333" s="3"/>
      <c r="T333" s="3"/>
    </row>
    <row r="334" spans="2:20" ht="15.75" customHeight="1" x14ac:dyDescent="0.25">
      <c r="B334" s="3"/>
      <c r="S334" s="3"/>
      <c r="T334" s="3"/>
    </row>
    <row r="335" spans="2:20" ht="15.75" customHeight="1" x14ac:dyDescent="0.25">
      <c r="B335" s="3"/>
      <c r="S335" s="3"/>
      <c r="T335" s="3"/>
    </row>
    <row r="336" spans="2:20" ht="15.75" customHeight="1" x14ac:dyDescent="0.25">
      <c r="B336" s="3"/>
      <c r="S336" s="3"/>
      <c r="T336" s="3"/>
    </row>
    <row r="337" spans="2:20" ht="15.75" customHeight="1" x14ac:dyDescent="0.25">
      <c r="B337" s="3"/>
      <c r="S337" s="3"/>
      <c r="T337" s="3"/>
    </row>
    <row r="338" spans="2:20" ht="15.75" customHeight="1" x14ac:dyDescent="0.25">
      <c r="B338" s="3"/>
      <c r="S338" s="3"/>
      <c r="T338" s="3"/>
    </row>
    <row r="339" spans="2:20" ht="15.75" customHeight="1" x14ac:dyDescent="0.25">
      <c r="B339" s="3"/>
      <c r="S339" s="3"/>
      <c r="T339" s="3"/>
    </row>
    <row r="340" spans="2:20" ht="15.75" customHeight="1" x14ac:dyDescent="0.25">
      <c r="B340" s="3"/>
      <c r="S340" s="3"/>
      <c r="T340" s="3"/>
    </row>
    <row r="341" spans="2:20" ht="15.75" customHeight="1" x14ac:dyDescent="0.25">
      <c r="B341" s="3"/>
      <c r="S341" s="3"/>
      <c r="T341" s="3"/>
    </row>
    <row r="342" spans="2:20" ht="15.75" customHeight="1" x14ac:dyDescent="0.25">
      <c r="B342" s="3"/>
      <c r="S342" s="3"/>
      <c r="T342" s="3"/>
    </row>
    <row r="343" spans="2:20" ht="15.75" customHeight="1" x14ac:dyDescent="0.25">
      <c r="B343" s="3"/>
      <c r="S343" s="3"/>
      <c r="T343" s="3"/>
    </row>
    <row r="344" spans="2:20" ht="15.75" customHeight="1" x14ac:dyDescent="0.25">
      <c r="B344" s="3"/>
      <c r="S344" s="3"/>
      <c r="T344" s="3"/>
    </row>
    <row r="345" spans="2:20" ht="15.75" customHeight="1" x14ac:dyDescent="0.25">
      <c r="B345" s="3"/>
      <c r="S345" s="3"/>
      <c r="T345" s="3"/>
    </row>
    <row r="346" spans="2:20" ht="15.75" customHeight="1" x14ac:dyDescent="0.25">
      <c r="B346" s="3"/>
      <c r="S346" s="3"/>
      <c r="T346" s="3"/>
    </row>
    <row r="347" spans="2:20" ht="15.75" customHeight="1" x14ac:dyDescent="0.25">
      <c r="B347" s="3"/>
      <c r="S347" s="3"/>
      <c r="T347" s="3"/>
    </row>
    <row r="348" spans="2:20" ht="15.75" customHeight="1" x14ac:dyDescent="0.25">
      <c r="B348" s="3"/>
      <c r="S348" s="3"/>
      <c r="T348" s="3"/>
    </row>
    <row r="349" spans="2:20" ht="15.75" customHeight="1" x14ac:dyDescent="0.25">
      <c r="B349" s="3"/>
      <c r="S349" s="3"/>
      <c r="T349" s="3"/>
    </row>
    <row r="350" spans="2:20" ht="15.75" customHeight="1" x14ac:dyDescent="0.25">
      <c r="B350" s="3"/>
      <c r="S350" s="3"/>
      <c r="T350" s="3"/>
    </row>
    <row r="351" spans="2:20" ht="15.75" customHeight="1" x14ac:dyDescent="0.25">
      <c r="B351" s="3"/>
      <c r="S351" s="3"/>
      <c r="T351" s="3"/>
    </row>
    <row r="352" spans="2:20" ht="15.75" customHeight="1" x14ac:dyDescent="0.25">
      <c r="B352" s="3"/>
      <c r="S352" s="3"/>
      <c r="T352" s="3"/>
    </row>
    <row r="353" spans="2:20" ht="15.75" customHeight="1" x14ac:dyDescent="0.25">
      <c r="B353" s="3"/>
      <c r="S353" s="3"/>
      <c r="T353" s="3"/>
    </row>
    <row r="354" spans="2:20" ht="15.75" customHeight="1" x14ac:dyDescent="0.25">
      <c r="B354" s="3"/>
      <c r="S354" s="3"/>
      <c r="T354" s="3"/>
    </row>
    <row r="355" spans="2:20" ht="15.75" customHeight="1" x14ac:dyDescent="0.25">
      <c r="B355" s="3"/>
      <c r="S355" s="3"/>
      <c r="T355" s="3"/>
    </row>
    <row r="356" spans="2:20" ht="15.75" customHeight="1" x14ac:dyDescent="0.25">
      <c r="B356" s="3"/>
      <c r="S356" s="3"/>
      <c r="T356" s="3"/>
    </row>
    <row r="357" spans="2:20" ht="15.75" customHeight="1" x14ac:dyDescent="0.25">
      <c r="B357" s="3"/>
      <c r="S357" s="3"/>
      <c r="T357" s="3"/>
    </row>
    <row r="358" spans="2:20" ht="15.75" customHeight="1" x14ac:dyDescent="0.25">
      <c r="B358" s="3"/>
      <c r="S358" s="3"/>
      <c r="T358" s="3"/>
    </row>
    <row r="359" spans="2:20" ht="15.75" customHeight="1" x14ac:dyDescent="0.25">
      <c r="B359" s="3"/>
      <c r="S359" s="3"/>
      <c r="T359" s="3"/>
    </row>
    <row r="360" spans="2:20" ht="15.75" customHeight="1" x14ac:dyDescent="0.25">
      <c r="B360" s="3"/>
      <c r="S360" s="3"/>
      <c r="T360" s="3"/>
    </row>
    <row r="361" spans="2:20" ht="15.75" customHeight="1" x14ac:dyDescent="0.25">
      <c r="B361" s="3"/>
      <c r="S361" s="3"/>
      <c r="T361" s="3"/>
    </row>
    <row r="362" spans="2:20" ht="15.75" customHeight="1" x14ac:dyDescent="0.25">
      <c r="B362" s="3"/>
      <c r="S362" s="3"/>
      <c r="T362" s="3"/>
    </row>
    <row r="363" spans="2:20" ht="15.75" customHeight="1" x14ac:dyDescent="0.25">
      <c r="B363" s="3"/>
      <c r="S363" s="3"/>
      <c r="T363" s="3"/>
    </row>
    <row r="364" spans="2:20" ht="15.75" customHeight="1" x14ac:dyDescent="0.25">
      <c r="B364" s="3"/>
      <c r="S364" s="3"/>
      <c r="T364" s="3"/>
    </row>
    <row r="365" spans="2:20" ht="15.75" customHeight="1" x14ac:dyDescent="0.25">
      <c r="B365" s="3"/>
      <c r="S365" s="3"/>
      <c r="T365" s="3"/>
    </row>
    <row r="366" spans="2:20" ht="15.75" customHeight="1" x14ac:dyDescent="0.25">
      <c r="B366" s="3"/>
      <c r="S366" s="3"/>
      <c r="T366" s="3"/>
    </row>
    <row r="367" spans="2:20" ht="15.75" customHeight="1" x14ac:dyDescent="0.25">
      <c r="B367" s="3"/>
      <c r="S367" s="3"/>
      <c r="T367" s="3"/>
    </row>
    <row r="368" spans="2:20" ht="15.75" customHeight="1" x14ac:dyDescent="0.25">
      <c r="B368" s="3"/>
      <c r="S368" s="3"/>
      <c r="T368" s="3"/>
    </row>
    <row r="369" spans="2:20" ht="15.75" customHeight="1" x14ac:dyDescent="0.25">
      <c r="B369" s="3"/>
      <c r="S369" s="3"/>
      <c r="T369" s="3"/>
    </row>
    <row r="370" spans="2:20" ht="15.75" customHeight="1" x14ac:dyDescent="0.25">
      <c r="B370" s="3"/>
      <c r="S370" s="3"/>
      <c r="T370" s="3"/>
    </row>
    <row r="371" spans="2:20" ht="15.75" customHeight="1" x14ac:dyDescent="0.25">
      <c r="B371" s="3"/>
      <c r="S371" s="3"/>
      <c r="T371" s="3"/>
    </row>
    <row r="372" spans="2:20" ht="15.75" customHeight="1" x14ac:dyDescent="0.25">
      <c r="B372" s="3"/>
      <c r="S372" s="3"/>
      <c r="T372" s="3"/>
    </row>
    <row r="373" spans="2:20" ht="15.75" customHeight="1" x14ac:dyDescent="0.25">
      <c r="B373" s="3"/>
      <c r="S373" s="3"/>
      <c r="T373" s="3"/>
    </row>
    <row r="374" spans="2:20" ht="15.75" customHeight="1" x14ac:dyDescent="0.25">
      <c r="B374" s="3"/>
      <c r="S374" s="3"/>
      <c r="T374" s="3"/>
    </row>
    <row r="375" spans="2:20" ht="15.75" customHeight="1" x14ac:dyDescent="0.25">
      <c r="B375" s="3"/>
      <c r="S375" s="3"/>
      <c r="T375" s="3"/>
    </row>
    <row r="376" spans="2:20" ht="15.75" customHeight="1" x14ac:dyDescent="0.25">
      <c r="B376" s="3"/>
      <c r="S376" s="3"/>
      <c r="T376" s="3"/>
    </row>
    <row r="377" spans="2:20" ht="15.75" customHeight="1" x14ac:dyDescent="0.25">
      <c r="B377" s="3"/>
      <c r="S377" s="3"/>
      <c r="T377" s="3"/>
    </row>
    <row r="378" spans="2:20" ht="15.75" customHeight="1" x14ac:dyDescent="0.25">
      <c r="B378" s="3"/>
      <c r="S378" s="3"/>
      <c r="T378" s="3"/>
    </row>
    <row r="379" spans="2:20" ht="15.75" customHeight="1" x14ac:dyDescent="0.25">
      <c r="B379" s="3"/>
      <c r="S379" s="3"/>
      <c r="T379" s="3"/>
    </row>
    <row r="380" spans="2:20" ht="15.75" customHeight="1" x14ac:dyDescent="0.25">
      <c r="B380" s="3"/>
      <c r="S380" s="3"/>
      <c r="T380" s="3"/>
    </row>
    <row r="381" spans="2:20" ht="15.75" customHeight="1" x14ac:dyDescent="0.25">
      <c r="B381" s="3"/>
      <c r="S381" s="3"/>
      <c r="T381" s="3"/>
    </row>
    <row r="382" spans="2:20" ht="15.75" customHeight="1" x14ac:dyDescent="0.25">
      <c r="B382" s="3"/>
      <c r="S382" s="3"/>
      <c r="T382" s="3"/>
    </row>
    <row r="383" spans="2:20" ht="15.75" customHeight="1" x14ac:dyDescent="0.25">
      <c r="B383" s="3"/>
      <c r="S383" s="3"/>
      <c r="T383" s="3"/>
    </row>
    <row r="384" spans="2:20" ht="15.75" customHeight="1" x14ac:dyDescent="0.25">
      <c r="B384" s="3"/>
      <c r="S384" s="3"/>
      <c r="T384" s="3"/>
    </row>
    <row r="385" spans="2:20" ht="15.75" customHeight="1" x14ac:dyDescent="0.25">
      <c r="B385" s="3"/>
      <c r="S385" s="3"/>
      <c r="T385" s="3"/>
    </row>
    <row r="386" spans="2:20" ht="15.75" customHeight="1" x14ac:dyDescent="0.25">
      <c r="B386" s="3"/>
      <c r="S386" s="3"/>
      <c r="T386" s="3"/>
    </row>
    <row r="387" spans="2:20" ht="15.75" customHeight="1" x14ac:dyDescent="0.25">
      <c r="B387" s="3"/>
      <c r="S387" s="3"/>
      <c r="T387" s="3"/>
    </row>
    <row r="388" spans="2:20" ht="15.75" customHeight="1" x14ac:dyDescent="0.25">
      <c r="B388" s="3"/>
      <c r="S388" s="3"/>
      <c r="T388" s="3"/>
    </row>
    <row r="389" spans="2:20" ht="15.75" customHeight="1" x14ac:dyDescent="0.25">
      <c r="B389" s="3"/>
      <c r="S389" s="3"/>
      <c r="T389" s="3"/>
    </row>
    <row r="390" spans="2:20" ht="15.75" customHeight="1" x14ac:dyDescent="0.25">
      <c r="B390" s="3"/>
      <c r="S390" s="3"/>
      <c r="T390" s="3"/>
    </row>
    <row r="391" spans="2:20" ht="15.75" customHeight="1" x14ac:dyDescent="0.25">
      <c r="B391" s="3"/>
      <c r="S391" s="3"/>
      <c r="T391" s="3"/>
    </row>
    <row r="392" spans="2:20" ht="15.75" customHeight="1" x14ac:dyDescent="0.25">
      <c r="B392" s="3"/>
      <c r="S392" s="3"/>
      <c r="T392" s="3"/>
    </row>
    <row r="393" spans="2:20" ht="15.75" customHeight="1" x14ac:dyDescent="0.25">
      <c r="B393" s="3"/>
      <c r="S393" s="3"/>
      <c r="T393" s="3"/>
    </row>
    <row r="394" spans="2:20" ht="15.75" customHeight="1" x14ac:dyDescent="0.25">
      <c r="B394" s="3"/>
      <c r="S394" s="3"/>
      <c r="T394" s="3"/>
    </row>
    <row r="395" spans="2:20" ht="15.75" customHeight="1" x14ac:dyDescent="0.25">
      <c r="B395" s="3"/>
      <c r="S395" s="3"/>
      <c r="T395" s="3"/>
    </row>
    <row r="396" spans="2:20" ht="15.75" customHeight="1" x14ac:dyDescent="0.25">
      <c r="B396" s="3"/>
      <c r="S396" s="3"/>
      <c r="T396" s="3"/>
    </row>
    <row r="397" spans="2:20" ht="15.75" customHeight="1" x14ac:dyDescent="0.25">
      <c r="B397" s="3"/>
      <c r="S397" s="3"/>
      <c r="T397" s="3"/>
    </row>
    <row r="398" spans="2:20" ht="15.75" customHeight="1" x14ac:dyDescent="0.25">
      <c r="B398" s="3"/>
      <c r="S398" s="3"/>
      <c r="T398" s="3"/>
    </row>
    <row r="399" spans="2:20" ht="15.75" customHeight="1" x14ac:dyDescent="0.25">
      <c r="B399" s="3"/>
      <c r="S399" s="3"/>
      <c r="T399" s="3"/>
    </row>
    <row r="400" spans="2:20" ht="15.75" customHeight="1" x14ac:dyDescent="0.25">
      <c r="B400" s="3"/>
      <c r="S400" s="3"/>
      <c r="T400" s="3"/>
    </row>
    <row r="401" spans="2:20" ht="15.75" customHeight="1" x14ac:dyDescent="0.25">
      <c r="B401" s="3"/>
      <c r="S401" s="3"/>
      <c r="T401" s="3"/>
    </row>
    <row r="402" spans="2:20" ht="15.75" customHeight="1" x14ac:dyDescent="0.25">
      <c r="B402" s="3"/>
      <c r="S402" s="3"/>
      <c r="T402" s="3"/>
    </row>
    <row r="403" spans="2:20" ht="15.75" customHeight="1" x14ac:dyDescent="0.25">
      <c r="B403" s="3"/>
      <c r="S403" s="3"/>
      <c r="T403" s="3"/>
    </row>
    <row r="404" spans="2:20" ht="15.75" customHeight="1" x14ac:dyDescent="0.25">
      <c r="B404" s="3"/>
      <c r="S404" s="3"/>
      <c r="T404" s="3"/>
    </row>
    <row r="405" spans="2:20" ht="15.75" customHeight="1" x14ac:dyDescent="0.25">
      <c r="B405" s="3"/>
      <c r="S405" s="3"/>
      <c r="T405" s="3"/>
    </row>
    <row r="406" spans="2:20" ht="15.75" customHeight="1" x14ac:dyDescent="0.25">
      <c r="B406" s="3"/>
      <c r="S406" s="3"/>
      <c r="T406" s="3"/>
    </row>
    <row r="407" spans="2:20" ht="15.75" customHeight="1" x14ac:dyDescent="0.25">
      <c r="B407" s="3"/>
      <c r="S407" s="3"/>
      <c r="T407" s="3"/>
    </row>
    <row r="408" spans="2:20" ht="15.75" customHeight="1" x14ac:dyDescent="0.25">
      <c r="B408" s="3"/>
      <c r="S408" s="3"/>
      <c r="T408" s="3"/>
    </row>
    <row r="409" spans="2:20" ht="15.75" customHeight="1" x14ac:dyDescent="0.25">
      <c r="B409" s="3"/>
      <c r="S409" s="3"/>
      <c r="T409" s="3"/>
    </row>
    <row r="410" spans="2:20" ht="15.75" customHeight="1" x14ac:dyDescent="0.25">
      <c r="B410" s="3"/>
      <c r="S410" s="3"/>
      <c r="T410" s="3"/>
    </row>
    <row r="411" spans="2:20" ht="15.75" customHeight="1" x14ac:dyDescent="0.25">
      <c r="B411" s="3"/>
      <c r="S411" s="3"/>
      <c r="T411" s="3"/>
    </row>
    <row r="412" spans="2:20" ht="15.75" customHeight="1" x14ac:dyDescent="0.25">
      <c r="B412" s="3"/>
      <c r="S412" s="3"/>
      <c r="T412" s="3"/>
    </row>
    <row r="413" spans="2:20" ht="15.75" customHeight="1" x14ac:dyDescent="0.25">
      <c r="B413" s="3"/>
      <c r="S413" s="3"/>
      <c r="T413" s="3"/>
    </row>
    <row r="414" spans="2:20" ht="15.75" customHeight="1" x14ac:dyDescent="0.25">
      <c r="B414" s="3"/>
      <c r="S414" s="3"/>
      <c r="T414" s="3"/>
    </row>
    <row r="415" spans="2:20" ht="15.75" customHeight="1" x14ac:dyDescent="0.25">
      <c r="B415" s="3"/>
      <c r="S415" s="3"/>
      <c r="T415" s="3"/>
    </row>
    <row r="416" spans="2:20" ht="15.75" customHeight="1" x14ac:dyDescent="0.25">
      <c r="B416" s="3"/>
      <c r="S416" s="3"/>
      <c r="T416" s="3"/>
    </row>
    <row r="417" spans="2:20" ht="15.75" customHeight="1" x14ac:dyDescent="0.25">
      <c r="B417" s="3"/>
      <c r="S417" s="3"/>
      <c r="T417" s="3"/>
    </row>
    <row r="418" spans="2:20" ht="15.75" customHeight="1" x14ac:dyDescent="0.25">
      <c r="B418" s="3"/>
      <c r="S418" s="3"/>
      <c r="T418" s="3"/>
    </row>
    <row r="419" spans="2:20" ht="15.75" customHeight="1" x14ac:dyDescent="0.25">
      <c r="B419" s="3"/>
      <c r="S419" s="3"/>
      <c r="T419" s="3"/>
    </row>
    <row r="420" spans="2:20" ht="15.75" customHeight="1" x14ac:dyDescent="0.25">
      <c r="B420" s="3"/>
      <c r="S420" s="3"/>
      <c r="T420" s="3"/>
    </row>
    <row r="421" spans="2:20" ht="15.75" customHeight="1" x14ac:dyDescent="0.25">
      <c r="B421" s="3"/>
      <c r="S421" s="3"/>
      <c r="T421" s="3"/>
    </row>
    <row r="422" spans="2:20" ht="15.75" customHeight="1" x14ac:dyDescent="0.25">
      <c r="B422" s="3"/>
      <c r="S422" s="3"/>
      <c r="T422" s="3"/>
    </row>
    <row r="423" spans="2:20" ht="15.75" customHeight="1" x14ac:dyDescent="0.25">
      <c r="B423" s="3"/>
      <c r="S423" s="3"/>
      <c r="T423" s="3"/>
    </row>
    <row r="424" spans="2:20" ht="15.75" customHeight="1" x14ac:dyDescent="0.25">
      <c r="B424" s="3"/>
      <c r="S424" s="3"/>
      <c r="T424" s="3"/>
    </row>
    <row r="425" spans="2:20" ht="15.75" customHeight="1" x14ac:dyDescent="0.25">
      <c r="B425" s="3"/>
      <c r="S425" s="3"/>
      <c r="T425" s="3"/>
    </row>
    <row r="426" spans="2:20" ht="15.75" customHeight="1" x14ac:dyDescent="0.25">
      <c r="B426" s="3"/>
      <c r="S426" s="3"/>
      <c r="T426" s="3"/>
    </row>
    <row r="427" spans="2:20" ht="15.75" customHeight="1" x14ac:dyDescent="0.25">
      <c r="B427" s="3"/>
      <c r="S427" s="3"/>
      <c r="T427" s="3"/>
    </row>
    <row r="428" spans="2:20" ht="15.75" customHeight="1" x14ac:dyDescent="0.25">
      <c r="B428" s="3"/>
      <c r="S428" s="3"/>
      <c r="T428" s="3"/>
    </row>
    <row r="429" spans="2:20" ht="15.75" customHeight="1" x14ac:dyDescent="0.25">
      <c r="B429" s="3"/>
      <c r="S429" s="3"/>
      <c r="T429" s="3"/>
    </row>
    <row r="430" spans="2:20" ht="15.75" customHeight="1" x14ac:dyDescent="0.25">
      <c r="B430" s="3"/>
      <c r="S430" s="3"/>
      <c r="T430" s="3"/>
    </row>
    <row r="431" spans="2:20" ht="15.75" customHeight="1" x14ac:dyDescent="0.25">
      <c r="B431" s="3"/>
      <c r="S431" s="3"/>
      <c r="T431" s="3"/>
    </row>
    <row r="432" spans="2:20" ht="15.75" customHeight="1" x14ac:dyDescent="0.25">
      <c r="B432" s="3"/>
      <c r="S432" s="3"/>
      <c r="T432" s="3"/>
    </row>
    <row r="433" spans="2:20" ht="15.75" customHeight="1" x14ac:dyDescent="0.25">
      <c r="B433" s="3"/>
      <c r="S433" s="3"/>
      <c r="T433" s="3"/>
    </row>
    <row r="434" spans="2:20" ht="15.75" customHeight="1" x14ac:dyDescent="0.25">
      <c r="B434" s="3"/>
      <c r="S434" s="3"/>
      <c r="T434" s="3"/>
    </row>
    <row r="435" spans="2:20" ht="15.75" customHeight="1" x14ac:dyDescent="0.25">
      <c r="B435" s="3"/>
      <c r="S435" s="3"/>
      <c r="T435" s="3"/>
    </row>
    <row r="436" spans="2:20" ht="15.75" customHeight="1" x14ac:dyDescent="0.25">
      <c r="B436" s="3"/>
      <c r="S436" s="3"/>
      <c r="T436" s="3"/>
    </row>
    <row r="437" spans="2:20" ht="15.75" customHeight="1" x14ac:dyDescent="0.25">
      <c r="B437" s="3"/>
      <c r="S437" s="3"/>
      <c r="T437" s="3"/>
    </row>
    <row r="438" spans="2:20" ht="15.75" customHeight="1" x14ac:dyDescent="0.25">
      <c r="B438" s="3"/>
      <c r="S438" s="3"/>
      <c r="T438" s="3"/>
    </row>
    <row r="439" spans="2:20" ht="15.75" customHeight="1" x14ac:dyDescent="0.25">
      <c r="B439" s="3"/>
      <c r="S439" s="3"/>
      <c r="T439" s="3"/>
    </row>
    <row r="440" spans="2:20" ht="15.75" customHeight="1" x14ac:dyDescent="0.25">
      <c r="B440" s="3"/>
      <c r="S440" s="3"/>
      <c r="T440" s="3"/>
    </row>
    <row r="441" spans="2:20" ht="15.75" customHeight="1" x14ac:dyDescent="0.25">
      <c r="B441" s="3"/>
      <c r="S441" s="3"/>
      <c r="T441" s="3"/>
    </row>
    <row r="442" spans="2:20" ht="15.75" customHeight="1" x14ac:dyDescent="0.25">
      <c r="B442" s="3"/>
      <c r="S442" s="3"/>
      <c r="T442" s="3"/>
    </row>
    <row r="443" spans="2:20" ht="15.75" customHeight="1" x14ac:dyDescent="0.25">
      <c r="B443" s="3"/>
      <c r="S443" s="3"/>
      <c r="T443" s="3"/>
    </row>
    <row r="444" spans="2:20" ht="15.75" customHeight="1" x14ac:dyDescent="0.25">
      <c r="B444" s="3"/>
      <c r="S444" s="3"/>
      <c r="T444" s="3"/>
    </row>
    <row r="445" spans="2:20" ht="15.75" customHeight="1" x14ac:dyDescent="0.25">
      <c r="B445" s="3"/>
      <c r="S445" s="3"/>
      <c r="T445" s="3"/>
    </row>
    <row r="446" spans="2:20" ht="15.75" customHeight="1" x14ac:dyDescent="0.25">
      <c r="B446" s="3"/>
      <c r="S446" s="3"/>
      <c r="T446" s="3"/>
    </row>
    <row r="447" spans="2:20" ht="15.75" customHeight="1" x14ac:dyDescent="0.25">
      <c r="B447" s="3"/>
      <c r="S447" s="3"/>
      <c r="T447" s="3"/>
    </row>
    <row r="448" spans="2:20" ht="15.75" customHeight="1" x14ac:dyDescent="0.25">
      <c r="B448" s="3"/>
      <c r="S448" s="3"/>
      <c r="T448" s="3"/>
    </row>
    <row r="449" spans="2:20" ht="15.75" customHeight="1" x14ac:dyDescent="0.25">
      <c r="B449" s="3"/>
      <c r="S449" s="3"/>
      <c r="T449" s="3"/>
    </row>
    <row r="450" spans="2:20" ht="15.75" customHeight="1" x14ac:dyDescent="0.25">
      <c r="B450" s="3"/>
      <c r="S450" s="3"/>
      <c r="T450" s="3"/>
    </row>
    <row r="451" spans="2:20" ht="15.75" customHeight="1" x14ac:dyDescent="0.25">
      <c r="B451" s="3"/>
      <c r="S451" s="3"/>
      <c r="T451" s="3"/>
    </row>
    <row r="452" spans="2:20" ht="15.75" customHeight="1" x14ac:dyDescent="0.25">
      <c r="B452" s="3"/>
      <c r="S452" s="3"/>
      <c r="T452" s="3"/>
    </row>
    <row r="453" spans="2:20" ht="15.75" customHeight="1" x14ac:dyDescent="0.25">
      <c r="B453" s="3"/>
      <c r="S453" s="3"/>
      <c r="T453" s="3"/>
    </row>
    <row r="454" spans="2:20" ht="15.75" customHeight="1" x14ac:dyDescent="0.25">
      <c r="B454" s="3"/>
      <c r="S454" s="3"/>
      <c r="T454" s="3"/>
    </row>
    <row r="455" spans="2:20" ht="15.75" customHeight="1" x14ac:dyDescent="0.25">
      <c r="B455" s="3"/>
      <c r="S455" s="3"/>
      <c r="T455" s="3"/>
    </row>
    <row r="456" spans="2:20" ht="15.75" customHeight="1" x14ac:dyDescent="0.25">
      <c r="B456" s="3"/>
      <c r="S456" s="3"/>
      <c r="T456" s="3"/>
    </row>
    <row r="457" spans="2:20" ht="15.75" customHeight="1" x14ac:dyDescent="0.25">
      <c r="B457" s="3"/>
      <c r="S457" s="3"/>
      <c r="T457" s="3"/>
    </row>
    <row r="458" spans="2:20" ht="15.75" customHeight="1" x14ac:dyDescent="0.25">
      <c r="B458" s="3"/>
      <c r="S458" s="3"/>
      <c r="T458" s="3"/>
    </row>
    <row r="459" spans="2:20" ht="15.75" customHeight="1" x14ac:dyDescent="0.25">
      <c r="B459" s="3"/>
      <c r="S459" s="3"/>
      <c r="T459" s="3"/>
    </row>
    <row r="460" spans="2:20" ht="15.75" customHeight="1" x14ac:dyDescent="0.25">
      <c r="B460" s="3"/>
      <c r="S460" s="3"/>
      <c r="T460" s="3"/>
    </row>
    <row r="461" spans="2:20" ht="15.75" customHeight="1" x14ac:dyDescent="0.25">
      <c r="B461" s="3"/>
      <c r="S461" s="3"/>
      <c r="T461" s="3"/>
    </row>
    <row r="462" spans="2:20" ht="15.75" customHeight="1" x14ac:dyDescent="0.25">
      <c r="B462" s="3"/>
      <c r="S462" s="3"/>
      <c r="T462" s="3"/>
    </row>
    <row r="463" spans="2:20" ht="15.75" customHeight="1" x14ac:dyDescent="0.25">
      <c r="B463" s="3"/>
      <c r="S463" s="3"/>
      <c r="T463" s="3"/>
    </row>
    <row r="464" spans="2:20" ht="15.75" customHeight="1" x14ac:dyDescent="0.25">
      <c r="B464" s="3"/>
      <c r="S464" s="3"/>
      <c r="T464" s="3"/>
    </row>
    <row r="465" spans="2:20" ht="15.75" customHeight="1" x14ac:dyDescent="0.25">
      <c r="B465" s="3"/>
      <c r="S465" s="3"/>
      <c r="T465" s="3"/>
    </row>
    <row r="466" spans="2:20" ht="15.75" customHeight="1" x14ac:dyDescent="0.25">
      <c r="B466" s="3"/>
      <c r="S466" s="3"/>
      <c r="T466" s="3"/>
    </row>
    <row r="467" spans="2:20" ht="15.75" customHeight="1" x14ac:dyDescent="0.25">
      <c r="B467" s="3"/>
      <c r="S467" s="3"/>
      <c r="T467" s="3"/>
    </row>
    <row r="468" spans="2:20" ht="15.75" customHeight="1" x14ac:dyDescent="0.25">
      <c r="B468" s="3"/>
      <c r="S468" s="3"/>
      <c r="T468" s="3"/>
    </row>
    <row r="469" spans="2:20" ht="15.75" customHeight="1" x14ac:dyDescent="0.25">
      <c r="B469" s="3"/>
      <c r="S469" s="3"/>
      <c r="T469" s="3"/>
    </row>
    <row r="470" spans="2:20" ht="15.75" customHeight="1" x14ac:dyDescent="0.25">
      <c r="B470" s="3"/>
      <c r="S470" s="3"/>
      <c r="T470" s="3"/>
    </row>
    <row r="471" spans="2:20" ht="15.75" customHeight="1" x14ac:dyDescent="0.25">
      <c r="B471" s="3"/>
      <c r="S471" s="3"/>
      <c r="T471" s="3"/>
    </row>
    <row r="472" spans="2:20" ht="15.75" customHeight="1" x14ac:dyDescent="0.25">
      <c r="B472" s="3"/>
      <c r="S472" s="3"/>
      <c r="T472" s="3"/>
    </row>
    <row r="473" spans="2:20" ht="15.75" customHeight="1" x14ac:dyDescent="0.25">
      <c r="B473" s="3"/>
      <c r="S473" s="3"/>
      <c r="T473" s="3"/>
    </row>
    <row r="474" spans="2:20" ht="15.75" customHeight="1" x14ac:dyDescent="0.25">
      <c r="B474" s="3"/>
      <c r="S474" s="3"/>
      <c r="T474" s="3"/>
    </row>
    <row r="475" spans="2:20" ht="15.75" customHeight="1" x14ac:dyDescent="0.25">
      <c r="B475" s="3"/>
      <c r="S475" s="3"/>
      <c r="T475" s="3"/>
    </row>
    <row r="476" spans="2:20" ht="15.75" customHeight="1" x14ac:dyDescent="0.25">
      <c r="B476" s="3"/>
      <c r="S476" s="3"/>
      <c r="T476" s="3"/>
    </row>
    <row r="477" spans="2:20" ht="15.75" customHeight="1" x14ac:dyDescent="0.25">
      <c r="B477" s="3"/>
      <c r="S477" s="3"/>
      <c r="T477" s="3"/>
    </row>
    <row r="478" spans="2:20" ht="15.75" customHeight="1" x14ac:dyDescent="0.25">
      <c r="B478" s="3"/>
      <c r="S478" s="3"/>
      <c r="T478" s="3"/>
    </row>
    <row r="479" spans="2:20" ht="15.75" customHeight="1" x14ac:dyDescent="0.25">
      <c r="B479" s="3"/>
      <c r="S479" s="3"/>
      <c r="T479" s="3"/>
    </row>
    <row r="480" spans="2:20" ht="15.75" customHeight="1" x14ac:dyDescent="0.25">
      <c r="B480" s="3"/>
      <c r="S480" s="3"/>
      <c r="T480" s="3"/>
    </row>
    <row r="481" spans="2:20" ht="15.75" customHeight="1" x14ac:dyDescent="0.25">
      <c r="B481" s="3"/>
      <c r="S481" s="3"/>
      <c r="T481" s="3"/>
    </row>
    <row r="482" spans="2:20" ht="15.75" customHeight="1" x14ac:dyDescent="0.25">
      <c r="B482" s="3"/>
      <c r="S482" s="3"/>
      <c r="T482" s="3"/>
    </row>
    <row r="483" spans="2:20" ht="15.75" customHeight="1" x14ac:dyDescent="0.25">
      <c r="B483" s="3"/>
      <c r="S483" s="3"/>
      <c r="T483" s="3"/>
    </row>
    <row r="484" spans="2:20" ht="15.75" customHeight="1" x14ac:dyDescent="0.25">
      <c r="B484" s="3"/>
      <c r="S484" s="3"/>
      <c r="T484" s="3"/>
    </row>
    <row r="485" spans="2:20" ht="15.75" customHeight="1" x14ac:dyDescent="0.25">
      <c r="B485" s="3"/>
      <c r="S485" s="3"/>
      <c r="T485" s="3"/>
    </row>
    <row r="486" spans="2:20" ht="15.75" customHeight="1" x14ac:dyDescent="0.25">
      <c r="B486" s="3"/>
      <c r="S486" s="3"/>
      <c r="T486" s="3"/>
    </row>
    <row r="487" spans="2:20" ht="15.75" customHeight="1" x14ac:dyDescent="0.25">
      <c r="B487" s="3"/>
      <c r="S487" s="3"/>
      <c r="T487" s="3"/>
    </row>
    <row r="488" spans="2:20" ht="15.75" customHeight="1" x14ac:dyDescent="0.25">
      <c r="B488" s="3"/>
      <c r="S488" s="3"/>
      <c r="T488" s="3"/>
    </row>
    <row r="489" spans="2:20" ht="15.75" customHeight="1" x14ac:dyDescent="0.25">
      <c r="B489" s="3"/>
      <c r="S489" s="3"/>
      <c r="T489" s="3"/>
    </row>
    <row r="490" spans="2:20" ht="15.75" customHeight="1" x14ac:dyDescent="0.25">
      <c r="B490" s="3"/>
      <c r="S490" s="3"/>
      <c r="T490" s="3"/>
    </row>
    <row r="491" spans="2:20" ht="15.75" customHeight="1" x14ac:dyDescent="0.25">
      <c r="B491" s="3"/>
      <c r="S491" s="3"/>
      <c r="T491" s="3"/>
    </row>
    <row r="492" spans="2:20" ht="15.75" customHeight="1" x14ac:dyDescent="0.25">
      <c r="B492" s="3"/>
      <c r="S492" s="3"/>
      <c r="T492" s="3"/>
    </row>
    <row r="493" spans="2:20" ht="15.75" customHeight="1" x14ac:dyDescent="0.25">
      <c r="B493" s="3"/>
      <c r="S493" s="3"/>
      <c r="T493" s="3"/>
    </row>
    <row r="494" spans="2:20" ht="15.75" customHeight="1" x14ac:dyDescent="0.25">
      <c r="B494" s="3"/>
      <c r="S494" s="3"/>
      <c r="T494" s="3"/>
    </row>
    <row r="495" spans="2:20" ht="15.75" customHeight="1" x14ac:dyDescent="0.25">
      <c r="B495" s="3"/>
      <c r="S495" s="3"/>
      <c r="T495" s="3"/>
    </row>
    <row r="496" spans="2:20" ht="15.75" customHeight="1" x14ac:dyDescent="0.25">
      <c r="B496" s="3"/>
      <c r="S496" s="3"/>
      <c r="T496" s="3"/>
    </row>
    <row r="497" spans="2:20" ht="15.75" customHeight="1" x14ac:dyDescent="0.25">
      <c r="B497" s="3"/>
      <c r="S497" s="3"/>
      <c r="T497" s="3"/>
    </row>
    <row r="498" spans="2:20" ht="15.75" customHeight="1" x14ac:dyDescent="0.25">
      <c r="B498" s="3"/>
      <c r="S498" s="3"/>
      <c r="T498" s="3"/>
    </row>
    <row r="499" spans="2:20" ht="15.75" customHeight="1" x14ac:dyDescent="0.25">
      <c r="B499" s="3"/>
      <c r="S499" s="3"/>
      <c r="T499" s="3"/>
    </row>
    <row r="500" spans="2:20" ht="15.75" customHeight="1" x14ac:dyDescent="0.25">
      <c r="B500" s="3"/>
      <c r="S500" s="3"/>
      <c r="T500" s="3"/>
    </row>
    <row r="501" spans="2:20" ht="15.75" customHeight="1" x14ac:dyDescent="0.25">
      <c r="B501" s="3"/>
      <c r="S501" s="3"/>
      <c r="T501" s="3"/>
    </row>
    <row r="502" spans="2:20" ht="15.75" customHeight="1" x14ac:dyDescent="0.25">
      <c r="B502" s="3"/>
      <c r="S502" s="3"/>
      <c r="T502" s="3"/>
    </row>
    <row r="503" spans="2:20" ht="15.75" customHeight="1" x14ac:dyDescent="0.25">
      <c r="B503" s="3"/>
      <c r="S503" s="3"/>
      <c r="T503" s="3"/>
    </row>
    <row r="504" spans="2:20" ht="15.75" customHeight="1" x14ac:dyDescent="0.25">
      <c r="B504" s="3"/>
      <c r="S504" s="3"/>
      <c r="T504" s="3"/>
    </row>
    <row r="505" spans="2:20" ht="15.75" customHeight="1" x14ac:dyDescent="0.25">
      <c r="B505" s="3"/>
      <c r="S505" s="3"/>
      <c r="T505" s="3"/>
    </row>
    <row r="506" spans="2:20" ht="15.75" customHeight="1" x14ac:dyDescent="0.25">
      <c r="B506" s="3"/>
      <c r="S506" s="3"/>
      <c r="T506" s="3"/>
    </row>
    <row r="507" spans="2:20" ht="15.75" customHeight="1" x14ac:dyDescent="0.25">
      <c r="B507" s="3"/>
      <c r="S507" s="3"/>
      <c r="T507" s="3"/>
    </row>
    <row r="508" spans="2:20" ht="15.75" customHeight="1" x14ac:dyDescent="0.25">
      <c r="B508" s="3"/>
      <c r="S508" s="3"/>
      <c r="T508" s="3"/>
    </row>
    <row r="509" spans="2:20" ht="15.75" customHeight="1" x14ac:dyDescent="0.25">
      <c r="B509" s="3"/>
      <c r="S509" s="3"/>
      <c r="T509" s="3"/>
    </row>
    <row r="510" spans="2:20" ht="15.75" customHeight="1" x14ac:dyDescent="0.25">
      <c r="B510" s="3"/>
      <c r="S510" s="3"/>
      <c r="T510" s="3"/>
    </row>
    <row r="511" spans="2:20" ht="15.75" customHeight="1" x14ac:dyDescent="0.25">
      <c r="B511" s="3"/>
      <c r="S511" s="3"/>
      <c r="T511" s="3"/>
    </row>
    <row r="512" spans="2:20" ht="15.75" customHeight="1" x14ac:dyDescent="0.25">
      <c r="B512" s="3"/>
      <c r="S512" s="3"/>
      <c r="T512" s="3"/>
    </row>
    <row r="513" spans="2:20" ht="15.75" customHeight="1" x14ac:dyDescent="0.25">
      <c r="B513" s="3"/>
      <c r="S513" s="3"/>
      <c r="T513" s="3"/>
    </row>
    <row r="514" spans="2:20" ht="15.75" customHeight="1" x14ac:dyDescent="0.25">
      <c r="B514" s="3"/>
      <c r="S514" s="3"/>
      <c r="T514" s="3"/>
    </row>
    <row r="515" spans="2:20" ht="15.75" customHeight="1" x14ac:dyDescent="0.25">
      <c r="B515" s="3"/>
      <c r="S515" s="3"/>
      <c r="T515" s="3"/>
    </row>
    <row r="516" spans="2:20" ht="15.75" customHeight="1" x14ac:dyDescent="0.25">
      <c r="B516" s="3"/>
      <c r="S516" s="3"/>
      <c r="T516" s="3"/>
    </row>
    <row r="517" spans="2:20" ht="15.75" customHeight="1" x14ac:dyDescent="0.25">
      <c r="B517" s="3"/>
      <c r="S517" s="3"/>
      <c r="T517" s="3"/>
    </row>
    <row r="518" spans="2:20" ht="15.75" customHeight="1" x14ac:dyDescent="0.25">
      <c r="B518" s="3"/>
      <c r="S518" s="3"/>
      <c r="T518" s="3"/>
    </row>
    <row r="519" spans="2:20" ht="15.75" customHeight="1" x14ac:dyDescent="0.25">
      <c r="B519" s="3"/>
      <c r="S519" s="3"/>
      <c r="T519" s="3"/>
    </row>
    <row r="520" spans="2:20" ht="15.75" customHeight="1" x14ac:dyDescent="0.25">
      <c r="B520" s="3"/>
      <c r="S520" s="3"/>
      <c r="T520" s="3"/>
    </row>
    <row r="521" spans="2:20" ht="15.75" customHeight="1" x14ac:dyDescent="0.25">
      <c r="B521" s="3"/>
      <c r="S521" s="3"/>
      <c r="T521" s="3"/>
    </row>
    <row r="522" spans="2:20" ht="15.75" customHeight="1" x14ac:dyDescent="0.25">
      <c r="B522" s="3"/>
      <c r="S522" s="3"/>
      <c r="T522" s="3"/>
    </row>
    <row r="523" spans="2:20" ht="15.75" customHeight="1" x14ac:dyDescent="0.25">
      <c r="B523" s="3"/>
      <c r="S523" s="3"/>
      <c r="T523" s="3"/>
    </row>
    <row r="524" spans="2:20" ht="15.75" customHeight="1" x14ac:dyDescent="0.25">
      <c r="B524" s="3"/>
      <c r="S524" s="3"/>
      <c r="T524" s="3"/>
    </row>
    <row r="525" spans="2:20" ht="15.75" customHeight="1" x14ac:dyDescent="0.25">
      <c r="B525" s="3"/>
      <c r="S525" s="3"/>
      <c r="T525" s="3"/>
    </row>
    <row r="526" spans="2:20" ht="15.75" customHeight="1" x14ac:dyDescent="0.25">
      <c r="B526" s="3"/>
      <c r="S526" s="3"/>
      <c r="T526" s="3"/>
    </row>
    <row r="527" spans="2:20" ht="15.75" customHeight="1" x14ac:dyDescent="0.25">
      <c r="B527" s="3"/>
      <c r="S527" s="3"/>
      <c r="T527" s="3"/>
    </row>
    <row r="528" spans="2:20" ht="15.75" customHeight="1" x14ac:dyDescent="0.25">
      <c r="B528" s="3"/>
      <c r="S528" s="3"/>
      <c r="T528" s="3"/>
    </row>
    <row r="529" spans="2:20" ht="15.75" customHeight="1" x14ac:dyDescent="0.25">
      <c r="B529" s="3"/>
      <c r="S529" s="3"/>
      <c r="T529" s="3"/>
    </row>
    <row r="530" spans="2:20" ht="15.75" customHeight="1" x14ac:dyDescent="0.25">
      <c r="B530" s="3"/>
      <c r="S530" s="3"/>
      <c r="T530" s="3"/>
    </row>
    <row r="531" spans="2:20" ht="15.75" customHeight="1" x14ac:dyDescent="0.25">
      <c r="B531" s="3"/>
      <c r="S531" s="3"/>
      <c r="T531" s="3"/>
    </row>
    <row r="532" spans="2:20" ht="15.75" customHeight="1" x14ac:dyDescent="0.25">
      <c r="B532" s="3"/>
      <c r="S532" s="3"/>
      <c r="T532" s="3"/>
    </row>
    <row r="533" spans="2:20" ht="15.75" customHeight="1" x14ac:dyDescent="0.25">
      <c r="B533" s="3"/>
      <c r="S533" s="3"/>
      <c r="T533" s="3"/>
    </row>
    <row r="534" spans="2:20" ht="15.75" customHeight="1" x14ac:dyDescent="0.25">
      <c r="B534" s="3"/>
      <c r="S534" s="3"/>
      <c r="T534" s="3"/>
    </row>
    <row r="535" spans="2:20" ht="15.75" customHeight="1" x14ac:dyDescent="0.25">
      <c r="B535" s="3"/>
      <c r="S535" s="3"/>
      <c r="T535" s="3"/>
    </row>
    <row r="536" spans="2:20" ht="15.75" customHeight="1" x14ac:dyDescent="0.25">
      <c r="B536" s="3"/>
      <c r="S536" s="3"/>
      <c r="T536" s="3"/>
    </row>
    <row r="537" spans="2:20" ht="15.75" customHeight="1" x14ac:dyDescent="0.25">
      <c r="B537" s="3"/>
      <c r="S537" s="3"/>
      <c r="T537" s="3"/>
    </row>
    <row r="538" spans="2:20" ht="15.75" customHeight="1" x14ac:dyDescent="0.25">
      <c r="B538" s="3"/>
      <c r="S538" s="3"/>
      <c r="T538" s="3"/>
    </row>
    <row r="539" spans="2:20" ht="15.75" customHeight="1" x14ac:dyDescent="0.25">
      <c r="B539" s="3"/>
      <c r="S539" s="3"/>
      <c r="T539" s="3"/>
    </row>
    <row r="540" spans="2:20" ht="15.75" customHeight="1" x14ac:dyDescent="0.25">
      <c r="B540" s="3"/>
      <c r="S540" s="3"/>
      <c r="T540" s="3"/>
    </row>
    <row r="541" spans="2:20" ht="15.75" customHeight="1" x14ac:dyDescent="0.25">
      <c r="B541" s="3"/>
      <c r="S541" s="3"/>
      <c r="T541" s="3"/>
    </row>
    <row r="542" spans="2:20" ht="15.75" customHeight="1" x14ac:dyDescent="0.25">
      <c r="B542" s="3"/>
      <c r="S542" s="3"/>
      <c r="T542" s="3"/>
    </row>
    <row r="543" spans="2:20" ht="15.75" customHeight="1" x14ac:dyDescent="0.25">
      <c r="B543" s="3"/>
      <c r="S543" s="3"/>
      <c r="T543" s="3"/>
    </row>
    <row r="544" spans="2:20" ht="15.75" customHeight="1" x14ac:dyDescent="0.25">
      <c r="B544" s="3"/>
      <c r="S544" s="3"/>
      <c r="T544" s="3"/>
    </row>
    <row r="545" spans="2:20" ht="15.75" customHeight="1" x14ac:dyDescent="0.25">
      <c r="B545" s="3"/>
      <c r="S545" s="3"/>
      <c r="T545" s="3"/>
    </row>
    <row r="546" spans="2:20" ht="15.75" customHeight="1" x14ac:dyDescent="0.25">
      <c r="B546" s="3"/>
      <c r="S546" s="3"/>
      <c r="T546" s="3"/>
    </row>
    <row r="547" spans="2:20" ht="15.75" customHeight="1" x14ac:dyDescent="0.25">
      <c r="B547" s="3"/>
      <c r="S547" s="3"/>
      <c r="T547" s="3"/>
    </row>
    <row r="548" spans="2:20" ht="15.75" customHeight="1" x14ac:dyDescent="0.25">
      <c r="B548" s="3"/>
      <c r="S548" s="3"/>
      <c r="T548" s="3"/>
    </row>
    <row r="549" spans="2:20" ht="15.75" customHeight="1" x14ac:dyDescent="0.25">
      <c r="B549" s="3"/>
      <c r="S549" s="3"/>
      <c r="T549" s="3"/>
    </row>
    <row r="550" spans="2:20" ht="15.75" customHeight="1" x14ac:dyDescent="0.25">
      <c r="B550" s="3"/>
      <c r="S550" s="3"/>
      <c r="T550" s="3"/>
    </row>
    <row r="551" spans="2:20" ht="15.75" customHeight="1" x14ac:dyDescent="0.25">
      <c r="B551" s="3"/>
      <c r="S551" s="3"/>
      <c r="T551" s="3"/>
    </row>
    <row r="552" spans="2:20" ht="15.75" customHeight="1" x14ac:dyDescent="0.25">
      <c r="B552" s="3"/>
      <c r="S552" s="3"/>
      <c r="T552" s="3"/>
    </row>
    <row r="553" spans="2:20" ht="15.75" customHeight="1" x14ac:dyDescent="0.25">
      <c r="B553" s="3"/>
      <c r="S553" s="3"/>
      <c r="T553" s="3"/>
    </row>
    <row r="554" spans="2:20" ht="15.75" customHeight="1" x14ac:dyDescent="0.25">
      <c r="B554" s="3"/>
      <c r="S554" s="3"/>
      <c r="T554" s="3"/>
    </row>
    <row r="555" spans="2:20" ht="15.75" customHeight="1" x14ac:dyDescent="0.25">
      <c r="B555" s="3"/>
      <c r="S555" s="3"/>
      <c r="T555" s="3"/>
    </row>
    <row r="556" spans="2:20" ht="15.75" customHeight="1" x14ac:dyDescent="0.25">
      <c r="B556" s="3"/>
      <c r="S556" s="3"/>
      <c r="T556" s="3"/>
    </row>
    <row r="557" spans="2:20" ht="15.75" customHeight="1" x14ac:dyDescent="0.25">
      <c r="B557" s="3"/>
      <c r="S557" s="3"/>
      <c r="T557" s="3"/>
    </row>
    <row r="558" spans="2:20" ht="15.75" customHeight="1" x14ac:dyDescent="0.25">
      <c r="B558" s="3"/>
      <c r="S558" s="3"/>
      <c r="T558" s="3"/>
    </row>
    <row r="559" spans="2:20" ht="15.75" customHeight="1" x14ac:dyDescent="0.25">
      <c r="B559" s="3"/>
      <c r="S559" s="3"/>
      <c r="T559" s="3"/>
    </row>
    <row r="560" spans="2:20" ht="15.75" customHeight="1" x14ac:dyDescent="0.25">
      <c r="B560" s="3"/>
      <c r="S560" s="3"/>
      <c r="T560" s="3"/>
    </row>
    <row r="561" spans="2:20" ht="15.75" customHeight="1" x14ac:dyDescent="0.25">
      <c r="B561" s="3"/>
      <c r="S561" s="3"/>
      <c r="T561" s="3"/>
    </row>
    <row r="562" spans="2:20" ht="15.75" customHeight="1" x14ac:dyDescent="0.25">
      <c r="B562" s="3"/>
      <c r="S562" s="3"/>
      <c r="T562" s="3"/>
    </row>
    <row r="563" spans="2:20" ht="15.75" customHeight="1" x14ac:dyDescent="0.25">
      <c r="B563" s="3"/>
      <c r="S563" s="3"/>
      <c r="T563" s="3"/>
    </row>
    <row r="564" spans="2:20" ht="15.75" customHeight="1" x14ac:dyDescent="0.25">
      <c r="B564" s="3"/>
      <c r="S564" s="3"/>
      <c r="T564" s="3"/>
    </row>
    <row r="565" spans="2:20" ht="15.75" customHeight="1" x14ac:dyDescent="0.25">
      <c r="B565" s="3"/>
      <c r="S565" s="3"/>
      <c r="T565" s="3"/>
    </row>
    <row r="566" spans="2:20" ht="15.75" customHeight="1" x14ac:dyDescent="0.25">
      <c r="B566" s="3"/>
      <c r="S566" s="3"/>
      <c r="T566" s="3"/>
    </row>
    <row r="567" spans="2:20" ht="15.75" customHeight="1" x14ac:dyDescent="0.25">
      <c r="B567" s="3"/>
      <c r="S567" s="3"/>
      <c r="T567" s="3"/>
    </row>
    <row r="568" spans="2:20" ht="15.75" customHeight="1" x14ac:dyDescent="0.25">
      <c r="B568" s="3"/>
      <c r="S568" s="3"/>
      <c r="T568" s="3"/>
    </row>
    <row r="569" spans="2:20" ht="15.75" customHeight="1" x14ac:dyDescent="0.25">
      <c r="B569" s="3"/>
      <c r="S569" s="3"/>
      <c r="T569" s="3"/>
    </row>
    <row r="570" spans="2:20" ht="15.75" customHeight="1" x14ac:dyDescent="0.25">
      <c r="B570" s="3"/>
      <c r="S570" s="3"/>
      <c r="T570" s="3"/>
    </row>
    <row r="571" spans="2:20" ht="15.75" customHeight="1" x14ac:dyDescent="0.25">
      <c r="B571" s="3"/>
      <c r="S571" s="3"/>
      <c r="T571" s="3"/>
    </row>
    <row r="572" spans="2:20" ht="15.75" customHeight="1" x14ac:dyDescent="0.25">
      <c r="B572" s="3"/>
      <c r="S572" s="3"/>
      <c r="T572" s="3"/>
    </row>
    <row r="573" spans="2:20" ht="15.75" customHeight="1" x14ac:dyDescent="0.25">
      <c r="B573" s="3"/>
      <c r="S573" s="3"/>
      <c r="T573" s="3"/>
    </row>
    <row r="574" spans="2:20" ht="15.75" customHeight="1" x14ac:dyDescent="0.25">
      <c r="B574" s="3"/>
      <c r="S574" s="3"/>
      <c r="T574" s="3"/>
    </row>
    <row r="575" spans="2:20" ht="15.75" customHeight="1" x14ac:dyDescent="0.25">
      <c r="B575" s="3"/>
      <c r="S575" s="3"/>
      <c r="T575" s="3"/>
    </row>
    <row r="576" spans="2:20" ht="15.75" customHeight="1" x14ac:dyDescent="0.25">
      <c r="B576" s="3"/>
      <c r="S576" s="3"/>
      <c r="T576" s="3"/>
    </row>
    <row r="577" spans="2:20" ht="15.75" customHeight="1" x14ac:dyDescent="0.25">
      <c r="B577" s="3"/>
      <c r="S577" s="3"/>
      <c r="T577" s="3"/>
    </row>
    <row r="578" spans="2:20" ht="15.75" customHeight="1" x14ac:dyDescent="0.25">
      <c r="B578" s="3"/>
      <c r="S578" s="3"/>
      <c r="T578" s="3"/>
    </row>
    <row r="579" spans="2:20" ht="15.75" customHeight="1" x14ac:dyDescent="0.25">
      <c r="B579" s="3"/>
      <c r="S579" s="3"/>
      <c r="T579" s="3"/>
    </row>
    <row r="580" spans="2:20" ht="15.75" customHeight="1" x14ac:dyDescent="0.25">
      <c r="B580" s="3"/>
      <c r="S580" s="3"/>
      <c r="T580" s="3"/>
    </row>
    <row r="581" spans="2:20" ht="15.75" customHeight="1" x14ac:dyDescent="0.25">
      <c r="B581" s="3"/>
      <c r="S581" s="3"/>
      <c r="T581" s="3"/>
    </row>
    <row r="582" spans="2:20" ht="15.75" customHeight="1" x14ac:dyDescent="0.25">
      <c r="B582" s="3"/>
      <c r="S582" s="3"/>
      <c r="T582" s="3"/>
    </row>
    <row r="583" spans="2:20" ht="15.75" customHeight="1" x14ac:dyDescent="0.25">
      <c r="B583" s="3"/>
      <c r="S583" s="3"/>
      <c r="T583" s="3"/>
    </row>
    <row r="584" spans="2:20" ht="15.75" customHeight="1" x14ac:dyDescent="0.25">
      <c r="B584" s="3"/>
      <c r="S584" s="3"/>
      <c r="T584" s="3"/>
    </row>
    <row r="585" spans="2:20" ht="15.75" customHeight="1" x14ac:dyDescent="0.25">
      <c r="B585" s="3"/>
      <c r="S585" s="3"/>
      <c r="T585" s="3"/>
    </row>
    <row r="586" spans="2:20" ht="15.75" customHeight="1" x14ac:dyDescent="0.25">
      <c r="B586" s="3"/>
      <c r="S586" s="3"/>
      <c r="T586" s="3"/>
    </row>
    <row r="587" spans="2:20" ht="15.75" customHeight="1" x14ac:dyDescent="0.25">
      <c r="B587" s="3"/>
      <c r="S587" s="3"/>
      <c r="T587" s="3"/>
    </row>
    <row r="588" spans="2:20" ht="15.75" customHeight="1" x14ac:dyDescent="0.25">
      <c r="B588" s="3"/>
      <c r="S588" s="3"/>
      <c r="T588" s="3"/>
    </row>
    <row r="589" spans="2:20" ht="15.75" customHeight="1" x14ac:dyDescent="0.25">
      <c r="B589" s="3"/>
      <c r="S589" s="3"/>
      <c r="T589" s="3"/>
    </row>
    <row r="590" spans="2:20" ht="15.75" customHeight="1" x14ac:dyDescent="0.25">
      <c r="B590" s="3"/>
      <c r="S590" s="3"/>
      <c r="T590" s="3"/>
    </row>
    <row r="591" spans="2:20" ht="15.75" customHeight="1" x14ac:dyDescent="0.25">
      <c r="B591" s="3"/>
      <c r="S591" s="3"/>
      <c r="T591" s="3"/>
    </row>
    <row r="592" spans="2:20" ht="15.75" customHeight="1" x14ac:dyDescent="0.25">
      <c r="B592" s="3"/>
      <c r="S592" s="3"/>
      <c r="T592" s="3"/>
    </row>
    <row r="593" spans="2:20" ht="15.75" customHeight="1" x14ac:dyDescent="0.25">
      <c r="B593" s="3"/>
      <c r="S593" s="3"/>
      <c r="T593" s="3"/>
    </row>
    <row r="594" spans="2:20" ht="15.75" customHeight="1" x14ac:dyDescent="0.25">
      <c r="B594" s="3"/>
      <c r="S594" s="3"/>
      <c r="T594" s="3"/>
    </row>
    <row r="595" spans="2:20" ht="15.75" customHeight="1" x14ac:dyDescent="0.25">
      <c r="B595" s="3"/>
      <c r="S595" s="3"/>
      <c r="T595" s="3"/>
    </row>
    <row r="596" spans="2:20" ht="15.75" customHeight="1" x14ac:dyDescent="0.25">
      <c r="B596" s="3"/>
      <c r="S596" s="3"/>
      <c r="T596" s="3"/>
    </row>
    <row r="597" spans="2:20" ht="15.75" customHeight="1" x14ac:dyDescent="0.25">
      <c r="B597" s="3"/>
      <c r="S597" s="3"/>
      <c r="T597" s="3"/>
    </row>
    <row r="598" spans="2:20" ht="15.75" customHeight="1" x14ac:dyDescent="0.25">
      <c r="B598" s="3"/>
      <c r="S598" s="3"/>
      <c r="T598" s="3"/>
    </row>
    <row r="599" spans="2:20" ht="15.75" customHeight="1" x14ac:dyDescent="0.25">
      <c r="B599" s="3"/>
      <c r="S599" s="3"/>
      <c r="T599" s="3"/>
    </row>
    <row r="600" spans="2:20" ht="15.75" customHeight="1" x14ac:dyDescent="0.25">
      <c r="B600" s="3"/>
      <c r="S600" s="3"/>
      <c r="T600" s="3"/>
    </row>
    <row r="601" spans="2:20" ht="15.75" customHeight="1" x14ac:dyDescent="0.25">
      <c r="B601" s="3"/>
      <c r="S601" s="3"/>
      <c r="T601" s="3"/>
    </row>
    <row r="602" spans="2:20" ht="15.75" customHeight="1" x14ac:dyDescent="0.25">
      <c r="B602" s="3"/>
      <c r="S602" s="3"/>
      <c r="T602" s="3"/>
    </row>
    <row r="603" spans="2:20" ht="15.75" customHeight="1" x14ac:dyDescent="0.25">
      <c r="B603" s="3"/>
      <c r="S603" s="3"/>
      <c r="T603" s="3"/>
    </row>
    <row r="604" spans="2:20" ht="15.75" customHeight="1" x14ac:dyDescent="0.25">
      <c r="B604" s="3"/>
      <c r="S604" s="3"/>
      <c r="T604" s="3"/>
    </row>
    <row r="605" spans="2:20" ht="15.75" customHeight="1" x14ac:dyDescent="0.25">
      <c r="B605" s="3"/>
      <c r="S605" s="3"/>
      <c r="T605" s="3"/>
    </row>
    <row r="606" spans="2:20" ht="15.75" customHeight="1" x14ac:dyDescent="0.25">
      <c r="B606" s="3"/>
      <c r="S606" s="3"/>
      <c r="T606" s="3"/>
    </row>
    <row r="607" spans="2:20" ht="15.75" customHeight="1" x14ac:dyDescent="0.25">
      <c r="B607" s="3"/>
      <c r="S607" s="3"/>
      <c r="T607" s="3"/>
    </row>
    <row r="608" spans="2:20" ht="15.75" customHeight="1" x14ac:dyDescent="0.25">
      <c r="B608" s="3"/>
      <c r="S608" s="3"/>
      <c r="T608" s="3"/>
    </row>
    <row r="609" spans="2:20" ht="15.75" customHeight="1" x14ac:dyDescent="0.25">
      <c r="B609" s="3"/>
      <c r="S609" s="3"/>
      <c r="T609" s="3"/>
    </row>
    <row r="610" spans="2:20" ht="15.75" customHeight="1" x14ac:dyDescent="0.25">
      <c r="B610" s="3"/>
      <c r="S610" s="3"/>
      <c r="T610" s="3"/>
    </row>
    <row r="611" spans="2:20" ht="15.75" customHeight="1" x14ac:dyDescent="0.25">
      <c r="B611" s="3"/>
      <c r="S611" s="3"/>
      <c r="T611" s="3"/>
    </row>
    <row r="612" spans="2:20" ht="15.75" customHeight="1" x14ac:dyDescent="0.25">
      <c r="B612" s="3"/>
      <c r="S612" s="3"/>
      <c r="T612" s="3"/>
    </row>
    <row r="613" spans="2:20" ht="15.75" customHeight="1" x14ac:dyDescent="0.25">
      <c r="B613" s="3"/>
      <c r="S613" s="3"/>
      <c r="T613" s="3"/>
    </row>
    <row r="614" spans="2:20" ht="15.75" customHeight="1" x14ac:dyDescent="0.25">
      <c r="B614" s="3"/>
      <c r="S614" s="3"/>
      <c r="T614" s="3"/>
    </row>
    <row r="615" spans="2:20" ht="15.75" customHeight="1" x14ac:dyDescent="0.25">
      <c r="B615" s="3"/>
      <c r="S615" s="3"/>
      <c r="T615" s="3"/>
    </row>
    <row r="616" spans="2:20" ht="15.75" customHeight="1" x14ac:dyDescent="0.25">
      <c r="B616" s="3"/>
      <c r="S616" s="3"/>
      <c r="T616" s="3"/>
    </row>
    <row r="617" spans="2:20" ht="15.75" customHeight="1" x14ac:dyDescent="0.25">
      <c r="B617" s="3"/>
      <c r="S617" s="3"/>
      <c r="T617" s="3"/>
    </row>
    <row r="618" spans="2:20" ht="15.75" customHeight="1" x14ac:dyDescent="0.25">
      <c r="B618" s="3"/>
      <c r="S618" s="3"/>
      <c r="T618" s="3"/>
    </row>
    <row r="619" spans="2:20" ht="15.75" customHeight="1" x14ac:dyDescent="0.25">
      <c r="B619" s="3"/>
      <c r="S619" s="3"/>
      <c r="T619" s="3"/>
    </row>
    <row r="620" spans="2:20" ht="15.75" customHeight="1" x14ac:dyDescent="0.25">
      <c r="B620" s="3"/>
      <c r="S620" s="3"/>
      <c r="T620" s="3"/>
    </row>
    <row r="621" spans="2:20" ht="15.75" customHeight="1" x14ac:dyDescent="0.25">
      <c r="B621" s="3"/>
      <c r="S621" s="3"/>
      <c r="T621" s="3"/>
    </row>
    <row r="622" spans="2:20" ht="15.75" customHeight="1" x14ac:dyDescent="0.25">
      <c r="B622" s="3"/>
      <c r="S622" s="3"/>
      <c r="T622" s="3"/>
    </row>
    <row r="623" spans="2:20" ht="15.75" customHeight="1" x14ac:dyDescent="0.25">
      <c r="B623" s="3"/>
      <c r="S623" s="3"/>
      <c r="T623" s="3"/>
    </row>
    <row r="624" spans="2:20" ht="15.75" customHeight="1" x14ac:dyDescent="0.25">
      <c r="B624" s="3"/>
      <c r="S624" s="3"/>
      <c r="T624" s="3"/>
    </row>
    <row r="625" spans="2:20" ht="15.75" customHeight="1" x14ac:dyDescent="0.25">
      <c r="B625" s="3"/>
      <c r="S625" s="3"/>
      <c r="T625" s="3"/>
    </row>
    <row r="626" spans="2:20" ht="15.75" customHeight="1" x14ac:dyDescent="0.25">
      <c r="B626" s="3"/>
      <c r="S626" s="3"/>
      <c r="T626" s="3"/>
    </row>
    <row r="627" spans="2:20" ht="15.75" customHeight="1" x14ac:dyDescent="0.25">
      <c r="B627" s="3"/>
      <c r="S627" s="3"/>
      <c r="T627" s="3"/>
    </row>
    <row r="628" spans="2:20" ht="15.75" customHeight="1" x14ac:dyDescent="0.25">
      <c r="B628" s="3"/>
      <c r="S628" s="3"/>
      <c r="T628" s="3"/>
    </row>
    <row r="629" spans="2:20" ht="15.75" customHeight="1" x14ac:dyDescent="0.25">
      <c r="B629" s="3"/>
      <c r="S629" s="3"/>
      <c r="T629" s="3"/>
    </row>
    <row r="630" spans="2:20" ht="15.75" customHeight="1" x14ac:dyDescent="0.25">
      <c r="B630" s="3"/>
      <c r="S630" s="3"/>
      <c r="T630" s="3"/>
    </row>
    <row r="631" spans="2:20" ht="15.75" customHeight="1" x14ac:dyDescent="0.25">
      <c r="B631" s="3"/>
      <c r="S631" s="3"/>
      <c r="T631" s="3"/>
    </row>
    <row r="632" spans="2:20" ht="15.75" customHeight="1" x14ac:dyDescent="0.25">
      <c r="B632" s="3"/>
      <c r="S632" s="3"/>
      <c r="T632" s="3"/>
    </row>
    <row r="633" spans="2:20" ht="15.75" customHeight="1" x14ac:dyDescent="0.25">
      <c r="B633" s="3"/>
      <c r="S633" s="3"/>
      <c r="T633" s="3"/>
    </row>
    <row r="634" spans="2:20" ht="15.75" customHeight="1" x14ac:dyDescent="0.25">
      <c r="B634" s="3"/>
      <c r="S634" s="3"/>
      <c r="T634" s="3"/>
    </row>
    <row r="635" spans="2:20" ht="15.75" customHeight="1" x14ac:dyDescent="0.25">
      <c r="B635" s="3"/>
      <c r="S635" s="3"/>
      <c r="T635" s="3"/>
    </row>
    <row r="636" spans="2:20" ht="15.75" customHeight="1" x14ac:dyDescent="0.25">
      <c r="B636" s="3"/>
      <c r="S636" s="3"/>
      <c r="T636" s="3"/>
    </row>
    <row r="637" spans="2:20" ht="15.75" customHeight="1" x14ac:dyDescent="0.25">
      <c r="B637" s="3"/>
      <c r="S637" s="3"/>
      <c r="T637" s="3"/>
    </row>
    <row r="638" spans="2:20" ht="15.75" customHeight="1" x14ac:dyDescent="0.25">
      <c r="B638" s="3"/>
      <c r="S638" s="3"/>
      <c r="T638" s="3"/>
    </row>
    <row r="639" spans="2:20" ht="15.75" customHeight="1" x14ac:dyDescent="0.25">
      <c r="B639" s="3"/>
      <c r="S639" s="3"/>
      <c r="T639" s="3"/>
    </row>
    <row r="640" spans="2:20" ht="15.75" customHeight="1" x14ac:dyDescent="0.25">
      <c r="B640" s="3"/>
      <c r="S640" s="3"/>
      <c r="T640" s="3"/>
    </row>
    <row r="641" spans="2:20" ht="15.75" customHeight="1" x14ac:dyDescent="0.25">
      <c r="B641" s="3"/>
      <c r="S641" s="3"/>
      <c r="T641" s="3"/>
    </row>
    <row r="642" spans="2:20" ht="15.75" customHeight="1" x14ac:dyDescent="0.25">
      <c r="B642" s="3"/>
      <c r="S642" s="3"/>
      <c r="T642" s="3"/>
    </row>
    <row r="643" spans="2:20" ht="15.75" customHeight="1" x14ac:dyDescent="0.25">
      <c r="B643" s="3"/>
      <c r="S643" s="3"/>
      <c r="T643" s="3"/>
    </row>
    <row r="644" spans="2:20" ht="15.75" customHeight="1" x14ac:dyDescent="0.25">
      <c r="B644" s="3"/>
      <c r="S644" s="3"/>
      <c r="T644" s="3"/>
    </row>
    <row r="645" spans="2:20" ht="15.75" customHeight="1" x14ac:dyDescent="0.25">
      <c r="B645" s="3"/>
      <c r="S645" s="3"/>
      <c r="T645" s="3"/>
    </row>
    <row r="646" spans="2:20" ht="15.75" customHeight="1" x14ac:dyDescent="0.25">
      <c r="B646" s="3"/>
      <c r="S646" s="3"/>
      <c r="T646" s="3"/>
    </row>
    <row r="647" spans="2:20" ht="15.75" customHeight="1" x14ac:dyDescent="0.25">
      <c r="B647" s="3"/>
      <c r="S647" s="3"/>
      <c r="T647" s="3"/>
    </row>
    <row r="648" spans="2:20" ht="15.75" customHeight="1" x14ac:dyDescent="0.25">
      <c r="B648" s="3"/>
      <c r="S648" s="3"/>
      <c r="T648" s="3"/>
    </row>
    <row r="649" spans="2:20" ht="15.75" customHeight="1" x14ac:dyDescent="0.25">
      <c r="B649" s="3"/>
      <c r="S649" s="3"/>
      <c r="T649" s="3"/>
    </row>
    <row r="650" spans="2:20" ht="15.75" customHeight="1" x14ac:dyDescent="0.25">
      <c r="B650" s="3"/>
      <c r="S650" s="3"/>
      <c r="T650" s="3"/>
    </row>
    <row r="651" spans="2:20" ht="15.75" customHeight="1" x14ac:dyDescent="0.25">
      <c r="B651" s="3"/>
      <c r="S651" s="3"/>
      <c r="T651" s="3"/>
    </row>
    <row r="652" spans="2:20" ht="15.75" customHeight="1" x14ac:dyDescent="0.25">
      <c r="B652" s="3"/>
      <c r="S652" s="3"/>
      <c r="T652" s="3"/>
    </row>
    <row r="653" spans="2:20" ht="15.75" customHeight="1" x14ac:dyDescent="0.25">
      <c r="B653" s="3"/>
      <c r="S653" s="3"/>
      <c r="T653" s="3"/>
    </row>
    <row r="654" spans="2:20" ht="15.75" customHeight="1" x14ac:dyDescent="0.25">
      <c r="B654" s="3"/>
      <c r="S654" s="3"/>
      <c r="T654" s="3"/>
    </row>
    <row r="655" spans="2:20" ht="15.75" customHeight="1" x14ac:dyDescent="0.25">
      <c r="B655" s="3"/>
      <c r="S655" s="3"/>
      <c r="T655" s="3"/>
    </row>
    <row r="656" spans="2:20" ht="15.75" customHeight="1" x14ac:dyDescent="0.25">
      <c r="B656" s="3"/>
      <c r="S656" s="3"/>
      <c r="T656" s="3"/>
    </row>
    <row r="657" spans="2:20" ht="15.75" customHeight="1" x14ac:dyDescent="0.25">
      <c r="B657" s="3"/>
      <c r="S657" s="3"/>
      <c r="T657" s="3"/>
    </row>
    <row r="658" spans="2:20" ht="15.75" customHeight="1" x14ac:dyDescent="0.25">
      <c r="B658" s="3"/>
      <c r="S658" s="3"/>
      <c r="T658" s="3"/>
    </row>
    <row r="659" spans="2:20" ht="15.75" customHeight="1" x14ac:dyDescent="0.25">
      <c r="B659" s="3"/>
      <c r="S659" s="3"/>
      <c r="T659" s="3"/>
    </row>
    <row r="660" spans="2:20" ht="15.75" customHeight="1" x14ac:dyDescent="0.25">
      <c r="B660" s="3"/>
      <c r="S660" s="3"/>
      <c r="T660" s="3"/>
    </row>
    <row r="661" spans="2:20" ht="15.75" customHeight="1" x14ac:dyDescent="0.25">
      <c r="B661" s="3"/>
      <c r="S661" s="3"/>
      <c r="T661" s="3"/>
    </row>
    <row r="662" spans="2:20" ht="15.75" customHeight="1" x14ac:dyDescent="0.25">
      <c r="B662" s="3"/>
      <c r="S662" s="3"/>
      <c r="T662" s="3"/>
    </row>
    <row r="663" spans="2:20" ht="15.75" customHeight="1" x14ac:dyDescent="0.25">
      <c r="B663" s="3"/>
      <c r="S663" s="3"/>
      <c r="T663" s="3"/>
    </row>
    <row r="664" spans="2:20" ht="15.75" customHeight="1" x14ac:dyDescent="0.25">
      <c r="B664" s="3"/>
      <c r="S664" s="3"/>
      <c r="T664" s="3"/>
    </row>
    <row r="665" spans="2:20" ht="15.75" customHeight="1" x14ac:dyDescent="0.25">
      <c r="B665" s="3"/>
      <c r="S665" s="3"/>
      <c r="T665" s="3"/>
    </row>
    <row r="666" spans="2:20" ht="15.75" customHeight="1" x14ac:dyDescent="0.25">
      <c r="B666" s="3"/>
      <c r="S666" s="3"/>
      <c r="T666" s="3"/>
    </row>
    <row r="667" spans="2:20" ht="15.75" customHeight="1" x14ac:dyDescent="0.25">
      <c r="B667" s="3"/>
      <c r="S667" s="3"/>
      <c r="T667" s="3"/>
    </row>
    <row r="668" spans="2:20" ht="15.75" customHeight="1" x14ac:dyDescent="0.25">
      <c r="B668" s="3"/>
      <c r="S668" s="3"/>
      <c r="T668" s="3"/>
    </row>
    <row r="669" spans="2:20" ht="15.75" customHeight="1" x14ac:dyDescent="0.25">
      <c r="B669" s="3"/>
      <c r="S669" s="3"/>
      <c r="T669" s="3"/>
    </row>
    <row r="670" spans="2:20" ht="15.75" customHeight="1" x14ac:dyDescent="0.25">
      <c r="B670" s="3"/>
      <c r="S670" s="3"/>
      <c r="T670" s="3"/>
    </row>
    <row r="671" spans="2:20" ht="15.75" customHeight="1" x14ac:dyDescent="0.25">
      <c r="B671" s="3"/>
      <c r="S671" s="3"/>
      <c r="T671" s="3"/>
    </row>
    <row r="672" spans="2:20" ht="15.75" customHeight="1" x14ac:dyDescent="0.25">
      <c r="B672" s="3"/>
      <c r="S672" s="3"/>
      <c r="T672" s="3"/>
    </row>
    <row r="673" spans="2:20" ht="15.75" customHeight="1" x14ac:dyDescent="0.25">
      <c r="B673" s="3"/>
      <c r="S673" s="3"/>
      <c r="T673" s="3"/>
    </row>
    <row r="674" spans="2:20" ht="15.75" customHeight="1" x14ac:dyDescent="0.25">
      <c r="B674" s="3"/>
      <c r="S674" s="3"/>
      <c r="T674" s="3"/>
    </row>
    <row r="675" spans="2:20" ht="15.75" customHeight="1" x14ac:dyDescent="0.25">
      <c r="B675" s="3"/>
      <c r="S675" s="3"/>
      <c r="T675" s="3"/>
    </row>
    <row r="676" spans="2:20" ht="15.75" customHeight="1" x14ac:dyDescent="0.25">
      <c r="B676" s="3"/>
      <c r="S676" s="3"/>
      <c r="T676" s="3"/>
    </row>
    <row r="677" spans="2:20" ht="15.75" customHeight="1" x14ac:dyDescent="0.25">
      <c r="B677" s="3"/>
      <c r="S677" s="3"/>
      <c r="T677" s="3"/>
    </row>
    <row r="678" spans="2:20" ht="15.75" customHeight="1" x14ac:dyDescent="0.25">
      <c r="B678" s="3"/>
      <c r="S678" s="3"/>
      <c r="T678" s="3"/>
    </row>
    <row r="679" spans="2:20" ht="15.75" customHeight="1" x14ac:dyDescent="0.25">
      <c r="B679" s="3"/>
      <c r="S679" s="3"/>
      <c r="T679" s="3"/>
    </row>
    <row r="680" spans="2:20" ht="15.75" customHeight="1" x14ac:dyDescent="0.25">
      <c r="B680" s="3"/>
      <c r="S680" s="3"/>
      <c r="T680" s="3"/>
    </row>
    <row r="681" spans="2:20" ht="15.75" customHeight="1" x14ac:dyDescent="0.25">
      <c r="B681" s="3"/>
      <c r="S681" s="3"/>
      <c r="T681" s="3"/>
    </row>
    <row r="682" spans="2:20" ht="15.75" customHeight="1" x14ac:dyDescent="0.25">
      <c r="B682" s="3"/>
      <c r="S682" s="3"/>
      <c r="T682" s="3"/>
    </row>
    <row r="683" spans="2:20" ht="15.75" customHeight="1" x14ac:dyDescent="0.25">
      <c r="B683" s="3"/>
      <c r="S683" s="3"/>
      <c r="T683" s="3"/>
    </row>
    <row r="684" spans="2:20" ht="15.75" customHeight="1" x14ac:dyDescent="0.25">
      <c r="B684" s="3"/>
      <c r="S684" s="3"/>
      <c r="T684" s="3"/>
    </row>
    <row r="685" spans="2:20" ht="15.75" customHeight="1" x14ac:dyDescent="0.25">
      <c r="B685" s="3"/>
      <c r="S685" s="3"/>
      <c r="T685" s="3"/>
    </row>
    <row r="686" spans="2:20" ht="15.75" customHeight="1" x14ac:dyDescent="0.25">
      <c r="B686" s="3"/>
      <c r="S686" s="3"/>
      <c r="T686" s="3"/>
    </row>
    <row r="687" spans="2:20" ht="15.75" customHeight="1" x14ac:dyDescent="0.25">
      <c r="B687" s="3"/>
      <c r="S687" s="3"/>
      <c r="T687" s="3"/>
    </row>
    <row r="688" spans="2:20" ht="15.75" customHeight="1" x14ac:dyDescent="0.25">
      <c r="B688" s="3"/>
      <c r="S688" s="3"/>
      <c r="T688" s="3"/>
    </row>
    <row r="689" spans="2:20" ht="15.75" customHeight="1" x14ac:dyDescent="0.25">
      <c r="B689" s="3"/>
      <c r="S689" s="3"/>
      <c r="T689" s="3"/>
    </row>
    <row r="690" spans="2:20" ht="15.75" customHeight="1" x14ac:dyDescent="0.25">
      <c r="B690" s="3"/>
      <c r="S690" s="3"/>
      <c r="T690" s="3"/>
    </row>
    <row r="691" spans="2:20" ht="15.75" customHeight="1" x14ac:dyDescent="0.25">
      <c r="B691" s="3"/>
      <c r="S691" s="3"/>
      <c r="T691" s="3"/>
    </row>
    <row r="692" spans="2:20" ht="15.75" customHeight="1" x14ac:dyDescent="0.25">
      <c r="B692" s="3"/>
      <c r="S692" s="3"/>
      <c r="T692" s="3"/>
    </row>
    <row r="693" spans="2:20" ht="15.75" customHeight="1" x14ac:dyDescent="0.25">
      <c r="B693" s="3"/>
      <c r="S693" s="3"/>
      <c r="T693" s="3"/>
    </row>
    <row r="694" spans="2:20" ht="15.75" customHeight="1" x14ac:dyDescent="0.25">
      <c r="B694" s="3"/>
      <c r="S694" s="3"/>
      <c r="T694" s="3"/>
    </row>
    <row r="695" spans="2:20" ht="15.75" customHeight="1" x14ac:dyDescent="0.25">
      <c r="B695" s="3"/>
      <c r="S695" s="3"/>
      <c r="T695" s="3"/>
    </row>
    <row r="696" spans="2:20" ht="15.75" customHeight="1" x14ac:dyDescent="0.25">
      <c r="B696" s="3"/>
      <c r="S696" s="3"/>
      <c r="T696" s="3"/>
    </row>
    <row r="697" spans="2:20" ht="15.75" customHeight="1" x14ac:dyDescent="0.25">
      <c r="B697" s="3"/>
      <c r="S697" s="3"/>
      <c r="T697" s="3"/>
    </row>
    <row r="698" spans="2:20" ht="15.75" customHeight="1" x14ac:dyDescent="0.25">
      <c r="B698" s="3"/>
      <c r="S698" s="3"/>
      <c r="T698" s="3"/>
    </row>
    <row r="699" spans="2:20" ht="15.75" customHeight="1" x14ac:dyDescent="0.25">
      <c r="B699" s="3"/>
      <c r="S699" s="3"/>
      <c r="T699" s="3"/>
    </row>
    <row r="700" spans="2:20" ht="15.75" customHeight="1" x14ac:dyDescent="0.25">
      <c r="B700" s="3"/>
      <c r="S700" s="3"/>
      <c r="T700" s="3"/>
    </row>
    <row r="701" spans="2:20" ht="15.75" customHeight="1" x14ac:dyDescent="0.25">
      <c r="B701" s="3"/>
      <c r="S701" s="3"/>
      <c r="T701" s="3"/>
    </row>
    <row r="702" spans="2:20" ht="15.75" customHeight="1" x14ac:dyDescent="0.25">
      <c r="B702" s="3"/>
      <c r="S702" s="3"/>
      <c r="T702" s="3"/>
    </row>
    <row r="703" spans="2:20" ht="15.75" customHeight="1" x14ac:dyDescent="0.25">
      <c r="B703" s="3"/>
      <c r="S703" s="3"/>
      <c r="T703" s="3"/>
    </row>
    <row r="704" spans="2:20" ht="15.75" customHeight="1" x14ac:dyDescent="0.25">
      <c r="B704" s="3"/>
      <c r="S704" s="3"/>
      <c r="T704" s="3"/>
    </row>
    <row r="705" spans="2:20" ht="15.75" customHeight="1" x14ac:dyDescent="0.25">
      <c r="B705" s="3"/>
      <c r="S705" s="3"/>
      <c r="T705" s="3"/>
    </row>
    <row r="706" spans="2:20" ht="15.75" customHeight="1" x14ac:dyDescent="0.25">
      <c r="B706" s="3"/>
      <c r="S706" s="3"/>
      <c r="T706" s="3"/>
    </row>
    <row r="707" spans="2:20" ht="15.75" customHeight="1" x14ac:dyDescent="0.25">
      <c r="B707" s="3"/>
      <c r="S707" s="3"/>
      <c r="T707" s="3"/>
    </row>
    <row r="708" spans="2:20" ht="15.75" customHeight="1" x14ac:dyDescent="0.25">
      <c r="B708" s="3"/>
      <c r="S708" s="3"/>
      <c r="T708" s="3"/>
    </row>
    <row r="709" spans="2:20" ht="15.75" customHeight="1" x14ac:dyDescent="0.25">
      <c r="B709" s="3"/>
      <c r="S709" s="3"/>
      <c r="T709" s="3"/>
    </row>
    <row r="710" spans="2:20" ht="15.75" customHeight="1" x14ac:dyDescent="0.25">
      <c r="B710" s="3"/>
      <c r="S710" s="3"/>
      <c r="T710" s="3"/>
    </row>
    <row r="711" spans="2:20" ht="15.75" customHeight="1" x14ac:dyDescent="0.25">
      <c r="B711" s="3"/>
      <c r="S711" s="3"/>
      <c r="T711" s="3"/>
    </row>
    <row r="712" spans="2:20" ht="15.75" customHeight="1" x14ac:dyDescent="0.25">
      <c r="B712" s="3"/>
      <c r="S712" s="3"/>
      <c r="T712" s="3"/>
    </row>
    <row r="713" spans="2:20" ht="15.75" customHeight="1" x14ac:dyDescent="0.25">
      <c r="B713" s="3"/>
      <c r="S713" s="3"/>
      <c r="T713" s="3"/>
    </row>
    <row r="714" spans="2:20" ht="15.75" customHeight="1" x14ac:dyDescent="0.25">
      <c r="B714" s="3"/>
      <c r="S714" s="3"/>
      <c r="T714" s="3"/>
    </row>
    <row r="715" spans="2:20" ht="15.75" customHeight="1" x14ac:dyDescent="0.25">
      <c r="B715" s="3"/>
      <c r="S715" s="3"/>
      <c r="T715" s="3"/>
    </row>
    <row r="716" spans="2:20" ht="15.75" customHeight="1" x14ac:dyDescent="0.25">
      <c r="B716" s="3"/>
      <c r="S716" s="3"/>
      <c r="T716" s="3"/>
    </row>
    <row r="717" spans="2:20" ht="15.75" customHeight="1" x14ac:dyDescent="0.25">
      <c r="B717" s="3"/>
      <c r="S717" s="3"/>
      <c r="T717" s="3"/>
    </row>
    <row r="718" spans="2:20" ht="15.75" customHeight="1" x14ac:dyDescent="0.25">
      <c r="B718" s="3"/>
      <c r="S718" s="3"/>
      <c r="T718" s="3"/>
    </row>
    <row r="719" spans="2:20" ht="15.75" customHeight="1" x14ac:dyDescent="0.25">
      <c r="B719" s="3"/>
      <c r="S719" s="3"/>
      <c r="T719" s="3"/>
    </row>
    <row r="720" spans="2:20" ht="15.75" customHeight="1" x14ac:dyDescent="0.25">
      <c r="B720" s="3"/>
      <c r="S720" s="3"/>
      <c r="T720" s="3"/>
    </row>
    <row r="721" spans="2:20" ht="15.75" customHeight="1" x14ac:dyDescent="0.25">
      <c r="B721" s="3"/>
      <c r="S721" s="3"/>
      <c r="T721" s="3"/>
    </row>
    <row r="722" spans="2:20" ht="15.75" customHeight="1" x14ac:dyDescent="0.25">
      <c r="B722" s="3"/>
      <c r="S722" s="3"/>
      <c r="T722" s="3"/>
    </row>
    <row r="723" spans="2:20" ht="15.75" customHeight="1" x14ac:dyDescent="0.25">
      <c r="B723" s="3"/>
      <c r="S723" s="3"/>
      <c r="T723" s="3"/>
    </row>
    <row r="724" spans="2:20" ht="15.75" customHeight="1" x14ac:dyDescent="0.25">
      <c r="B724" s="3"/>
      <c r="S724" s="3"/>
      <c r="T724" s="3"/>
    </row>
    <row r="725" spans="2:20" ht="15.75" customHeight="1" x14ac:dyDescent="0.25">
      <c r="B725" s="3"/>
      <c r="S725" s="3"/>
      <c r="T725" s="3"/>
    </row>
    <row r="726" spans="2:20" ht="15.75" customHeight="1" x14ac:dyDescent="0.25">
      <c r="B726" s="3"/>
      <c r="S726" s="3"/>
      <c r="T726" s="3"/>
    </row>
    <row r="727" spans="2:20" ht="15.75" customHeight="1" x14ac:dyDescent="0.25">
      <c r="B727" s="3"/>
      <c r="S727" s="3"/>
      <c r="T727" s="3"/>
    </row>
    <row r="728" spans="2:20" ht="15.75" customHeight="1" x14ac:dyDescent="0.25">
      <c r="B728" s="3"/>
      <c r="S728" s="3"/>
      <c r="T728" s="3"/>
    </row>
    <row r="729" spans="2:20" ht="15.75" customHeight="1" x14ac:dyDescent="0.25">
      <c r="B729" s="3"/>
      <c r="S729" s="3"/>
      <c r="T729" s="3"/>
    </row>
    <row r="730" spans="2:20" ht="15.75" customHeight="1" x14ac:dyDescent="0.25">
      <c r="B730" s="3"/>
      <c r="S730" s="3"/>
      <c r="T730" s="3"/>
    </row>
    <row r="731" spans="2:20" ht="15.75" customHeight="1" x14ac:dyDescent="0.25">
      <c r="B731" s="3"/>
      <c r="S731" s="3"/>
      <c r="T731" s="3"/>
    </row>
    <row r="732" spans="2:20" ht="15.75" customHeight="1" x14ac:dyDescent="0.25">
      <c r="B732" s="3"/>
      <c r="S732" s="3"/>
      <c r="T732" s="3"/>
    </row>
    <row r="733" spans="2:20" ht="15.75" customHeight="1" x14ac:dyDescent="0.25">
      <c r="B733" s="3"/>
      <c r="S733" s="3"/>
      <c r="T733" s="3"/>
    </row>
    <row r="734" spans="2:20" ht="15.75" customHeight="1" x14ac:dyDescent="0.25">
      <c r="B734" s="3"/>
      <c r="S734" s="3"/>
      <c r="T734" s="3"/>
    </row>
    <row r="735" spans="2:20" ht="15.75" customHeight="1" x14ac:dyDescent="0.25">
      <c r="B735" s="3"/>
      <c r="S735" s="3"/>
      <c r="T735" s="3"/>
    </row>
    <row r="736" spans="2:20" ht="15.75" customHeight="1" x14ac:dyDescent="0.25">
      <c r="B736" s="3"/>
      <c r="S736" s="3"/>
      <c r="T736" s="3"/>
    </row>
    <row r="737" spans="2:20" ht="15.75" customHeight="1" x14ac:dyDescent="0.25">
      <c r="B737" s="3"/>
      <c r="S737" s="3"/>
      <c r="T737" s="3"/>
    </row>
    <row r="738" spans="2:20" ht="15.75" customHeight="1" x14ac:dyDescent="0.25">
      <c r="B738" s="3"/>
      <c r="S738" s="3"/>
      <c r="T738" s="3"/>
    </row>
    <row r="739" spans="2:20" ht="15.75" customHeight="1" x14ac:dyDescent="0.25">
      <c r="B739" s="3"/>
      <c r="S739" s="3"/>
      <c r="T739" s="3"/>
    </row>
    <row r="740" spans="2:20" ht="15.75" customHeight="1" x14ac:dyDescent="0.25">
      <c r="B740" s="3"/>
      <c r="S740" s="3"/>
      <c r="T740" s="3"/>
    </row>
    <row r="741" spans="2:20" ht="15.75" customHeight="1" x14ac:dyDescent="0.25">
      <c r="B741" s="3"/>
      <c r="S741" s="3"/>
      <c r="T741" s="3"/>
    </row>
    <row r="742" spans="2:20" ht="15.75" customHeight="1" x14ac:dyDescent="0.25">
      <c r="B742" s="3"/>
      <c r="S742" s="3"/>
      <c r="T742" s="3"/>
    </row>
    <row r="743" spans="2:20" ht="15.75" customHeight="1" x14ac:dyDescent="0.25">
      <c r="B743" s="3"/>
      <c r="S743" s="3"/>
      <c r="T743" s="3"/>
    </row>
    <row r="744" spans="2:20" ht="15.75" customHeight="1" x14ac:dyDescent="0.25">
      <c r="B744" s="3"/>
      <c r="S744" s="3"/>
      <c r="T744" s="3"/>
    </row>
    <row r="745" spans="2:20" ht="15.75" customHeight="1" x14ac:dyDescent="0.25">
      <c r="B745" s="3"/>
      <c r="S745" s="3"/>
      <c r="T745" s="3"/>
    </row>
    <row r="746" spans="2:20" ht="15.75" customHeight="1" x14ac:dyDescent="0.25">
      <c r="B746" s="3"/>
      <c r="S746" s="3"/>
      <c r="T746" s="3"/>
    </row>
    <row r="747" spans="2:20" ht="15.75" customHeight="1" x14ac:dyDescent="0.25">
      <c r="B747" s="3"/>
      <c r="S747" s="3"/>
      <c r="T747" s="3"/>
    </row>
    <row r="748" spans="2:20" ht="15.75" customHeight="1" x14ac:dyDescent="0.25">
      <c r="B748" s="3"/>
      <c r="S748" s="3"/>
      <c r="T748" s="3"/>
    </row>
    <row r="749" spans="2:20" ht="15.75" customHeight="1" x14ac:dyDescent="0.25">
      <c r="B749" s="3"/>
      <c r="S749" s="3"/>
      <c r="T749" s="3"/>
    </row>
    <row r="750" spans="2:20" ht="15.75" customHeight="1" x14ac:dyDescent="0.25">
      <c r="B750" s="3"/>
      <c r="S750" s="3"/>
      <c r="T750" s="3"/>
    </row>
    <row r="751" spans="2:20" ht="15.75" customHeight="1" x14ac:dyDescent="0.25">
      <c r="B751" s="3"/>
      <c r="S751" s="3"/>
      <c r="T751" s="3"/>
    </row>
    <row r="752" spans="2:20" ht="15.75" customHeight="1" x14ac:dyDescent="0.25">
      <c r="B752" s="3"/>
      <c r="S752" s="3"/>
      <c r="T752" s="3"/>
    </row>
    <row r="753" spans="2:20" ht="15.75" customHeight="1" x14ac:dyDescent="0.25">
      <c r="B753" s="3"/>
      <c r="S753" s="3"/>
      <c r="T753" s="3"/>
    </row>
    <row r="754" spans="2:20" ht="15.75" customHeight="1" x14ac:dyDescent="0.25">
      <c r="B754" s="3"/>
      <c r="S754" s="3"/>
      <c r="T754" s="3"/>
    </row>
    <row r="755" spans="2:20" ht="15.75" customHeight="1" x14ac:dyDescent="0.25">
      <c r="B755" s="3"/>
      <c r="S755" s="3"/>
      <c r="T755" s="3"/>
    </row>
    <row r="756" spans="2:20" ht="15.75" customHeight="1" x14ac:dyDescent="0.25">
      <c r="B756" s="3"/>
      <c r="S756" s="3"/>
      <c r="T756" s="3"/>
    </row>
    <row r="757" spans="2:20" ht="15.75" customHeight="1" x14ac:dyDescent="0.25">
      <c r="B757" s="3"/>
      <c r="S757" s="3"/>
      <c r="T757" s="3"/>
    </row>
    <row r="758" spans="2:20" ht="15.75" customHeight="1" x14ac:dyDescent="0.25">
      <c r="B758" s="3"/>
      <c r="S758" s="3"/>
      <c r="T758" s="3"/>
    </row>
    <row r="759" spans="2:20" ht="15.75" customHeight="1" x14ac:dyDescent="0.25">
      <c r="B759" s="3"/>
      <c r="S759" s="3"/>
      <c r="T759" s="3"/>
    </row>
    <row r="760" spans="2:20" ht="15.75" customHeight="1" x14ac:dyDescent="0.25">
      <c r="B760" s="3"/>
      <c r="S760" s="3"/>
      <c r="T760" s="3"/>
    </row>
    <row r="761" spans="2:20" ht="15.75" customHeight="1" x14ac:dyDescent="0.25">
      <c r="B761" s="3"/>
      <c r="S761" s="3"/>
      <c r="T761" s="3"/>
    </row>
    <row r="762" spans="2:20" ht="15.75" customHeight="1" x14ac:dyDescent="0.25">
      <c r="B762" s="3"/>
      <c r="S762" s="3"/>
      <c r="T762" s="3"/>
    </row>
    <row r="763" spans="2:20" ht="15.75" customHeight="1" x14ac:dyDescent="0.25">
      <c r="B763" s="3"/>
      <c r="S763" s="3"/>
      <c r="T763" s="3"/>
    </row>
    <row r="764" spans="2:20" ht="15.75" customHeight="1" x14ac:dyDescent="0.25">
      <c r="B764" s="3"/>
      <c r="S764" s="3"/>
      <c r="T764" s="3"/>
    </row>
    <row r="765" spans="2:20" ht="15.75" customHeight="1" x14ac:dyDescent="0.25">
      <c r="B765" s="3"/>
      <c r="S765" s="3"/>
      <c r="T765" s="3"/>
    </row>
    <row r="766" spans="2:20" ht="15.75" customHeight="1" x14ac:dyDescent="0.25">
      <c r="B766" s="3"/>
      <c r="S766" s="3"/>
      <c r="T766" s="3"/>
    </row>
    <row r="767" spans="2:20" ht="15.75" customHeight="1" x14ac:dyDescent="0.25">
      <c r="B767" s="3"/>
      <c r="S767" s="3"/>
      <c r="T767" s="3"/>
    </row>
    <row r="768" spans="2:20" ht="15.75" customHeight="1" x14ac:dyDescent="0.25">
      <c r="B768" s="3"/>
      <c r="S768" s="3"/>
      <c r="T768" s="3"/>
    </row>
    <row r="769" spans="2:20" ht="15.75" customHeight="1" x14ac:dyDescent="0.25">
      <c r="B769" s="3"/>
      <c r="S769" s="3"/>
      <c r="T769" s="3"/>
    </row>
    <row r="770" spans="2:20" ht="15.75" customHeight="1" x14ac:dyDescent="0.25">
      <c r="B770" s="3"/>
      <c r="S770" s="3"/>
      <c r="T770" s="3"/>
    </row>
    <row r="771" spans="2:20" ht="15.75" customHeight="1" x14ac:dyDescent="0.25">
      <c r="B771" s="3"/>
      <c r="S771" s="3"/>
      <c r="T771" s="3"/>
    </row>
    <row r="772" spans="2:20" ht="15.75" customHeight="1" x14ac:dyDescent="0.25">
      <c r="B772" s="3"/>
      <c r="S772" s="3"/>
      <c r="T772" s="3"/>
    </row>
    <row r="773" spans="2:20" ht="15.75" customHeight="1" x14ac:dyDescent="0.25">
      <c r="B773" s="3"/>
      <c r="S773" s="3"/>
      <c r="T773" s="3"/>
    </row>
    <row r="774" spans="2:20" ht="15.75" customHeight="1" x14ac:dyDescent="0.25">
      <c r="B774" s="3"/>
      <c r="S774" s="3"/>
      <c r="T774" s="3"/>
    </row>
    <row r="775" spans="2:20" ht="15.75" customHeight="1" x14ac:dyDescent="0.25">
      <c r="B775" s="3"/>
      <c r="S775" s="3"/>
      <c r="T775" s="3"/>
    </row>
    <row r="776" spans="2:20" ht="15.75" customHeight="1" x14ac:dyDescent="0.25">
      <c r="B776" s="3"/>
      <c r="S776" s="3"/>
      <c r="T776" s="3"/>
    </row>
    <row r="777" spans="2:20" ht="15.75" customHeight="1" x14ac:dyDescent="0.25">
      <c r="B777" s="3"/>
      <c r="S777" s="3"/>
      <c r="T777" s="3"/>
    </row>
    <row r="778" spans="2:20" ht="15.75" customHeight="1" x14ac:dyDescent="0.25">
      <c r="B778" s="3"/>
      <c r="S778" s="3"/>
      <c r="T778" s="3"/>
    </row>
    <row r="779" spans="2:20" ht="15.75" customHeight="1" x14ac:dyDescent="0.25">
      <c r="B779" s="3"/>
      <c r="S779" s="3"/>
      <c r="T779" s="3"/>
    </row>
    <row r="780" spans="2:20" ht="15.75" customHeight="1" x14ac:dyDescent="0.25">
      <c r="B780" s="3"/>
      <c r="S780" s="3"/>
      <c r="T780" s="3"/>
    </row>
    <row r="781" spans="2:20" ht="15.75" customHeight="1" x14ac:dyDescent="0.25">
      <c r="B781" s="3"/>
      <c r="S781" s="3"/>
      <c r="T781" s="3"/>
    </row>
    <row r="782" spans="2:20" ht="15.75" customHeight="1" x14ac:dyDescent="0.25">
      <c r="B782" s="3"/>
      <c r="S782" s="3"/>
      <c r="T782" s="3"/>
    </row>
    <row r="783" spans="2:20" ht="15.75" customHeight="1" x14ac:dyDescent="0.25">
      <c r="B783" s="3"/>
      <c r="S783" s="3"/>
      <c r="T783" s="3"/>
    </row>
    <row r="784" spans="2:20" ht="15.75" customHeight="1" x14ac:dyDescent="0.25">
      <c r="B784" s="3"/>
      <c r="S784" s="3"/>
      <c r="T784" s="3"/>
    </row>
    <row r="785" spans="2:20" ht="15.75" customHeight="1" x14ac:dyDescent="0.25">
      <c r="B785" s="3"/>
      <c r="S785" s="3"/>
      <c r="T785" s="3"/>
    </row>
    <row r="786" spans="2:20" ht="15.75" customHeight="1" x14ac:dyDescent="0.25">
      <c r="B786" s="3"/>
      <c r="S786" s="3"/>
      <c r="T786" s="3"/>
    </row>
    <row r="787" spans="2:20" ht="15.75" customHeight="1" x14ac:dyDescent="0.25">
      <c r="B787" s="3"/>
      <c r="S787" s="3"/>
      <c r="T787" s="3"/>
    </row>
    <row r="788" spans="2:20" ht="15.75" customHeight="1" x14ac:dyDescent="0.25">
      <c r="B788" s="3"/>
      <c r="S788" s="3"/>
      <c r="T788" s="3"/>
    </row>
    <row r="789" spans="2:20" ht="15.75" customHeight="1" x14ac:dyDescent="0.25">
      <c r="B789" s="3"/>
      <c r="S789" s="3"/>
      <c r="T789" s="3"/>
    </row>
    <row r="790" spans="2:20" ht="15.75" customHeight="1" x14ac:dyDescent="0.25">
      <c r="B790" s="3"/>
      <c r="S790" s="3"/>
      <c r="T790" s="3"/>
    </row>
    <row r="791" spans="2:20" ht="15.75" customHeight="1" x14ac:dyDescent="0.25">
      <c r="B791" s="3"/>
      <c r="S791" s="3"/>
      <c r="T791" s="3"/>
    </row>
    <row r="792" spans="2:20" ht="15.75" customHeight="1" x14ac:dyDescent="0.25">
      <c r="B792" s="3"/>
      <c r="S792" s="3"/>
      <c r="T792" s="3"/>
    </row>
    <row r="793" spans="2:20" ht="15.75" customHeight="1" x14ac:dyDescent="0.25">
      <c r="B793" s="3"/>
      <c r="S793" s="3"/>
      <c r="T793" s="3"/>
    </row>
    <row r="794" spans="2:20" ht="15.75" customHeight="1" x14ac:dyDescent="0.25">
      <c r="B794" s="3"/>
      <c r="S794" s="3"/>
      <c r="T794" s="3"/>
    </row>
    <row r="795" spans="2:20" ht="15.75" customHeight="1" x14ac:dyDescent="0.25">
      <c r="B795" s="3"/>
      <c r="S795" s="3"/>
      <c r="T795" s="3"/>
    </row>
    <row r="796" spans="2:20" ht="15.75" customHeight="1" x14ac:dyDescent="0.25">
      <c r="B796" s="3"/>
      <c r="S796" s="3"/>
      <c r="T796" s="3"/>
    </row>
    <row r="797" spans="2:20" ht="15.75" customHeight="1" x14ac:dyDescent="0.25">
      <c r="B797" s="3"/>
      <c r="S797" s="3"/>
      <c r="T797" s="3"/>
    </row>
    <row r="798" spans="2:20" ht="15.75" customHeight="1" x14ac:dyDescent="0.25">
      <c r="B798" s="3"/>
      <c r="S798" s="3"/>
      <c r="T798" s="3"/>
    </row>
    <row r="799" spans="2:20" ht="15.75" customHeight="1" x14ac:dyDescent="0.25">
      <c r="B799" s="3"/>
      <c r="S799" s="3"/>
      <c r="T799" s="3"/>
    </row>
    <row r="800" spans="2:20" ht="15.75" customHeight="1" x14ac:dyDescent="0.25">
      <c r="B800" s="3"/>
      <c r="S800" s="3"/>
      <c r="T800" s="3"/>
    </row>
    <row r="801" spans="2:20" ht="15.75" customHeight="1" x14ac:dyDescent="0.25">
      <c r="B801" s="3"/>
      <c r="S801" s="3"/>
      <c r="T801" s="3"/>
    </row>
    <row r="802" spans="2:20" ht="15.75" customHeight="1" x14ac:dyDescent="0.25">
      <c r="B802" s="3"/>
      <c r="S802" s="3"/>
      <c r="T802" s="3"/>
    </row>
    <row r="803" spans="2:20" ht="15.75" customHeight="1" x14ac:dyDescent="0.25">
      <c r="B803" s="3"/>
      <c r="S803" s="3"/>
      <c r="T803" s="3"/>
    </row>
    <row r="804" spans="2:20" ht="15.75" customHeight="1" x14ac:dyDescent="0.25">
      <c r="B804" s="3"/>
      <c r="S804" s="3"/>
      <c r="T804" s="3"/>
    </row>
    <row r="805" spans="2:20" ht="15.75" customHeight="1" x14ac:dyDescent="0.25">
      <c r="B805" s="3"/>
      <c r="S805" s="3"/>
      <c r="T805" s="3"/>
    </row>
    <row r="806" spans="2:20" ht="15.75" customHeight="1" x14ac:dyDescent="0.25">
      <c r="B806" s="3"/>
      <c r="S806" s="3"/>
      <c r="T806" s="3"/>
    </row>
    <row r="807" spans="2:20" ht="15.75" customHeight="1" x14ac:dyDescent="0.25">
      <c r="B807" s="3"/>
      <c r="S807" s="3"/>
      <c r="T807" s="3"/>
    </row>
    <row r="808" spans="2:20" ht="15.75" customHeight="1" x14ac:dyDescent="0.25">
      <c r="B808" s="3"/>
      <c r="S808" s="3"/>
      <c r="T808" s="3"/>
    </row>
    <row r="809" spans="2:20" ht="15.75" customHeight="1" x14ac:dyDescent="0.25">
      <c r="B809" s="3"/>
      <c r="S809" s="3"/>
      <c r="T809" s="3"/>
    </row>
    <row r="810" spans="2:20" ht="15.75" customHeight="1" x14ac:dyDescent="0.25">
      <c r="B810" s="3"/>
      <c r="S810" s="3"/>
      <c r="T810" s="3"/>
    </row>
    <row r="811" spans="2:20" ht="15.75" customHeight="1" x14ac:dyDescent="0.25">
      <c r="B811" s="3"/>
      <c r="S811" s="3"/>
      <c r="T811" s="3"/>
    </row>
    <row r="812" spans="2:20" ht="15.75" customHeight="1" x14ac:dyDescent="0.25">
      <c r="B812" s="3"/>
      <c r="S812" s="3"/>
      <c r="T812" s="3"/>
    </row>
    <row r="813" spans="2:20" ht="15.75" customHeight="1" x14ac:dyDescent="0.25">
      <c r="B813" s="3"/>
      <c r="S813" s="3"/>
      <c r="T813" s="3"/>
    </row>
    <row r="814" spans="2:20" ht="15.75" customHeight="1" x14ac:dyDescent="0.25">
      <c r="B814" s="3"/>
      <c r="S814" s="3"/>
      <c r="T814" s="3"/>
    </row>
    <row r="815" spans="2:20" ht="15.75" customHeight="1" x14ac:dyDescent="0.25">
      <c r="B815" s="3"/>
      <c r="S815" s="3"/>
      <c r="T815" s="3"/>
    </row>
    <row r="816" spans="2:20" ht="15.75" customHeight="1" x14ac:dyDescent="0.25">
      <c r="B816" s="3"/>
      <c r="S816" s="3"/>
      <c r="T816" s="3"/>
    </row>
    <row r="817" spans="2:20" ht="15.75" customHeight="1" x14ac:dyDescent="0.25">
      <c r="B817" s="3"/>
      <c r="S817" s="3"/>
      <c r="T817" s="3"/>
    </row>
    <row r="818" spans="2:20" ht="15.75" customHeight="1" x14ac:dyDescent="0.25">
      <c r="B818" s="3"/>
      <c r="S818" s="3"/>
      <c r="T818" s="3"/>
    </row>
    <row r="819" spans="2:20" ht="15.75" customHeight="1" x14ac:dyDescent="0.25">
      <c r="B819" s="3"/>
      <c r="S819" s="3"/>
      <c r="T819" s="3"/>
    </row>
    <row r="820" spans="2:20" ht="15.75" customHeight="1" x14ac:dyDescent="0.25">
      <c r="B820" s="3"/>
      <c r="S820" s="3"/>
      <c r="T820" s="3"/>
    </row>
    <row r="821" spans="2:20" ht="15.75" customHeight="1" x14ac:dyDescent="0.25">
      <c r="B821" s="3"/>
      <c r="S821" s="3"/>
      <c r="T821" s="3"/>
    </row>
    <row r="822" spans="2:20" ht="15.75" customHeight="1" x14ac:dyDescent="0.25">
      <c r="B822" s="3"/>
      <c r="S822" s="3"/>
      <c r="T822" s="3"/>
    </row>
    <row r="823" spans="2:20" ht="15.75" customHeight="1" x14ac:dyDescent="0.25">
      <c r="B823" s="3"/>
      <c r="S823" s="3"/>
      <c r="T823" s="3"/>
    </row>
    <row r="824" spans="2:20" ht="15.75" customHeight="1" x14ac:dyDescent="0.25">
      <c r="B824" s="3"/>
      <c r="S824" s="3"/>
      <c r="T824" s="3"/>
    </row>
    <row r="825" spans="2:20" ht="15.75" customHeight="1" x14ac:dyDescent="0.25">
      <c r="B825" s="3"/>
      <c r="S825" s="3"/>
      <c r="T825" s="3"/>
    </row>
    <row r="826" spans="2:20" ht="15.75" customHeight="1" x14ac:dyDescent="0.25">
      <c r="B826" s="3"/>
      <c r="S826" s="3"/>
      <c r="T826" s="3"/>
    </row>
    <row r="827" spans="2:20" ht="15.75" customHeight="1" x14ac:dyDescent="0.25">
      <c r="B827" s="3"/>
      <c r="S827" s="3"/>
      <c r="T827" s="3"/>
    </row>
    <row r="828" spans="2:20" ht="15.75" customHeight="1" x14ac:dyDescent="0.25">
      <c r="B828" s="3"/>
      <c r="S828" s="3"/>
      <c r="T828" s="3"/>
    </row>
    <row r="829" spans="2:20" ht="15.75" customHeight="1" x14ac:dyDescent="0.25">
      <c r="B829" s="3"/>
      <c r="S829" s="3"/>
      <c r="T829" s="3"/>
    </row>
    <row r="830" spans="2:20" ht="15.75" customHeight="1" x14ac:dyDescent="0.25">
      <c r="B830" s="3"/>
      <c r="S830" s="3"/>
      <c r="T830" s="3"/>
    </row>
    <row r="831" spans="2:20" ht="15.75" customHeight="1" x14ac:dyDescent="0.25">
      <c r="B831" s="3"/>
      <c r="S831" s="3"/>
      <c r="T831" s="3"/>
    </row>
    <row r="832" spans="2:20" ht="15.75" customHeight="1" x14ac:dyDescent="0.25">
      <c r="B832" s="3"/>
      <c r="S832" s="3"/>
      <c r="T832" s="3"/>
    </row>
    <row r="833" spans="2:20" ht="15.75" customHeight="1" x14ac:dyDescent="0.25">
      <c r="B833" s="3"/>
      <c r="S833" s="3"/>
      <c r="T833" s="3"/>
    </row>
    <row r="834" spans="2:20" ht="15.75" customHeight="1" x14ac:dyDescent="0.25">
      <c r="B834" s="3"/>
      <c r="S834" s="3"/>
      <c r="T834" s="3"/>
    </row>
    <row r="835" spans="2:20" ht="15.75" customHeight="1" x14ac:dyDescent="0.25">
      <c r="B835" s="3"/>
      <c r="S835" s="3"/>
      <c r="T835" s="3"/>
    </row>
    <row r="836" spans="2:20" ht="15.75" customHeight="1" x14ac:dyDescent="0.25">
      <c r="B836" s="3"/>
      <c r="S836" s="3"/>
      <c r="T836" s="3"/>
    </row>
    <row r="837" spans="2:20" ht="15.75" customHeight="1" x14ac:dyDescent="0.25">
      <c r="B837" s="3"/>
      <c r="S837" s="3"/>
      <c r="T837" s="3"/>
    </row>
    <row r="838" spans="2:20" ht="15.75" customHeight="1" x14ac:dyDescent="0.25">
      <c r="B838" s="3"/>
      <c r="S838" s="3"/>
      <c r="T838" s="3"/>
    </row>
    <row r="839" spans="2:20" ht="15.75" customHeight="1" x14ac:dyDescent="0.25">
      <c r="B839" s="3"/>
      <c r="S839" s="3"/>
      <c r="T839" s="3"/>
    </row>
    <row r="840" spans="2:20" ht="15.75" customHeight="1" x14ac:dyDescent="0.25">
      <c r="B840" s="3"/>
      <c r="S840" s="3"/>
      <c r="T840" s="3"/>
    </row>
    <row r="841" spans="2:20" ht="15.75" customHeight="1" x14ac:dyDescent="0.25">
      <c r="B841" s="3"/>
      <c r="S841" s="3"/>
      <c r="T841" s="3"/>
    </row>
    <row r="842" spans="2:20" ht="15.75" customHeight="1" x14ac:dyDescent="0.25">
      <c r="B842" s="3"/>
      <c r="S842" s="3"/>
      <c r="T842" s="3"/>
    </row>
    <row r="843" spans="2:20" ht="15.75" customHeight="1" x14ac:dyDescent="0.25">
      <c r="B843" s="3"/>
      <c r="S843" s="3"/>
      <c r="T843" s="3"/>
    </row>
    <row r="844" spans="2:20" ht="15.75" customHeight="1" x14ac:dyDescent="0.25">
      <c r="B844" s="3"/>
      <c r="S844" s="3"/>
      <c r="T844" s="3"/>
    </row>
    <row r="845" spans="2:20" ht="15.75" customHeight="1" x14ac:dyDescent="0.25">
      <c r="B845" s="3"/>
      <c r="S845" s="3"/>
      <c r="T845" s="3"/>
    </row>
    <row r="846" spans="2:20" ht="15.75" customHeight="1" x14ac:dyDescent="0.25">
      <c r="B846" s="3"/>
      <c r="S846" s="3"/>
      <c r="T846" s="3"/>
    </row>
    <row r="847" spans="2:20" ht="15.75" customHeight="1" x14ac:dyDescent="0.25">
      <c r="B847" s="3"/>
      <c r="S847" s="3"/>
      <c r="T847" s="3"/>
    </row>
    <row r="848" spans="2:20" ht="15.75" customHeight="1" x14ac:dyDescent="0.25">
      <c r="B848" s="3"/>
      <c r="S848" s="3"/>
      <c r="T848" s="3"/>
    </row>
    <row r="849" spans="2:20" ht="15.75" customHeight="1" x14ac:dyDescent="0.25">
      <c r="B849" s="3"/>
      <c r="S849" s="3"/>
      <c r="T849" s="3"/>
    </row>
    <row r="850" spans="2:20" ht="15.75" customHeight="1" x14ac:dyDescent="0.25">
      <c r="B850" s="3"/>
      <c r="S850" s="3"/>
      <c r="T850" s="3"/>
    </row>
    <row r="851" spans="2:20" ht="15.75" customHeight="1" x14ac:dyDescent="0.25">
      <c r="B851" s="3"/>
      <c r="S851" s="3"/>
      <c r="T851" s="3"/>
    </row>
    <row r="852" spans="2:20" ht="15.75" customHeight="1" x14ac:dyDescent="0.25">
      <c r="B852" s="3"/>
      <c r="S852" s="3"/>
      <c r="T852" s="3"/>
    </row>
    <row r="853" spans="2:20" ht="15.75" customHeight="1" x14ac:dyDescent="0.25">
      <c r="B853" s="3"/>
      <c r="S853" s="3"/>
      <c r="T853" s="3"/>
    </row>
    <row r="854" spans="2:20" ht="15.75" customHeight="1" x14ac:dyDescent="0.25">
      <c r="B854" s="3"/>
      <c r="S854" s="3"/>
      <c r="T854" s="3"/>
    </row>
    <row r="855" spans="2:20" ht="15.75" customHeight="1" x14ac:dyDescent="0.25">
      <c r="B855" s="3"/>
      <c r="S855" s="3"/>
      <c r="T855" s="3"/>
    </row>
    <row r="856" spans="2:20" ht="15.75" customHeight="1" x14ac:dyDescent="0.25">
      <c r="B856" s="3"/>
      <c r="S856" s="3"/>
      <c r="T856" s="3"/>
    </row>
    <row r="857" spans="2:20" ht="15.75" customHeight="1" x14ac:dyDescent="0.25">
      <c r="B857" s="3"/>
      <c r="S857" s="3"/>
      <c r="T857" s="3"/>
    </row>
    <row r="858" spans="2:20" ht="15.75" customHeight="1" x14ac:dyDescent="0.25">
      <c r="B858" s="3"/>
      <c r="S858" s="3"/>
      <c r="T858" s="3"/>
    </row>
    <row r="859" spans="2:20" ht="15.75" customHeight="1" x14ac:dyDescent="0.25">
      <c r="B859" s="3"/>
      <c r="S859" s="3"/>
      <c r="T859" s="3"/>
    </row>
    <row r="860" spans="2:20" ht="15.75" customHeight="1" x14ac:dyDescent="0.25">
      <c r="B860" s="3"/>
      <c r="S860" s="3"/>
      <c r="T860" s="3"/>
    </row>
    <row r="861" spans="2:20" ht="15.75" customHeight="1" x14ac:dyDescent="0.25">
      <c r="B861" s="3"/>
      <c r="S861" s="3"/>
      <c r="T861" s="3"/>
    </row>
    <row r="862" spans="2:20" ht="15.75" customHeight="1" x14ac:dyDescent="0.25">
      <c r="B862" s="3"/>
      <c r="S862" s="3"/>
      <c r="T862" s="3"/>
    </row>
    <row r="863" spans="2:20" ht="15.75" customHeight="1" x14ac:dyDescent="0.25">
      <c r="B863" s="3"/>
      <c r="S863" s="3"/>
      <c r="T863" s="3"/>
    </row>
    <row r="864" spans="2:20" ht="15.75" customHeight="1" x14ac:dyDescent="0.25">
      <c r="B864" s="3"/>
      <c r="S864" s="3"/>
      <c r="T864" s="3"/>
    </row>
    <row r="865" spans="2:20" ht="15.75" customHeight="1" x14ac:dyDescent="0.25">
      <c r="B865" s="3"/>
      <c r="S865" s="3"/>
      <c r="T865" s="3"/>
    </row>
    <row r="866" spans="2:20" ht="15.75" customHeight="1" x14ac:dyDescent="0.25">
      <c r="B866" s="3"/>
      <c r="S866" s="3"/>
      <c r="T866" s="3"/>
    </row>
    <row r="867" spans="2:20" ht="15.75" customHeight="1" x14ac:dyDescent="0.25">
      <c r="B867" s="3"/>
      <c r="S867" s="3"/>
      <c r="T867" s="3"/>
    </row>
    <row r="868" spans="2:20" ht="15.75" customHeight="1" x14ac:dyDescent="0.25">
      <c r="B868" s="3"/>
      <c r="S868" s="3"/>
      <c r="T868" s="3"/>
    </row>
    <row r="869" spans="2:20" ht="15.75" customHeight="1" x14ac:dyDescent="0.25">
      <c r="B869" s="3"/>
      <c r="S869" s="3"/>
      <c r="T869" s="3"/>
    </row>
    <row r="870" spans="2:20" ht="15.75" customHeight="1" x14ac:dyDescent="0.25">
      <c r="B870" s="3"/>
      <c r="S870" s="3"/>
      <c r="T870" s="3"/>
    </row>
    <row r="871" spans="2:20" ht="15.75" customHeight="1" x14ac:dyDescent="0.25">
      <c r="B871" s="3"/>
      <c r="S871" s="3"/>
      <c r="T871" s="3"/>
    </row>
    <row r="872" spans="2:20" ht="15.75" customHeight="1" x14ac:dyDescent="0.25">
      <c r="B872" s="3"/>
      <c r="S872" s="3"/>
      <c r="T872" s="3"/>
    </row>
    <row r="873" spans="2:20" ht="15.75" customHeight="1" x14ac:dyDescent="0.25">
      <c r="B873" s="3"/>
      <c r="S873" s="3"/>
      <c r="T873" s="3"/>
    </row>
    <row r="874" spans="2:20" ht="15.75" customHeight="1" x14ac:dyDescent="0.25">
      <c r="B874" s="3"/>
      <c r="S874" s="3"/>
      <c r="T874" s="3"/>
    </row>
    <row r="875" spans="2:20" ht="15.75" customHeight="1" x14ac:dyDescent="0.25">
      <c r="B875" s="3"/>
      <c r="S875" s="3"/>
      <c r="T875" s="3"/>
    </row>
    <row r="876" spans="2:20" ht="15.75" customHeight="1" x14ac:dyDescent="0.25">
      <c r="B876" s="3"/>
      <c r="S876" s="3"/>
      <c r="T876" s="3"/>
    </row>
    <row r="877" spans="2:20" ht="15.75" customHeight="1" x14ac:dyDescent="0.25">
      <c r="B877" s="3"/>
      <c r="S877" s="3"/>
      <c r="T877" s="3"/>
    </row>
    <row r="878" spans="2:20" ht="15.75" customHeight="1" x14ac:dyDescent="0.25">
      <c r="B878" s="3"/>
      <c r="S878" s="3"/>
      <c r="T878" s="3"/>
    </row>
    <row r="879" spans="2:20" ht="15.75" customHeight="1" x14ac:dyDescent="0.25">
      <c r="B879" s="3"/>
      <c r="S879" s="3"/>
      <c r="T879" s="3"/>
    </row>
    <row r="880" spans="2:20" ht="15.75" customHeight="1" x14ac:dyDescent="0.25">
      <c r="B880" s="3"/>
      <c r="S880" s="3"/>
      <c r="T880" s="3"/>
    </row>
    <row r="881" spans="2:20" ht="15.75" customHeight="1" x14ac:dyDescent="0.25">
      <c r="B881" s="3"/>
      <c r="S881" s="3"/>
      <c r="T881" s="3"/>
    </row>
    <row r="882" spans="2:20" ht="15.75" customHeight="1" x14ac:dyDescent="0.25">
      <c r="B882" s="3"/>
      <c r="S882" s="3"/>
      <c r="T882" s="3"/>
    </row>
    <row r="883" spans="2:20" ht="15.75" customHeight="1" x14ac:dyDescent="0.25">
      <c r="B883" s="3"/>
      <c r="S883" s="3"/>
      <c r="T883" s="3"/>
    </row>
    <row r="884" spans="2:20" ht="15.75" customHeight="1" x14ac:dyDescent="0.25">
      <c r="B884" s="3"/>
      <c r="S884" s="3"/>
      <c r="T884" s="3"/>
    </row>
    <row r="885" spans="2:20" ht="15.75" customHeight="1" x14ac:dyDescent="0.25">
      <c r="B885" s="3"/>
      <c r="S885" s="3"/>
      <c r="T885" s="3"/>
    </row>
    <row r="886" spans="2:20" ht="15.75" customHeight="1" x14ac:dyDescent="0.25">
      <c r="B886" s="3"/>
      <c r="S886" s="3"/>
      <c r="T886" s="3"/>
    </row>
    <row r="887" spans="2:20" ht="15.75" customHeight="1" x14ac:dyDescent="0.25">
      <c r="B887" s="3"/>
      <c r="S887" s="3"/>
      <c r="T887" s="3"/>
    </row>
    <row r="888" spans="2:20" ht="15.75" customHeight="1" x14ac:dyDescent="0.25">
      <c r="B888" s="3"/>
      <c r="S888" s="3"/>
      <c r="T888" s="3"/>
    </row>
    <row r="889" spans="2:20" ht="15.75" customHeight="1" x14ac:dyDescent="0.25">
      <c r="B889" s="3"/>
      <c r="S889" s="3"/>
      <c r="T889" s="3"/>
    </row>
    <row r="890" spans="2:20" ht="15.75" customHeight="1" x14ac:dyDescent="0.25">
      <c r="B890" s="3"/>
      <c r="S890" s="3"/>
      <c r="T890" s="3"/>
    </row>
    <row r="891" spans="2:20" ht="15.75" customHeight="1" x14ac:dyDescent="0.25">
      <c r="B891" s="3"/>
      <c r="S891" s="3"/>
      <c r="T891" s="3"/>
    </row>
    <row r="892" spans="2:20" ht="15.75" customHeight="1" x14ac:dyDescent="0.25">
      <c r="B892" s="3"/>
      <c r="S892" s="3"/>
      <c r="T892" s="3"/>
    </row>
    <row r="893" spans="2:20" ht="15.75" customHeight="1" x14ac:dyDescent="0.25">
      <c r="B893" s="3"/>
      <c r="S893" s="3"/>
      <c r="T893" s="3"/>
    </row>
    <row r="894" spans="2:20" ht="15.75" customHeight="1" x14ac:dyDescent="0.25">
      <c r="B894" s="3"/>
      <c r="S894" s="3"/>
      <c r="T894" s="3"/>
    </row>
    <row r="895" spans="2:20" ht="15.75" customHeight="1" x14ac:dyDescent="0.25">
      <c r="B895" s="3"/>
      <c r="S895" s="3"/>
      <c r="T895" s="3"/>
    </row>
    <row r="896" spans="2:20" ht="15.75" customHeight="1" x14ac:dyDescent="0.25">
      <c r="B896" s="3"/>
      <c r="S896" s="3"/>
      <c r="T896" s="3"/>
    </row>
    <row r="897" spans="2:20" ht="15.75" customHeight="1" x14ac:dyDescent="0.25">
      <c r="B897" s="3"/>
      <c r="S897" s="3"/>
      <c r="T897" s="3"/>
    </row>
    <row r="898" spans="2:20" ht="15.75" customHeight="1" x14ac:dyDescent="0.25">
      <c r="B898" s="3"/>
      <c r="S898" s="3"/>
      <c r="T898" s="3"/>
    </row>
    <row r="899" spans="2:20" ht="15.75" customHeight="1" x14ac:dyDescent="0.25">
      <c r="B899" s="3"/>
      <c r="S899" s="3"/>
      <c r="T899" s="3"/>
    </row>
    <row r="900" spans="2:20" ht="15.75" customHeight="1" x14ac:dyDescent="0.25">
      <c r="B900" s="3"/>
      <c r="S900" s="3"/>
      <c r="T900" s="3"/>
    </row>
    <row r="901" spans="2:20" ht="15.75" customHeight="1" x14ac:dyDescent="0.25">
      <c r="B901" s="3"/>
      <c r="S901" s="3"/>
      <c r="T901" s="3"/>
    </row>
    <row r="902" spans="2:20" ht="15.75" customHeight="1" x14ac:dyDescent="0.25">
      <c r="B902" s="3"/>
      <c r="S902" s="3"/>
      <c r="T902" s="3"/>
    </row>
    <row r="903" spans="2:20" ht="15.75" customHeight="1" x14ac:dyDescent="0.25">
      <c r="B903" s="3"/>
      <c r="S903" s="3"/>
      <c r="T903" s="3"/>
    </row>
    <row r="904" spans="2:20" ht="15.75" customHeight="1" x14ac:dyDescent="0.25">
      <c r="B904" s="3"/>
      <c r="S904" s="3"/>
      <c r="T904" s="3"/>
    </row>
    <row r="905" spans="2:20" ht="15.75" customHeight="1" x14ac:dyDescent="0.25">
      <c r="B905" s="3"/>
      <c r="S905" s="3"/>
      <c r="T905" s="3"/>
    </row>
    <row r="906" spans="2:20" ht="15.75" customHeight="1" x14ac:dyDescent="0.25">
      <c r="B906" s="3"/>
      <c r="S906" s="3"/>
      <c r="T906" s="3"/>
    </row>
    <row r="907" spans="2:20" ht="15.75" customHeight="1" x14ac:dyDescent="0.25">
      <c r="B907" s="3"/>
      <c r="S907" s="3"/>
      <c r="T907" s="3"/>
    </row>
    <row r="908" spans="2:20" ht="15.75" customHeight="1" x14ac:dyDescent="0.25">
      <c r="B908" s="3"/>
      <c r="S908" s="3"/>
      <c r="T908" s="3"/>
    </row>
    <row r="909" spans="2:20" ht="15.75" customHeight="1" x14ac:dyDescent="0.25">
      <c r="B909" s="3"/>
      <c r="S909" s="3"/>
      <c r="T909" s="3"/>
    </row>
    <row r="910" spans="2:20" ht="15.75" customHeight="1" x14ac:dyDescent="0.25">
      <c r="B910" s="3"/>
      <c r="S910" s="3"/>
      <c r="T910" s="3"/>
    </row>
    <row r="911" spans="2:20" ht="15.75" customHeight="1" x14ac:dyDescent="0.25">
      <c r="B911" s="3"/>
      <c r="S911" s="3"/>
      <c r="T911" s="3"/>
    </row>
    <row r="912" spans="2:20" ht="15.75" customHeight="1" x14ac:dyDescent="0.25">
      <c r="B912" s="3"/>
      <c r="S912" s="3"/>
      <c r="T912" s="3"/>
    </row>
    <row r="913" spans="2:20" ht="15.75" customHeight="1" x14ac:dyDescent="0.25">
      <c r="B913" s="3"/>
      <c r="S913" s="3"/>
      <c r="T913" s="3"/>
    </row>
    <row r="914" spans="2:20" ht="15.75" customHeight="1" x14ac:dyDescent="0.25">
      <c r="B914" s="3"/>
      <c r="S914" s="3"/>
      <c r="T914" s="3"/>
    </row>
    <row r="915" spans="2:20" ht="15.75" customHeight="1" x14ac:dyDescent="0.25">
      <c r="B915" s="3"/>
      <c r="S915" s="3"/>
      <c r="T915" s="3"/>
    </row>
    <row r="916" spans="2:20" ht="15.75" customHeight="1" x14ac:dyDescent="0.25">
      <c r="B916" s="3"/>
      <c r="S916" s="3"/>
      <c r="T916" s="3"/>
    </row>
    <row r="917" spans="2:20" ht="15.75" customHeight="1" x14ac:dyDescent="0.25">
      <c r="B917" s="3"/>
      <c r="S917" s="3"/>
      <c r="T917" s="3"/>
    </row>
    <row r="918" spans="2:20" ht="15.75" customHeight="1" x14ac:dyDescent="0.25">
      <c r="B918" s="3"/>
      <c r="S918" s="3"/>
      <c r="T918" s="3"/>
    </row>
    <row r="919" spans="2:20" ht="15.75" customHeight="1" x14ac:dyDescent="0.25">
      <c r="B919" s="3"/>
      <c r="S919" s="3"/>
      <c r="T919" s="3"/>
    </row>
    <row r="920" spans="2:20" ht="15.75" customHeight="1" x14ac:dyDescent="0.25">
      <c r="B920" s="3"/>
      <c r="S920" s="3"/>
      <c r="T920" s="3"/>
    </row>
    <row r="921" spans="2:20" ht="15.75" customHeight="1" x14ac:dyDescent="0.25">
      <c r="B921" s="3"/>
      <c r="S921" s="3"/>
      <c r="T921" s="3"/>
    </row>
    <row r="922" spans="2:20" ht="15.75" customHeight="1" x14ac:dyDescent="0.25">
      <c r="B922" s="3"/>
      <c r="S922" s="3"/>
      <c r="T922" s="3"/>
    </row>
    <row r="923" spans="2:20" ht="15.75" customHeight="1" x14ac:dyDescent="0.25">
      <c r="B923" s="3"/>
      <c r="S923" s="3"/>
      <c r="T923" s="3"/>
    </row>
    <row r="924" spans="2:20" ht="15.75" customHeight="1" x14ac:dyDescent="0.25">
      <c r="B924" s="3"/>
      <c r="S924" s="3"/>
      <c r="T924" s="3"/>
    </row>
    <row r="925" spans="2:20" ht="15.75" customHeight="1" x14ac:dyDescent="0.25">
      <c r="B925" s="3"/>
      <c r="S925" s="3"/>
      <c r="T925" s="3"/>
    </row>
    <row r="926" spans="2:20" ht="15.75" customHeight="1" x14ac:dyDescent="0.25">
      <c r="B926" s="3"/>
      <c r="S926" s="3"/>
      <c r="T926" s="3"/>
    </row>
    <row r="927" spans="2:20" ht="15.75" customHeight="1" x14ac:dyDescent="0.25">
      <c r="B927" s="3"/>
      <c r="S927" s="3"/>
      <c r="T927" s="3"/>
    </row>
    <row r="928" spans="2:20" ht="15.75" customHeight="1" x14ac:dyDescent="0.25">
      <c r="B928" s="3"/>
      <c r="S928" s="3"/>
      <c r="T928" s="3"/>
    </row>
    <row r="929" spans="2:20" ht="15.75" customHeight="1" x14ac:dyDescent="0.25">
      <c r="B929" s="3"/>
      <c r="S929" s="3"/>
      <c r="T929" s="3"/>
    </row>
    <row r="930" spans="2:20" ht="15.75" customHeight="1" x14ac:dyDescent="0.25">
      <c r="B930" s="3"/>
      <c r="S930" s="3"/>
      <c r="T930" s="3"/>
    </row>
    <row r="931" spans="2:20" ht="15.75" customHeight="1" x14ac:dyDescent="0.25">
      <c r="B931" s="3"/>
      <c r="S931" s="3"/>
      <c r="T931" s="3"/>
    </row>
    <row r="932" spans="2:20" ht="15.75" customHeight="1" x14ac:dyDescent="0.25">
      <c r="B932" s="3"/>
      <c r="S932" s="3"/>
      <c r="T932" s="3"/>
    </row>
    <row r="933" spans="2:20" ht="15.75" customHeight="1" x14ac:dyDescent="0.25">
      <c r="B933" s="3"/>
      <c r="S933" s="3"/>
      <c r="T933" s="3"/>
    </row>
    <row r="934" spans="2:20" ht="15.75" customHeight="1" x14ac:dyDescent="0.25">
      <c r="B934" s="3"/>
      <c r="S934" s="3"/>
      <c r="T934" s="3"/>
    </row>
    <row r="935" spans="2:20" ht="15.75" customHeight="1" x14ac:dyDescent="0.25">
      <c r="B935" s="3"/>
      <c r="S935" s="3"/>
      <c r="T935" s="3"/>
    </row>
    <row r="936" spans="2:20" ht="15.75" customHeight="1" x14ac:dyDescent="0.25">
      <c r="B936" s="3"/>
      <c r="S936" s="3"/>
      <c r="T936" s="3"/>
    </row>
    <row r="937" spans="2:20" ht="15.75" customHeight="1" x14ac:dyDescent="0.25">
      <c r="B937" s="3"/>
      <c r="S937" s="3"/>
      <c r="T937" s="3"/>
    </row>
    <row r="938" spans="2:20" ht="15.75" customHeight="1" x14ac:dyDescent="0.25">
      <c r="B938" s="3"/>
      <c r="S938" s="3"/>
      <c r="T938" s="3"/>
    </row>
    <row r="939" spans="2:20" ht="15.75" customHeight="1" x14ac:dyDescent="0.25">
      <c r="B939" s="3"/>
      <c r="S939" s="3"/>
      <c r="T939" s="3"/>
    </row>
    <row r="940" spans="2:20" ht="15.75" customHeight="1" x14ac:dyDescent="0.25">
      <c r="B940" s="3"/>
      <c r="S940" s="3"/>
      <c r="T940" s="3"/>
    </row>
    <row r="941" spans="2:20" ht="15.75" customHeight="1" x14ac:dyDescent="0.25">
      <c r="B941" s="3"/>
      <c r="S941" s="3"/>
      <c r="T941" s="3"/>
    </row>
    <row r="942" spans="2:20" ht="15.75" customHeight="1" x14ac:dyDescent="0.25">
      <c r="B942" s="3"/>
      <c r="S942" s="3"/>
      <c r="T942" s="3"/>
    </row>
    <row r="943" spans="2:20" ht="15.75" customHeight="1" x14ac:dyDescent="0.25">
      <c r="B943" s="3"/>
      <c r="S943" s="3"/>
      <c r="T943" s="3"/>
    </row>
    <row r="944" spans="2:20" ht="15.75" customHeight="1" x14ac:dyDescent="0.25">
      <c r="B944" s="3"/>
      <c r="S944" s="3"/>
      <c r="T944" s="3"/>
    </row>
    <row r="945" spans="2:20" ht="15.75" customHeight="1" x14ac:dyDescent="0.25">
      <c r="B945" s="3"/>
      <c r="S945" s="3"/>
      <c r="T945" s="3"/>
    </row>
    <row r="946" spans="2:20" ht="15.75" customHeight="1" x14ac:dyDescent="0.25">
      <c r="B946" s="3"/>
      <c r="S946" s="3"/>
      <c r="T946" s="3"/>
    </row>
    <row r="947" spans="2:20" ht="15.75" customHeight="1" x14ac:dyDescent="0.25">
      <c r="B947" s="3"/>
      <c r="S947" s="3"/>
      <c r="T947" s="3"/>
    </row>
    <row r="948" spans="2:20" ht="15.75" customHeight="1" x14ac:dyDescent="0.25">
      <c r="B948" s="3"/>
      <c r="S948" s="3"/>
      <c r="T948" s="3"/>
    </row>
    <row r="949" spans="2:20" ht="15.75" customHeight="1" x14ac:dyDescent="0.25">
      <c r="B949" s="3"/>
      <c r="S949" s="3"/>
      <c r="T949" s="3"/>
    </row>
    <row r="950" spans="2:20" ht="15.75" customHeight="1" x14ac:dyDescent="0.25">
      <c r="B950" s="3"/>
      <c r="S950" s="3"/>
      <c r="T950" s="3"/>
    </row>
    <row r="951" spans="2:20" ht="15.75" customHeight="1" x14ac:dyDescent="0.25">
      <c r="B951" s="3"/>
      <c r="S951" s="3"/>
      <c r="T951" s="3"/>
    </row>
    <row r="952" spans="2:20" ht="15.75" customHeight="1" x14ac:dyDescent="0.25">
      <c r="B952" s="3"/>
      <c r="S952" s="3"/>
      <c r="T952" s="3"/>
    </row>
    <row r="953" spans="2:20" ht="15.75" customHeight="1" x14ac:dyDescent="0.25">
      <c r="B953" s="3"/>
      <c r="S953" s="3"/>
      <c r="T953" s="3"/>
    </row>
    <row r="954" spans="2:20" ht="15.75" customHeight="1" x14ac:dyDescent="0.25">
      <c r="B954" s="3"/>
      <c r="S954" s="3"/>
      <c r="T954" s="3"/>
    </row>
    <row r="955" spans="2:20" ht="15.75" customHeight="1" x14ac:dyDescent="0.25">
      <c r="B955" s="3"/>
      <c r="S955" s="3"/>
      <c r="T955" s="3"/>
    </row>
    <row r="956" spans="2:20" ht="15.75" customHeight="1" x14ac:dyDescent="0.25">
      <c r="B956" s="3"/>
      <c r="S956" s="3"/>
      <c r="T956" s="3"/>
    </row>
    <row r="957" spans="2:20" ht="15.75" customHeight="1" x14ac:dyDescent="0.25">
      <c r="B957" s="3"/>
      <c r="S957" s="3"/>
      <c r="T957" s="3"/>
    </row>
    <row r="958" spans="2:20" ht="15.75" customHeight="1" x14ac:dyDescent="0.25">
      <c r="B958" s="3"/>
      <c r="S958" s="3"/>
      <c r="T958" s="3"/>
    </row>
    <row r="959" spans="2:20" ht="15.75" customHeight="1" x14ac:dyDescent="0.25">
      <c r="B959" s="3"/>
      <c r="S959" s="3"/>
      <c r="T959" s="3"/>
    </row>
    <row r="960" spans="2:20" ht="15.75" customHeight="1" x14ac:dyDescent="0.25">
      <c r="B960" s="3"/>
      <c r="S960" s="3"/>
      <c r="T960" s="3"/>
    </row>
    <row r="961" spans="2:20" ht="15.75" customHeight="1" x14ac:dyDescent="0.25">
      <c r="B961" s="3"/>
      <c r="S961" s="3"/>
      <c r="T961" s="3"/>
    </row>
    <row r="962" spans="2:20" ht="15.75" customHeight="1" x14ac:dyDescent="0.25">
      <c r="B962" s="3"/>
      <c r="S962" s="3"/>
      <c r="T962" s="3"/>
    </row>
    <row r="963" spans="2:20" ht="15.75" customHeight="1" x14ac:dyDescent="0.25">
      <c r="B963" s="3"/>
      <c r="S963" s="3"/>
      <c r="T963" s="3"/>
    </row>
    <row r="964" spans="2:20" ht="15.75" customHeight="1" x14ac:dyDescent="0.25">
      <c r="B964" s="3"/>
      <c r="S964" s="3"/>
      <c r="T964" s="3"/>
    </row>
    <row r="965" spans="2:20" ht="15.75" customHeight="1" x14ac:dyDescent="0.25">
      <c r="B965" s="3"/>
      <c r="S965" s="3"/>
      <c r="T965" s="3"/>
    </row>
    <row r="966" spans="2:20" ht="15.75" customHeight="1" x14ac:dyDescent="0.25">
      <c r="B966" s="3"/>
      <c r="S966" s="3"/>
      <c r="T966" s="3"/>
    </row>
    <row r="967" spans="2:20" ht="15.75" customHeight="1" x14ac:dyDescent="0.25">
      <c r="B967" s="3"/>
      <c r="S967" s="3"/>
      <c r="T967" s="3"/>
    </row>
    <row r="968" spans="2:20" ht="15.75" customHeight="1" x14ac:dyDescent="0.25">
      <c r="B968" s="3"/>
      <c r="S968" s="3"/>
      <c r="T968" s="3"/>
    </row>
    <row r="969" spans="2:20" ht="15.75" customHeight="1" x14ac:dyDescent="0.25">
      <c r="B969" s="3"/>
      <c r="S969" s="3"/>
      <c r="T969" s="3"/>
    </row>
    <row r="970" spans="2:20" ht="15.75" customHeight="1" x14ac:dyDescent="0.25">
      <c r="B970" s="3"/>
      <c r="S970" s="3"/>
      <c r="T970" s="3"/>
    </row>
    <row r="971" spans="2:20" ht="15.75" customHeight="1" x14ac:dyDescent="0.25">
      <c r="B971" s="3"/>
      <c r="S971" s="3"/>
      <c r="T971" s="3"/>
    </row>
    <row r="972" spans="2:20" ht="15.75" customHeight="1" x14ac:dyDescent="0.25">
      <c r="B972" s="3"/>
      <c r="S972" s="3"/>
      <c r="T972" s="3"/>
    </row>
    <row r="973" spans="2:20" ht="15.75" customHeight="1" x14ac:dyDescent="0.25">
      <c r="B973" s="3"/>
      <c r="S973" s="3"/>
      <c r="T973" s="3"/>
    </row>
    <row r="974" spans="2:20" ht="15.75" customHeight="1" x14ac:dyDescent="0.25">
      <c r="B974" s="3"/>
      <c r="S974" s="3"/>
      <c r="T974" s="3"/>
    </row>
    <row r="975" spans="2:20" ht="15.75" customHeight="1" x14ac:dyDescent="0.25">
      <c r="B975" s="3"/>
      <c r="S975" s="3"/>
      <c r="T975" s="3"/>
    </row>
    <row r="976" spans="2:20" ht="15.75" customHeight="1" x14ac:dyDescent="0.25">
      <c r="B976" s="3"/>
      <c r="S976" s="3"/>
      <c r="T976" s="3"/>
    </row>
    <row r="977" spans="2:20" ht="15.75" customHeight="1" x14ac:dyDescent="0.25">
      <c r="B977" s="3"/>
      <c r="S977" s="3"/>
      <c r="T977" s="3"/>
    </row>
    <row r="978" spans="2:20" ht="15.75" customHeight="1" x14ac:dyDescent="0.25">
      <c r="B978" s="3"/>
      <c r="S978" s="3"/>
      <c r="T978" s="3"/>
    </row>
    <row r="979" spans="2:20" ht="15.75" customHeight="1" x14ac:dyDescent="0.25">
      <c r="B979" s="3"/>
      <c r="S979" s="3"/>
      <c r="T979" s="3"/>
    </row>
    <row r="980" spans="2:20" ht="15.75" customHeight="1" x14ac:dyDescent="0.25">
      <c r="B980" s="3"/>
      <c r="S980" s="3"/>
      <c r="T980" s="3"/>
    </row>
    <row r="981" spans="2:20" ht="15.75" customHeight="1" x14ac:dyDescent="0.25">
      <c r="B981" s="3"/>
      <c r="S981" s="3"/>
      <c r="T981" s="3"/>
    </row>
    <row r="982" spans="2:20" ht="15.75" customHeight="1" x14ac:dyDescent="0.25">
      <c r="B982" s="3"/>
      <c r="S982" s="3"/>
      <c r="T982" s="3"/>
    </row>
    <row r="983" spans="2:20" ht="15.75" customHeight="1" x14ac:dyDescent="0.25">
      <c r="B983" s="3"/>
      <c r="S983" s="3"/>
      <c r="T983" s="3"/>
    </row>
    <row r="984" spans="2:20" ht="15.75" customHeight="1" x14ac:dyDescent="0.25">
      <c r="B984" s="3"/>
      <c r="S984" s="3"/>
      <c r="T984" s="3"/>
    </row>
    <row r="985" spans="2:20" ht="15.75" customHeight="1" x14ac:dyDescent="0.25">
      <c r="B985" s="3"/>
      <c r="S985" s="3"/>
      <c r="T985" s="3"/>
    </row>
    <row r="986" spans="2:20" ht="15.75" customHeight="1" x14ac:dyDescent="0.25">
      <c r="B986" s="3"/>
      <c r="S986" s="3"/>
      <c r="T986" s="3"/>
    </row>
    <row r="987" spans="2:20" ht="15.75" customHeight="1" x14ac:dyDescent="0.25">
      <c r="B987" s="3"/>
      <c r="S987" s="3"/>
      <c r="T987" s="3"/>
    </row>
    <row r="988" spans="2:20" ht="15.75" customHeight="1" x14ac:dyDescent="0.25">
      <c r="B988" s="3"/>
      <c r="S988" s="3"/>
      <c r="T988" s="3"/>
    </row>
    <row r="989" spans="2:20" ht="15.75" customHeight="1" x14ac:dyDescent="0.25">
      <c r="B989" s="3"/>
      <c r="S989" s="3"/>
      <c r="T989" s="3"/>
    </row>
    <row r="990" spans="2:20" ht="15.75" customHeight="1" x14ac:dyDescent="0.25">
      <c r="B990" s="3"/>
      <c r="S990" s="3"/>
      <c r="T990" s="3"/>
    </row>
    <row r="991" spans="2:20" ht="15.75" customHeight="1" x14ac:dyDescent="0.25">
      <c r="B991" s="3"/>
      <c r="S991" s="3"/>
      <c r="T991" s="3"/>
    </row>
    <row r="992" spans="2:20" ht="15.75" customHeight="1" x14ac:dyDescent="0.25">
      <c r="B992" s="3"/>
      <c r="S992" s="3"/>
      <c r="T992" s="3"/>
    </row>
    <row r="993" spans="2:20" ht="15.75" customHeight="1" x14ac:dyDescent="0.25">
      <c r="B993" s="3"/>
      <c r="S993" s="3"/>
      <c r="T993" s="3"/>
    </row>
    <row r="994" spans="2:20" ht="15.75" customHeight="1" x14ac:dyDescent="0.25">
      <c r="B994" s="3"/>
      <c r="S994" s="3"/>
      <c r="T994" s="3"/>
    </row>
    <row r="995" spans="2:20" ht="15.75" customHeight="1" x14ac:dyDescent="0.25">
      <c r="B995" s="3"/>
      <c r="S995" s="3"/>
      <c r="T995" s="3"/>
    </row>
    <row r="996" spans="2:20" ht="15.75" customHeight="1" x14ac:dyDescent="0.25">
      <c r="B996" s="3"/>
      <c r="S996" s="3"/>
      <c r="T996" s="3"/>
    </row>
    <row r="997" spans="2:20" ht="15.75" customHeight="1" x14ac:dyDescent="0.25">
      <c r="B997" s="3"/>
      <c r="S997" s="3"/>
      <c r="T997" s="3"/>
    </row>
    <row r="998" spans="2:20" ht="15.75" customHeight="1" x14ac:dyDescent="0.25">
      <c r="B998" s="3"/>
      <c r="S998" s="3"/>
      <c r="T998" s="3"/>
    </row>
    <row r="999" spans="2:20" ht="15.75" customHeight="1" x14ac:dyDescent="0.25">
      <c r="B999" s="3"/>
      <c r="S999" s="3"/>
      <c r="T999" s="3"/>
    </row>
    <row r="1000" spans="2:20" ht="15.75" customHeight="1" x14ac:dyDescent="0.25">
      <c r="B1000" s="3"/>
      <c r="S1000" s="3"/>
      <c r="T1000" s="3"/>
    </row>
    <row r="1001" spans="2:20" ht="15.75" customHeight="1" x14ac:dyDescent="0.25">
      <c r="B1001" s="3"/>
      <c r="S1001" s="3"/>
      <c r="T1001" s="3"/>
    </row>
    <row r="1002" spans="2:20" ht="15.75" customHeight="1" x14ac:dyDescent="0.25">
      <c r="B1002" s="3"/>
      <c r="S1002" s="3"/>
      <c r="T1002" s="3"/>
    </row>
  </sheetData>
  <conditionalFormatting sqref="A3:C251">
    <cfRule type="expression" dxfId="4" priority="1">
      <formula>IF($A3="N/A",TRUE,Fasle)</formula>
    </cfRule>
    <cfRule type="expression" dxfId="3" priority="2">
      <formula>IF($A3="EU",TRUE,Fasle)</formula>
    </cfRule>
  </conditionalFormatting>
  <conditionalFormatting sqref="D3:N251">
    <cfRule type="cellIs" dxfId="2" priority="3" operator="equal">
      <formula>"No service"</formula>
    </cfRule>
  </conditionalFormatting>
  <conditionalFormatting sqref="D3:T251">
    <cfRule type="expression" dxfId="1" priority="4">
      <formula>IF($A3="N/A",TRUE,Fasle)</formula>
    </cfRule>
    <cfRule type="expression" dxfId="0" priority="5">
      <formula>IF($A3="EU",TRUE,Fasle)</formula>
    </cfRule>
  </conditionalFormatting>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9"/>
  <sheetViews>
    <sheetView workbookViewId="0">
      <selection activeCell="B3" sqref="B3"/>
    </sheetView>
  </sheetViews>
  <sheetFormatPr defaultRowHeight="13.2" x14ac:dyDescent="0.25"/>
  <cols>
    <col min="1" max="2" width="15.44140625" customWidth="1"/>
    <col min="8" max="8" width="47.33203125" customWidth="1"/>
  </cols>
  <sheetData>
    <row r="1" spans="1:8" ht="27" customHeight="1" x14ac:dyDescent="0.25">
      <c r="A1" s="46" t="s">
        <v>339</v>
      </c>
      <c r="B1" s="47"/>
    </row>
    <row r="2" spans="1:8" ht="27" customHeight="1" x14ac:dyDescent="0.25">
      <c r="A2" s="29" t="s">
        <v>340</v>
      </c>
      <c r="B2" s="29">
        <v>50</v>
      </c>
    </row>
    <row r="3" spans="1:8" ht="27" customHeight="1" x14ac:dyDescent="0.25">
      <c r="A3" s="29" t="s">
        <v>341</v>
      </c>
      <c r="B3" s="29">
        <v>50</v>
      </c>
      <c r="D3" s="31"/>
      <c r="E3" s="31"/>
    </row>
    <row r="4" spans="1:8" ht="27" customHeight="1" x14ac:dyDescent="0.25">
      <c r="A4" s="48" t="s">
        <v>336</v>
      </c>
      <c r="B4" s="49"/>
    </row>
    <row r="5" spans="1:8" ht="27" customHeight="1" x14ac:dyDescent="0.25">
      <c r="A5" s="29" t="s">
        <v>340</v>
      </c>
      <c r="B5" s="29">
        <v>40</v>
      </c>
    </row>
    <row r="6" spans="1:8" ht="27" customHeight="1" x14ac:dyDescent="0.25">
      <c r="A6" s="29" t="s">
        <v>341</v>
      </c>
      <c r="B6" s="29">
        <v>40</v>
      </c>
      <c r="H6" s="27"/>
    </row>
    <row r="7" spans="1:8" ht="27" customHeight="1" x14ac:dyDescent="0.25">
      <c r="A7" s="30"/>
      <c r="B7" s="30"/>
      <c r="H7" s="27"/>
    </row>
    <row r="8" spans="1:8" ht="27" customHeight="1" x14ac:dyDescent="0.25">
      <c r="A8" s="30"/>
      <c r="B8" s="30"/>
      <c r="H8" s="27"/>
    </row>
    <row r="9" spans="1:8" ht="27" customHeight="1" x14ac:dyDescent="0.25">
      <c r="A9" s="30"/>
      <c r="B9" s="30"/>
      <c r="H9" s="27"/>
    </row>
  </sheetData>
  <mergeCells count="2">
    <mergeCell ref="A1:B1"/>
    <mergeCell ref="A4:B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G11"/>
  <sheetViews>
    <sheetView workbookViewId="0">
      <selection activeCell="F7" sqref="F7"/>
    </sheetView>
  </sheetViews>
  <sheetFormatPr defaultColWidth="12.5546875" defaultRowHeight="15" customHeight="1" x14ac:dyDescent="0.25"/>
  <cols>
    <col min="6" max="6" width="38.33203125" customWidth="1"/>
  </cols>
  <sheetData>
    <row r="1" spans="1:7" x14ac:dyDescent="0.25">
      <c r="A1" s="25" t="s">
        <v>300</v>
      </c>
      <c r="B1" s="25" t="s">
        <v>301</v>
      </c>
      <c r="C1" s="25" t="s">
        <v>302</v>
      </c>
      <c r="F1" s="26" t="s">
        <v>303</v>
      </c>
      <c r="G1" s="26">
        <v>20</v>
      </c>
    </row>
    <row r="2" spans="1:7" x14ac:dyDescent="0.25">
      <c r="A2" s="3" t="s">
        <v>304</v>
      </c>
      <c r="B2" s="3" t="s">
        <v>305</v>
      </c>
      <c r="C2" s="3" t="s">
        <v>306</v>
      </c>
    </row>
    <row r="3" spans="1:7" x14ac:dyDescent="0.25">
      <c r="A3" s="3" t="s">
        <v>307</v>
      </c>
      <c r="B3" s="3" t="s">
        <v>308</v>
      </c>
      <c r="C3" s="3" t="s">
        <v>309</v>
      </c>
    </row>
    <row r="4" spans="1:7" x14ac:dyDescent="0.25">
      <c r="A4" s="3" t="s">
        <v>310</v>
      </c>
      <c r="B4" s="3" t="s">
        <v>311</v>
      </c>
      <c r="C4" s="3" t="s">
        <v>312</v>
      </c>
    </row>
    <row r="5" spans="1:7" x14ac:dyDescent="0.25">
      <c r="A5" s="3" t="s">
        <v>313</v>
      </c>
      <c r="B5" s="3" t="s">
        <v>314</v>
      </c>
      <c r="C5" s="3" t="s">
        <v>315</v>
      </c>
    </row>
    <row r="6" spans="1:7" x14ac:dyDescent="0.25">
      <c r="A6" s="3" t="s">
        <v>316</v>
      </c>
      <c r="B6" s="3" t="s">
        <v>317</v>
      </c>
      <c r="C6" s="3" t="s">
        <v>318</v>
      </c>
    </row>
    <row r="7" spans="1:7" x14ac:dyDescent="0.25">
      <c r="A7" s="3" t="s">
        <v>319</v>
      </c>
      <c r="B7" s="3" t="s">
        <v>320</v>
      </c>
      <c r="C7" s="3" t="s">
        <v>321</v>
      </c>
    </row>
    <row r="8" spans="1:7" x14ac:dyDescent="0.25">
      <c r="A8" s="3" t="s">
        <v>322</v>
      </c>
      <c r="B8" s="3" t="s">
        <v>323</v>
      </c>
      <c r="C8" s="3" t="s">
        <v>324</v>
      </c>
    </row>
    <row r="9" spans="1:7" x14ac:dyDescent="0.25">
      <c r="A9" s="3" t="s">
        <v>325</v>
      </c>
      <c r="B9" s="3" t="s">
        <v>314</v>
      </c>
      <c r="C9" s="3" t="s">
        <v>326</v>
      </c>
    </row>
    <row r="10" spans="1:7" x14ac:dyDescent="0.25">
      <c r="A10" s="3" t="s">
        <v>327</v>
      </c>
      <c r="B10" s="3" t="s">
        <v>320</v>
      </c>
      <c r="C10" s="3" t="s">
        <v>328</v>
      </c>
    </row>
    <row r="11" spans="1:7" x14ac:dyDescent="0.25">
      <c r="A11" s="3" t="s">
        <v>329</v>
      </c>
      <c r="B11" s="3" t="s">
        <v>330</v>
      </c>
      <c r="C11" s="3" t="s">
        <v>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F9"/>
  <sheetViews>
    <sheetView workbookViewId="0">
      <selection activeCell="A17" sqref="A17"/>
    </sheetView>
  </sheetViews>
  <sheetFormatPr defaultRowHeight="13.2" x14ac:dyDescent="0.25"/>
  <cols>
    <col min="1" max="1" width="93.6640625" customWidth="1"/>
    <col min="6" max="6" width="58" customWidth="1"/>
  </cols>
  <sheetData>
    <row r="2" spans="1:6" ht="15.6" x14ac:dyDescent="0.25">
      <c r="A2" s="27" t="s">
        <v>333</v>
      </c>
    </row>
    <row r="3" spans="1:6" ht="78" x14ac:dyDescent="0.25">
      <c r="A3" s="27" t="s">
        <v>334</v>
      </c>
      <c r="F3" s="27" t="s">
        <v>332</v>
      </c>
    </row>
    <row r="4" spans="1:6" ht="15.6" x14ac:dyDescent="0.25">
      <c r="A4" s="27" t="s">
        <v>335</v>
      </c>
    </row>
    <row r="5" spans="1:6" ht="15.6" x14ac:dyDescent="0.25">
      <c r="A5" s="27"/>
    </row>
    <row r="6" spans="1:6" ht="15.6" x14ac:dyDescent="0.25">
      <c r="A6" s="27"/>
    </row>
    <row r="7" spans="1:6" ht="15.6" x14ac:dyDescent="0.25">
      <c r="A7" s="27"/>
    </row>
    <row r="8" spans="1:6" x14ac:dyDescent="0.25">
      <c r="A8" s="28"/>
    </row>
    <row r="9" spans="1:6" x14ac:dyDescent="0.25">
      <c r="F9" t="s">
        <v>342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Rates from Ireland Fedex Priort</vt:lpstr>
      <vt:lpstr>Result</vt:lpstr>
      <vt:lpstr>Variables</vt:lpstr>
      <vt:lpstr>MAx dimension by weight</vt:lpstr>
      <vt:lpstr>Instructions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Daniyal Ahmed</cp:lastModifiedBy>
  <dcterms:modified xsi:type="dcterms:W3CDTF">2024-12-24T11:51:56Z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2024-12-18T17:20:22Z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a4e34b51-5dc9-4dcf-b0c8-293e36fa091f</vt:lpwstr>
  </property>
  <property fmtid="{D5CDD505-2E9C-101B-9397-08002B2CF9AE}" pid="7" name="MSIP_Label_defa4170-0d19-0005-0004-bc88714345d2_ActionId">
    <vt:lpwstr>8fc9ef71-8fc3-4936-9845-cf9cda53aae2</vt:lpwstr>
  </property>
  <property fmtid="{D5CDD505-2E9C-101B-9397-08002B2CF9AE}" pid="8" name="MSIP_Label_defa4170-0d19-0005-0004-bc88714345d2_ContentBits">
    <vt:lpwstr>0</vt:lpwstr>
  </property>
</Properties>
</file>